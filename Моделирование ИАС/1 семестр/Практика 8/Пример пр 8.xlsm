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filterPrivacy="1" codeName="ЭтаКнига" defaultThemeVersion="124226"/>
  <xr:revisionPtr revIDLastSave="0" documentId="13_ncr:1_{4D474C7C-A96E-49E7-B807-FF0F78AAA77D}" xr6:coauthVersionLast="47" xr6:coauthVersionMax="47" xr10:uidLastSave="{00000000-0000-0000-0000-000000000000}"/>
  <bookViews>
    <workbookView xWindow="-103" yWindow="-103" windowWidth="22149" windowHeight="11949" xr2:uid="{00000000-000D-0000-FFFF-FFFF00000000}"/>
  </bookViews>
  <sheets>
    <sheet name="Лист2" sheetId="2" r:id="rId1"/>
    <sheet name="Лист3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1533" i="2" l="1"/>
  <c r="AM1533" i="2" s="1"/>
  <c r="AN1533" i="2" s="1"/>
  <c r="AO1533" i="2" s="1"/>
  <c r="AP1533" i="2" s="1"/>
  <c r="AQ1533" i="2" s="1"/>
  <c r="AR1533" i="2" s="1"/>
  <c r="Z1534" i="2" l="1"/>
  <c r="H1532" i="2" l="1"/>
  <c r="H1531" i="2"/>
  <c r="Z1533" i="2" s="1"/>
  <c r="AC1534" i="2"/>
  <c r="AP1536" i="2"/>
  <c r="AM1537" i="2"/>
  <c r="AJ1538" i="2"/>
  <c r="AR1535" i="2"/>
  <c r="AO1536" i="2"/>
  <c r="AL1537" i="2"/>
  <c r="AI1538" i="2"/>
  <c r="AQ1535" i="2"/>
  <c r="AN1536" i="2"/>
  <c r="AK1537" i="2"/>
  <c r="AH1538" i="2"/>
  <c r="AO1545" i="2"/>
  <c r="AP1535" i="2"/>
  <c r="AM1536" i="2"/>
  <c r="AJ1537" i="2"/>
  <c r="AG1538" i="2"/>
  <c r="AB1534" i="2"/>
  <c r="AO1535" i="2"/>
  <c r="AL1536" i="2"/>
  <c r="AI1537" i="2"/>
  <c r="AF1538" i="2"/>
  <c r="AR1534" i="2"/>
  <c r="AN1535" i="2"/>
  <c r="AN1534" i="2"/>
  <c r="AJ1535" i="2"/>
  <c r="AG1536" i="2"/>
  <c r="AD1537" i="2"/>
  <c r="AM1534" i="2"/>
  <c r="AI1535" i="2"/>
  <c r="AF1536" i="2"/>
  <c r="AC1537" i="2"/>
  <c r="AL1534" i="2"/>
  <c r="AH1535" i="2"/>
  <c r="AE1536" i="2"/>
  <c r="AB1537" i="2"/>
  <c r="AK1534" i="2"/>
  <c r="AG1535" i="2"/>
  <c r="AD1536" i="2"/>
  <c r="AR1538" i="2"/>
  <c r="AJ1534" i="2"/>
  <c r="AF1535" i="2"/>
  <c r="AC1536" i="2"/>
  <c r="AQ1538" i="2"/>
  <c r="AI1534" i="2"/>
  <c r="AE1535" i="2"/>
  <c r="AB1536" i="2"/>
  <c r="AP1538" i="2"/>
  <c r="AH1534" i="2"/>
  <c r="AD1535" i="2"/>
  <c r="AR1537" i="2"/>
  <c r="AO1538" i="2"/>
  <c r="AG1534" i="2"/>
  <c r="AC1535" i="2"/>
  <c r="AQ1537" i="2"/>
  <c r="AN1538" i="2"/>
  <c r="AF1534" i="2"/>
  <c r="AB1535" i="2"/>
  <c r="AP1537" i="2"/>
  <c r="AM1538" i="2"/>
  <c r="AE1534" i="2"/>
  <c r="AR1536" i="2"/>
  <c r="AO1537" i="2"/>
  <c r="AL1538" i="2"/>
  <c r="AD1534" i="2"/>
  <c r="AQ1536" i="2"/>
  <c r="AN1537" i="2"/>
  <c r="AK1538" i="2"/>
  <c r="AK1536" i="2"/>
  <c r="AH1537" i="2"/>
  <c r="AE1538" i="2"/>
  <c r="AQ1534" i="2"/>
  <c r="AM1535" i="2"/>
  <c r="AJ1536" i="2"/>
  <c r="AG1537" i="2"/>
  <c r="AD1538" i="2"/>
  <c r="AP1534" i="2"/>
  <c r="AL1535" i="2"/>
  <c r="AI1536" i="2"/>
  <c r="AF1537" i="2"/>
  <c r="AC1538" i="2"/>
  <c r="AO1534" i="2"/>
  <c r="AK1535" i="2"/>
  <c r="AH1536" i="2"/>
  <c r="AE1537" i="2"/>
  <c r="AB1538" i="2"/>
  <c r="S1532" i="2"/>
  <c r="P1532" i="2"/>
  <c r="O1532" i="2"/>
  <c r="N1532" i="2"/>
  <c r="R1532" i="2"/>
  <c r="Q1532" i="2"/>
  <c r="L1532" i="2"/>
  <c r="K1532" i="2"/>
  <c r="M1532" i="2"/>
  <c r="AO1539" i="2" l="1"/>
  <c r="AO1540" i="2" s="1"/>
  <c r="AP1539" i="2"/>
  <c r="AP1540" i="2" s="1"/>
  <c r="AQ1539" i="2"/>
  <c r="AQ1540" i="2" s="1"/>
  <c r="AL1539" i="2"/>
  <c r="AL1540" i="2" s="1"/>
  <c r="AM1539" i="2"/>
  <c r="AM1540" i="2" s="1"/>
  <c r="AN1539" i="2"/>
  <c r="AN1540" i="2" s="1"/>
  <c r="AR1539" i="2"/>
  <c r="AR1540" i="2" s="1"/>
  <c r="AD1539" i="2"/>
  <c r="AD1540" i="2" s="1"/>
  <c r="AH1539" i="2"/>
  <c r="AH1540" i="2" s="1"/>
  <c r="AB1539" i="2"/>
  <c r="AB1540" i="2" s="1"/>
  <c r="AF1539" i="2"/>
  <c r="AF1540" i="2" s="1"/>
  <c r="AI1539" i="2"/>
  <c r="AI1540" i="2" s="1"/>
  <c r="AC1539" i="2"/>
  <c r="AC1540" i="2" s="1"/>
  <c r="AG1539" i="2"/>
  <c r="AG1540" i="2" s="1"/>
  <c r="AK1539" i="2"/>
  <c r="AK1540" i="2" s="1"/>
  <c r="AJ1539" i="2"/>
  <c r="AJ1540" i="2" s="1"/>
  <c r="AE1539" i="2"/>
  <c r="AE1540" i="2" s="1"/>
  <c r="K1530" i="2"/>
  <c r="L1530" i="2"/>
  <c r="M1530" i="2"/>
  <c r="N1530" i="2"/>
  <c r="O1530" i="2"/>
  <c r="P1530" i="2"/>
  <c r="Q1530" i="2"/>
  <c r="R1530" i="2"/>
  <c r="S1530" i="2"/>
  <c r="J1530" i="2"/>
  <c r="Q1537" i="2"/>
  <c r="R1537" i="2"/>
  <c r="S1537" i="2"/>
  <c r="J1532" i="2"/>
  <c r="K1537" i="2" l="1"/>
  <c r="L1537" i="2"/>
  <c r="M1537" i="2"/>
  <c r="N1537" i="2"/>
  <c r="O1537" i="2"/>
  <c r="P1537" i="2"/>
  <c r="J1537" i="2"/>
  <c r="H1536" i="2"/>
  <c r="H1534" i="2"/>
  <c r="H1533" i="2" l="1"/>
  <c r="H1535" i="2"/>
  <c r="R1536" i="2"/>
  <c r="J1536" i="2"/>
  <c r="Q1534" i="2"/>
  <c r="K1534" i="2"/>
  <c r="L1534" i="2"/>
  <c r="M1536" i="2"/>
  <c r="N1536" i="2"/>
  <c r="M1534" i="2"/>
  <c r="N1534" i="2"/>
  <c r="O1536" i="2"/>
  <c r="P1536" i="2"/>
  <c r="J1534" i="2"/>
  <c r="O1534" i="2"/>
  <c r="P1534" i="2"/>
  <c r="Q1536" i="2"/>
  <c r="R1534" i="2"/>
  <c r="S1536" i="2"/>
  <c r="K1536" i="2"/>
  <c r="L1536" i="2"/>
  <c r="S1534" i="2"/>
</calcChain>
</file>

<file path=xl/sharedStrings.xml><?xml version="1.0" encoding="utf-8"?>
<sst xmlns="http://schemas.openxmlformats.org/spreadsheetml/2006/main" count="72" uniqueCount="46">
  <si>
    <t>№</t>
  </si>
  <si>
    <t>Tin</t>
  </si>
  <si>
    <t>Tout</t>
  </si>
  <si>
    <t>DTin</t>
  </si>
  <si>
    <t>DTwait</t>
  </si>
  <si>
    <t>DTlife</t>
  </si>
  <si>
    <t>n+</t>
  </si>
  <si>
    <t>n-</t>
  </si>
  <si>
    <t>UnSc</t>
  </si>
  <si>
    <t>n+/-</t>
  </si>
  <si>
    <t>SortUnSc</t>
  </si>
  <si>
    <t>n_Din</t>
  </si>
  <si>
    <t>Nlim</t>
  </si>
  <si>
    <t>n_Din_lim</t>
  </si>
  <si>
    <t>n_Din_denide</t>
  </si>
  <si>
    <t>№_Din_denide</t>
  </si>
  <si>
    <t>Lyam</t>
  </si>
  <si>
    <t>Mu</t>
  </si>
  <si>
    <t>Формулы обратных функций экспоненциального закона:</t>
  </si>
  <si>
    <t>Number_denide</t>
  </si>
  <si>
    <t>μ=</t>
  </si>
  <si>
    <t>Число отказов</t>
  </si>
  <si>
    <t>Число отказов при относительном уровне отказов в СМО, %</t>
  </si>
  <si>
    <t>N=</t>
  </si>
  <si>
    <t>поток заявок</t>
  </si>
  <si>
    <t>поток отказов</t>
  </si>
  <si>
    <t>Длина цепи событий</t>
  </si>
  <si>
    <t>Sum_D_denide</t>
  </si>
  <si>
    <t>Tque</t>
  </si>
  <si>
    <t>Модель СМО с отказами, возникающими из-за ограниченной емкости накопителя</t>
  </si>
  <si>
    <t xml:space="preserve">Моделирование процессов в СМО с одним каналом обслуживания и ограниченной ёмкостью накопителя </t>
  </si>
  <si>
    <t>основано на модели СМО с неограниченным числом мест в очереди</t>
  </si>
  <si>
    <t>DTserv</t>
  </si>
  <si>
    <r>
      <rPr>
        <b/>
        <sz val="11"/>
        <color theme="1"/>
        <rFont val="Symbol"/>
        <family val="1"/>
        <charset val="2"/>
      </rPr>
      <t>l</t>
    </r>
    <r>
      <rPr>
        <b/>
        <sz val="11"/>
        <color theme="1"/>
        <rFont val="Calibri"/>
        <family val="2"/>
      </rPr>
      <t>=</t>
    </r>
  </si>
  <si>
    <t>Зависимость числа отказов от интенсивности потока заявок и числа мест в очереди</t>
  </si>
  <si>
    <t>Число мест в очереди</t>
  </si>
  <si>
    <t>поток обслуживания</t>
  </si>
  <si>
    <t>Схема модели динамического процесса пребывания заявок в СМО с отказами</t>
  </si>
  <si>
    <t>Схема модели динамического процесса пребывания заявок в СМО без отказов</t>
  </si>
  <si>
    <t>Алгоритм программы модели процесса изменения количества заявок в СМО</t>
  </si>
  <si>
    <t>Результаты моделирования процесса в СМО с отказами</t>
  </si>
  <si>
    <t>Результаты моделирования процесса в СМО без отказов</t>
  </si>
  <si>
    <t>Среднее по сериям</t>
  </si>
  <si>
    <t>% ОТКАЗОВ</t>
  </si>
  <si>
    <t>nque=</t>
  </si>
  <si>
    <t>Nden=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</si>
</sst>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1"/>
      <color theme="1"/>
      <name val="Calibri"/>
      <family val="2"/>
    </font>
    <font>
      <b/>
      <sz val="11"/>
      <color theme="1"/>
      <name val="Symbol"/>
      <family val="1"/>
      <charset val="2"/>
    </font>
    <font>
      <b/>
      <sz val="11"/>
      <color theme="1"/>
      <name val="Calibri"/>
      <family val="2"/>
      <charset val="204"/>
    </font>
    <font>
      <b/>
      <sz val="11"/>
      <color theme="1"/>
      <name val="Times New Roman"/>
      <family val="1"/>
      <charset val="204"/>
    </font>
    <font>
      <b/>
      <sz val="12"/>
      <color rgb="FFFF000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2" fillId="0" borderId="0" xfId="0" applyFont="1"/>
    <xf numFmtId="10" fontId="1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6" fillId="0" borderId="0" xfId="0" applyFont="1"/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wrapText="1"/>
    </xf>
    <xf numFmtId="0" fontId="5" fillId="0" borderId="1" xfId="0" applyFont="1" applyBorder="1" applyAlignment="1">
      <alignment wrapText="1"/>
    </xf>
    <xf numFmtId="0" fontId="5" fillId="0" borderId="1" xfId="0" applyFont="1" applyBorder="1" applyAlignment="1">
      <alignment horizontal="left" vertical="center" wrapText="1"/>
    </xf>
    <xf numFmtId="0" fontId="7" fillId="0" borderId="0" xfId="0" applyFont="1"/>
    <xf numFmtId="0" fontId="8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1" fillId="0" borderId="0" xfId="0" applyFont="1"/>
    <xf numFmtId="0" fontId="12" fillId="0" borderId="1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Times New Roman" pitchFamily="18" charset="0"/>
                <a:cs typeface="Times New Roman" pitchFamily="18" charset="0"/>
              </a:defRPr>
            </a:pPr>
            <a:r>
              <a:rPr lang="ru-RU" sz="1600">
                <a:latin typeface="Times New Roman" pitchFamily="18" charset="0"/>
                <a:cs typeface="Times New Roman" pitchFamily="18" charset="0"/>
              </a:rPr>
              <a:t>Диаграмма пребывания заявок в СМО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Лист2!$C$21:$C$50</c:f>
              <c:numCache>
                <c:formatCode>General</c:formatCode>
                <c:ptCount val="30"/>
                <c:pt idx="0">
                  <c:v>9.3471384934060939</c:v>
                </c:pt>
                <c:pt idx="1">
                  <c:v>12.618253187614435</c:v>
                </c:pt>
                <c:pt idx="2">
                  <c:v>19.506247353164998</c:v>
                </c:pt>
                <c:pt idx="3">
                  <c:v>29.025726387477143</c:v>
                </c:pt>
                <c:pt idx="4">
                  <c:v>36.742759515914607</c:v>
                </c:pt>
                <c:pt idx="5">
                  <c:v>51.087043826850085</c:v>
                </c:pt>
                <c:pt idx="6">
                  <c:v>51.68128278563691</c:v>
                </c:pt>
                <c:pt idx="7">
                  <c:v>56.238137721197511</c:v>
                </c:pt>
                <c:pt idx="8">
                  <c:v>63.576335773902933</c:v>
                </c:pt>
                <c:pt idx="9">
                  <c:v>71.533640733951785</c:v>
                </c:pt>
                <c:pt idx="10">
                  <c:v>84.653256843021907</c:v>
                </c:pt>
                <c:pt idx="11">
                  <c:v>86.435628989744231</c:v>
                </c:pt>
                <c:pt idx="12">
                  <c:v>86.982554162771336</c:v>
                </c:pt>
                <c:pt idx="13">
                  <c:v>97.563506679441005</c:v>
                </c:pt>
                <c:pt idx="14">
                  <c:v>109.23553437682619</c:v>
                </c:pt>
                <c:pt idx="15">
                  <c:v>112.82992374032519</c:v>
                </c:pt>
                <c:pt idx="16">
                  <c:v>118.46739004262697</c:v>
                </c:pt>
                <c:pt idx="17">
                  <c:v>134.68779398440566</c:v>
                </c:pt>
                <c:pt idx="18">
                  <c:v>163.30684026034257</c:v>
                </c:pt>
                <c:pt idx="19">
                  <c:v>177.48887503200791</c:v>
                </c:pt>
                <c:pt idx="20">
                  <c:v>181.93516201684196</c:v>
                </c:pt>
                <c:pt idx="21">
                  <c:v>184.95094744770824</c:v>
                </c:pt>
                <c:pt idx="22">
                  <c:v>188.12352388399225</c:v>
                </c:pt>
                <c:pt idx="23">
                  <c:v>190.83221335010813</c:v>
                </c:pt>
                <c:pt idx="24">
                  <c:v>194.99504713856189</c:v>
                </c:pt>
                <c:pt idx="25">
                  <c:v>195.26584983866132</c:v>
                </c:pt>
                <c:pt idx="26">
                  <c:v>197.13512678848963</c:v>
                </c:pt>
                <c:pt idx="27">
                  <c:v>200.9986606540254</c:v>
                </c:pt>
                <c:pt idx="28">
                  <c:v>211.50525005586016</c:v>
                </c:pt>
                <c:pt idx="29">
                  <c:v>213.01239577366141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56-4D7B-8513-EE5A75527EC6}"/>
            </c:ext>
          </c:extLst>
        </c:ser>
        <c:ser>
          <c:idx val="1"/>
          <c:order val="1"/>
          <c:invertIfNegative val="0"/>
          <c:val>
            <c:numRef>
              <c:f>Лист2!$G$21:$G$50</c:f>
              <c:numCache>
                <c:formatCode>General</c:formatCode>
                <c:ptCount val="30"/>
                <c:pt idx="0">
                  <c:v>0</c:v>
                </c:pt>
                <c:pt idx="1">
                  <c:v>33.845679414234318</c:v>
                </c:pt>
                <c:pt idx="2">
                  <c:v>34.912134079076381</c:v>
                </c:pt>
                <c:pt idx="3">
                  <c:v>55.127897537974484</c:v>
                </c:pt>
                <c:pt idx="4">
                  <c:v>54.47334857931417</c:v>
                </c:pt>
                <c:pt idx="5">
                  <c:v>75.532899406088859</c:v>
                </c:pt>
                <c:pt idx="6">
                  <c:v>295.68776565985991</c:v>
                </c:pt>
                <c:pt idx="7">
                  <c:v>314.01304869946205</c:v>
                </c:pt>
                <c:pt idx="8">
                  <c:v>306.76547343255436</c:v>
                </c:pt>
                <c:pt idx="9">
                  <c:v>307.04463435431001</c:v>
                </c:pt>
                <c:pt idx="10">
                  <c:v>297.49033815575154</c:v>
                </c:pt>
                <c:pt idx="11">
                  <c:v>315.87441366761857</c:v>
                </c:pt>
                <c:pt idx="12">
                  <c:v>320.00371247587702</c:v>
                </c:pt>
                <c:pt idx="13">
                  <c:v>337.46417543942567</c:v>
                </c:pt>
                <c:pt idx="14">
                  <c:v>335.60549182466548</c:v>
                </c:pt>
                <c:pt idx="15">
                  <c:v>352.67508495781817</c:v>
                </c:pt>
                <c:pt idx="16">
                  <c:v>375.59605575845279</c:v>
                </c:pt>
                <c:pt idx="17">
                  <c:v>382.52675120198649</c:v>
                </c:pt>
                <c:pt idx="18">
                  <c:v>396.94055785885598</c:v>
                </c:pt>
                <c:pt idx="19">
                  <c:v>384.54123996355116</c:v>
                </c:pt>
                <c:pt idx="20">
                  <c:v>393.76551778539891</c:v>
                </c:pt>
                <c:pt idx="21">
                  <c:v>412.76432651264884</c:v>
                </c:pt>
                <c:pt idx="22">
                  <c:v>433.46366495651137</c:v>
                </c:pt>
                <c:pt idx="23">
                  <c:v>470.11382381760581</c:v>
                </c:pt>
                <c:pt idx="24">
                  <c:v>471.29810646931912</c:v>
                </c:pt>
                <c:pt idx="25">
                  <c:v>472.66807928830099</c:v>
                </c:pt>
                <c:pt idx="26">
                  <c:v>502.54165988848172</c:v>
                </c:pt>
                <c:pt idx="27">
                  <c:v>533.69420911510156</c:v>
                </c:pt>
                <c:pt idx="28">
                  <c:v>533.97078780376364</c:v>
                </c:pt>
                <c:pt idx="29">
                  <c:v>549.37604099286784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56-4D7B-8513-EE5A75527EC6}"/>
            </c:ext>
          </c:extLst>
        </c:ser>
        <c:ser>
          <c:idx val="2"/>
          <c:order val="2"/>
          <c:invertIfNegative val="0"/>
          <c:val>
            <c:numRef>
              <c:f>Лист2!$H$21:$H$50</c:f>
              <c:numCache>
                <c:formatCode>General</c:formatCode>
                <c:ptCount val="30"/>
                <c:pt idx="0">
                  <c:v>37.116794108442662</c:v>
                </c:pt>
                <c:pt idx="1">
                  <c:v>7.9544488303926215</c:v>
                </c:pt>
                <c:pt idx="2">
                  <c:v>29.735242493210251</c:v>
                </c:pt>
                <c:pt idx="3">
                  <c:v>7.0624841697771501</c:v>
                </c:pt>
                <c:pt idx="4">
                  <c:v>35.403835137710161</c:v>
                </c:pt>
                <c:pt idx="5">
                  <c:v>220.74910521255785</c:v>
                </c:pt>
                <c:pt idx="6">
                  <c:v>22.882137975162777</c:v>
                </c:pt>
                <c:pt idx="7">
                  <c:v>9.0622785797734196E-2</c:v>
                </c:pt>
                <c:pt idx="8">
                  <c:v>8.23646588180452</c:v>
                </c:pt>
                <c:pt idx="9">
                  <c:v>3.5653199105116755</c:v>
                </c:pt>
                <c:pt idx="10">
                  <c:v>20.166447658589391</c:v>
                </c:pt>
                <c:pt idx="11">
                  <c:v>4.6762239812855455</c:v>
                </c:pt>
                <c:pt idx="12">
                  <c:v>28.041415480218291</c:v>
                </c:pt>
                <c:pt idx="13">
                  <c:v>9.813344082625008</c:v>
                </c:pt>
                <c:pt idx="14">
                  <c:v>20.66398249665167</c:v>
                </c:pt>
                <c:pt idx="15">
                  <c:v>28.558437102936409</c:v>
                </c:pt>
                <c:pt idx="16">
                  <c:v>23.151099385312364</c:v>
                </c:pt>
                <c:pt idx="17">
                  <c:v>43.032852932806463</c:v>
                </c:pt>
                <c:pt idx="18">
                  <c:v>1.7827168763604959</c:v>
                </c:pt>
                <c:pt idx="19">
                  <c:v>13.670564806681796</c:v>
                </c:pt>
                <c:pt idx="20">
                  <c:v>22.014594158116211</c:v>
                </c:pt>
                <c:pt idx="21">
                  <c:v>23.871914880146505</c:v>
                </c:pt>
                <c:pt idx="22">
                  <c:v>39.358848327210353</c:v>
                </c:pt>
                <c:pt idx="23">
                  <c:v>5.3471164401670421</c:v>
                </c:pt>
                <c:pt idx="24">
                  <c:v>1.6407755190813305</c:v>
                </c:pt>
                <c:pt idx="25">
                  <c:v>31.742857550009035</c:v>
                </c:pt>
                <c:pt idx="26">
                  <c:v>35.016083092155554</c:v>
                </c:pt>
                <c:pt idx="27">
                  <c:v>10.783168090496929</c:v>
                </c:pt>
                <c:pt idx="28">
                  <c:v>16.912398906905423</c:v>
                </c:pt>
                <c:pt idx="29">
                  <c:v>48.661211825336068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56-4D7B-8513-EE5A75527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992640"/>
        <c:axId val="112994176"/>
      </c:barChart>
      <c:catAx>
        <c:axId val="11299264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12994176"/>
        <c:crosses val="autoZero"/>
        <c:auto val="1"/>
        <c:lblAlgn val="ctr"/>
        <c:lblOffset val="100"/>
        <c:noMultiLvlLbl val="0"/>
      </c:catAx>
      <c:valAx>
        <c:axId val="11299417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1299264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ru-RU" sz="16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r>
              <a:rPr lang="ru-RU" sz="16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rPr>
              <a:t>Диаграмма пребывания заявок в очереди 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Лист2!$C$21:$C$50</c:f>
              <c:numCache>
                <c:formatCode>General</c:formatCode>
                <c:ptCount val="30"/>
                <c:pt idx="0">
                  <c:v>9.3471384934060939</c:v>
                </c:pt>
                <c:pt idx="1">
                  <c:v>12.618253187614435</c:v>
                </c:pt>
                <c:pt idx="2">
                  <c:v>19.506247353164998</c:v>
                </c:pt>
                <c:pt idx="3">
                  <c:v>29.025726387477143</c:v>
                </c:pt>
                <c:pt idx="4">
                  <c:v>36.742759515914607</c:v>
                </c:pt>
                <c:pt idx="5">
                  <c:v>51.087043826850085</c:v>
                </c:pt>
                <c:pt idx="6">
                  <c:v>51.68128278563691</c:v>
                </c:pt>
                <c:pt idx="7">
                  <c:v>56.238137721197511</c:v>
                </c:pt>
                <c:pt idx="8">
                  <c:v>63.576335773902933</c:v>
                </c:pt>
                <c:pt idx="9">
                  <c:v>71.533640733951785</c:v>
                </c:pt>
                <c:pt idx="10">
                  <c:v>84.653256843021907</c:v>
                </c:pt>
                <c:pt idx="11">
                  <c:v>86.435628989744231</c:v>
                </c:pt>
                <c:pt idx="12">
                  <c:v>86.982554162771336</c:v>
                </c:pt>
                <c:pt idx="13">
                  <c:v>97.563506679441005</c:v>
                </c:pt>
                <c:pt idx="14">
                  <c:v>109.23553437682619</c:v>
                </c:pt>
                <c:pt idx="15">
                  <c:v>112.82992374032519</c:v>
                </c:pt>
                <c:pt idx="16">
                  <c:v>118.46739004262697</c:v>
                </c:pt>
                <c:pt idx="17">
                  <c:v>134.68779398440566</c:v>
                </c:pt>
                <c:pt idx="18">
                  <c:v>163.30684026034257</c:v>
                </c:pt>
                <c:pt idx="19">
                  <c:v>177.48887503200791</c:v>
                </c:pt>
                <c:pt idx="20">
                  <c:v>181.93516201684196</c:v>
                </c:pt>
                <c:pt idx="21">
                  <c:v>184.95094744770824</c:v>
                </c:pt>
                <c:pt idx="22">
                  <c:v>188.12352388399225</c:v>
                </c:pt>
                <c:pt idx="23">
                  <c:v>190.83221335010813</c:v>
                </c:pt>
                <c:pt idx="24">
                  <c:v>194.99504713856189</c:v>
                </c:pt>
                <c:pt idx="25">
                  <c:v>195.26584983866132</c:v>
                </c:pt>
                <c:pt idx="26">
                  <c:v>197.13512678848963</c:v>
                </c:pt>
                <c:pt idx="27">
                  <c:v>200.9986606540254</c:v>
                </c:pt>
                <c:pt idx="28">
                  <c:v>211.50525005586016</c:v>
                </c:pt>
                <c:pt idx="29">
                  <c:v>213.01239577366141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11-4B09-A783-C55820589102}"/>
            </c:ext>
          </c:extLst>
        </c:ser>
        <c:ser>
          <c:idx val="1"/>
          <c:order val="1"/>
          <c:invertIfNegative val="0"/>
          <c:val>
            <c:numRef>
              <c:f>Лист2!$G$21:$G$50</c:f>
              <c:numCache>
                <c:formatCode>General</c:formatCode>
                <c:ptCount val="30"/>
                <c:pt idx="0">
                  <c:v>0</c:v>
                </c:pt>
                <c:pt idx="1">
                  <c:v>33.845679414234318</c:v>
                </c:pt>
                <c:pt idx="2">
                  <c:v>34.912134079076381</c:v>
                </c:pt>
                <c:pt idx="3">
                  <c:v>55.127897537974484</c:v>
                </c:pt>
                <c:pt idx="4">
                  <c:v>54.47334857931417</c:v>
                </c:pt>
                <c:pt idx="5">
                  <c:v>75.532899406088859</c:v>
                </c:pt>
                <c:pt idx="6">
                  <c:v>295.68776565985991</c:v>
                </c:pt>
                <c:pt idx="7">
                  <c:v>314.01304869946205</c:v>
                </c:pt>
                <c:pt idx="8">
                  <c:v>306.76547343255436</c:v>
                </c:pt>
                <c:pt idx="9">
                  <c:v>307.04463435431001</c:v>
                </c:pt>
                <c:pt idx="10">
                  <c:v>297.49033815575154</c:v>
                </c:pt>
                <c:pt idx="11">
                  <c:v>315.87441366761857</c:v>
                </c:pt>
                <c:pt idx="12">
                  <c:v>320.00371247587702</c:v>
                </c:pt>
                <c:pt idx="13">
                  <c:v>337.46417543942567</c:v>
                </c:pt>
                <c:pt idx="14">
                  <c:v>335.60549182466548</c:v>
                </c:pt>
                <c:pt idx="15">
                  <c:v>352.67508495781817</c:v>
                </c:pt>
                <c:pt idx="16">
                  <c:v>375.59605575845279</c:v>
                </c:pt>
                <c:pt idx="17">
                  <c:v>382.52675120198649</c:v>
                </c:pt>
                <c:pt idx="18">
                  <c:v>396.94055785885598</c:v>
                </c:pt>
                <c:pt idx="19">
                  <c:v>384.54123996355116</c:v>
                </c:pt>
                <c:pt idx="20">
                  <c:v>393.76551778539891</c:v>
                </c:pt>
                <c:pt idx="21">
                  <c:v>412.76432651264884</c:v>
                </c:pt>
                <c:pt idx="22">
                  <c:v>433.46366495651137</c:v>
                </c:pt>
                <c:pt idx="23">
                  <c:v>470.11382381760581</c:v>
                </c:pt>
                <c:pt idx="24">
                  <c:v>471.29810646931912</c:v>
                </c:pt>
                <c:pt idx="25">
                  <c:v>472.66807928830099</c:v>
                </c:pt>
                <c:pt idx="26">
                  <c:v>502.54165988848172</c:v>
                </c:pt>
                <c:pt idx="27">
                  <c:v>533.69420911510156</c:v>
                </c:pt>
                <c:pt idx="28">
                  <c:v>533.97078780376364</c:v>
                </c:pt>
                <c:pt idx="29">
                  <c:v>549.37604099286784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11-4B09-A783-C55820589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3018752"/>
        <c:axId val="113020288"/>
      </c:barChart>
      <c:catAx>
        <c:axId val="11301875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13020288"/>
        <c:crosses val="autoZero"/>
        <c:auto val="1"/>
        <c:lblAlgn val="ctr"/>
        <c:lblOffset val="100"/>
        <c:noMultiLvlLbl val="0"/>
      </c:catAx>
      <c:valAx>
        <c:axId val="1130202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1301875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Times New Roman" pitchFamily="18" charset="0"/>
                <a:cs typeface="Times New Roman" pitchFamily="18" charset="0"/>
              </a:defRPr>
            </a:pPr>
            <a:r>
              <a:rPr lang="ru-RU" sz="1400">
                <a:latin typeface="Times New Roman" pitchFamily="18" charset="0"/>
                <a:cs typeface="Times New Roman" pitchFamily="18" charset="0"/>
              </a:rPr>
              <a:t>Динамика</a:t>
            </a:r>
            <a:r>
              <a:rPr lang="ru-RU" sz="1400" baseline="0">
                <a:latin typeface="Times New Roman" pitchFamily="18" charset="0"/>
                <a:cs typeface="Times New Roman" pitchFamily="18" charset="0"/>
              </a:rPr>
              <a:t> потока заявок на обслуживание в СМО</a:t>
            </a:r>
            <a:endParaRPr lang="ru-RU" sz="1400">
              <a:latin typeface="Times New Roman" pitchFamily="18" charset="0"/>
              <a:cs typeface="Times New Roman" pitchFamily="18" charset="0"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chemeClr val="accent1"/>
              </a:fgClr>
              <a:bgClr>
                <a:schemeClr val="bg1"/>
              </a:bgClr>
            </a:pattFill>
          </c:spPr>
          <c:invertIfNegative val="0"/>
          <c:cat>
            <c:numRef>
              <c:f>Лист2!$J$526:$J$1525</c:f>
              <c:numCache>
                <c:formatCode>General</c:formatCode>
                <c:ptCount val="1000"/>
                <c:pt idx="0">
                  <c:v>9.3471384934060939</c:v>
                </c:pt>
                <c:pt idx="1">
                  <c:v>9.3471384934060939</c:v>
                </c:pt>
                <c:pt idx="2">
                  <c:v>12.618253187614435</c:v>
                </c:pt>
                <c:pt idx="3">
                  <c:v>19.506247353164998</c:v>
                </c:pt>
                <c:pt idx="4">
                  <c:v>29.025726387477143</c:v>
                </c:pt>
                <c:pt idx="5">
                  <c:v>36.742759515914607</c:v>
                </c:pt>
                <c:pt idx="6">
                  <c:v>46.463932601848754</c:v>
                </c:pt>
                <c:pt idx="7">
                  <c:v>51.087043826850085</c:v>
                </c:pt>
                <c:pt idx="8">
                  <c:v>51.68128278563691</c:v>
                </c:pt>
                <c:pt idx="9">
                  <c:v>54.418381432241375</c:v>
                </c:pt>
                <c:pt idx="10">
                  <c:v>56.238137721197511</c:v>
                </c:pt>
                <c:pt idx="11">
                  <c:v>63.576335773902933</c:v>
                </c:pt>
                <c:pt idx="12">
                  <c:v>71.533640733951785</c:v>
                </c:pt>
                <c:pt idx="13">
                  <c:v>84.153623925451626</c:v>
                </c:pt>
                <c:pt idx="14">
                  <c:v>84.653256843021907</c:v>
                </c:pt>
                <c:pt idx="15">
                  <c:v>86.435628989744231</c:v>
                </c:pt>
                <c:pt idx="16">
                  <c:v>86.982554162771336</c:v>
                </c:pt>
                <c:pt idx="17">
                  <c:v>91.216108095228776</c:v>
                </c:pt>
                <c:pt idx="18">
                  <c:v>97.563506679441005</c:v>
                </c:pt>
                <c:pt idx="19">
                  <c:v>109.23553437682619</c:v>
                </c:pt>
                <c:pt idx="20">
                  <c:v>112.82992374032519</c:v>
                </c:pt>
                <c:pt idx="21">
                  <c:v>118.46739004262697</c:v>
                </c:pt>
                <c:pt idx="22">
                  <c:v>126.61994323293894</c:v>
                </c:pt>
                <c:pt idx="23">
                  <c:v>134.68779398440566</c:v>
                </c:pt>
                <c:pt idx="24">
                  <c:v>163.30684026034257</c:v>
                </c:pt>
                <c:pt idx="25">
                  <c:v>177.48887503200791</c:v>
                </c:pt>
                <c:pt idx="26">
                  <c:v>181.93516201684196</c:v>
                </c:pt>
                <c:pt idx="27">
                  <c:v>184.95094744770824</c:v>
                </c:pt>
                <c:pt idx="28">
                  <c:v>188.12352388399225</c:v>
                </c:pt>
                <c:pt idx="29">
                  <c:v>190.83221335010813</c:v>
                </c:pt>
                <c:pt idx="30">
                  <c:v>194.99504713856189</c:v>
                </c:pt>
                <c:pt idx="31">
                  <c:v>195.26584983866132</c:v>
                </c:pt>
                <c:pt idx="32">
                  <c:v>197.13512678848963</c:v>
                </c:pt>
                <c:pt idx="33">
                  <c:v>200.9986606540254</c:v>
                </c:pt>
                <c:pt idx="34">
                  <c:v>211.50525005586016</c:v>
                </c:pt>
                <c:pt idx="35">
                  <c:v>213.01239577366141</c:v>
                </c:pt>
                <c:pt idx="36">
                  <c:v>214.33370694607879</c:v>
                </c:pt>
                <c:pt idx="37">
                  <c:v>220.42226577762463</c:v>
                </c:pt>
                <c:pt idx="38">
                  <c:v>223.28344295239856</c:v>
                </c:pt>
                <c:pt idx="39">
                  <c:v>226.9401194964033</c:v>
                </c:pt>
                <c:pt idx="40">
                  <c:v>228.36313695176304</c:v>
                </c:pt>
                <c:pt idx="41">
                  <c:v>238.56832512767508</c:v>
                </c:pt>
                <c:pt idx="42">
                  <c:v>240.49090974713167</c:v>
                </c:pt>
                <c:pt idx="43">
                  <c:v>255.91233573030442</c:v>
                </c:pt>
                <c:pt idx="44">
                  <c:v>269.67699497497654</c:v>
                </c:pt>
                <c:pt idx="45">
                  <c:v>274.66764576505113</c:v>
                </c:pt>
                <c:pt idx="46">
                  <c:v>276.36378799601283</c:v>
                </c:pt>
                <c:pt idx="47">
                  <c:v>284.91441628006942</c:v>
                </c:pt>
                <c:pt idx="48">
                  <c:v>289.72063385628007</c:v>
                </c:pt>
                <c:pt idx="49">
                  <c:v>291.83947887502666</c:v>
                </c:pt>
                <c:pt idx="50">
                  <c:v>298.29480243301521</c:v>
                </c:pt>
                <c:pt idx="51">
                  <c:v>309.63259408436744</c:v>
                </c:pt>
                <c:pt idx="52">
                  <c:v>313.73024587613713</c:v>
                </c:pt>
                <c:pt idx="53">
                  <c:v>317.7217856176174</c:v>
                </c:pt>
                <c:pt idx="54">
                  <c:v>318.36354156840935</c:v>
                </c:pt>
                <c:pt idx="55">
                  <c:v>319.03584068240417</c:v>
                </c:pt>
                <c:pt idx="56">
                  <c:v>328.73037631956151</c:v>
                </c:pt>
                <c:pt idx="57">
                  <c:v>343.9731691262059</c:v>
                </c:pt>
                <c:pt idx="58">
                  <c:v>347.36904844549679</c:v>
                </c:pt>
                <c:pt idx="59">
                  <c:v>370.25118642065956</c:v>
                </c:pt>
                <c:pt idx="60">
                  <c:v>370.3418092064573</c:v>
                </c:pt>
                <c:pt idx="61">
                  <c:v>378.57827508826176</c:v>
                </c:pt>
                <c:pt idx="62">
                  <c:v>382.14359499877344</c:v>
                </c:pt>
                <c:pt idx="63">
                  <c:v>393.10531801686034</c:v>
                </c:pt>
                <c:pt idx="64">
                  <c:v>401.4635618937092</c:v>
                </c:pt>
                <c:pt idx="65">
                  <c:v>402.31004265736283</c:v>
                </c:pt>
                <c:pt idx="66">
                  <c:v>406.98626663864837</c:v>
                </c:pt>
                <c:pt idx="67">
                  <c:v>427.80447356449821</c:v>
                </c:pt>
                <c:pt idx="68">
                  <c:v>435.02768211886666</c:v>
                </c:pt>
                <c:pt idx="69">
                  <c:v>435.67017268946654</c:v>
                </c:pt>
                <c:pt idx="70">
                  <c:v>444.84102620149167</c:v>
                </c:pt>
                <c:pt idx="71">
                  <c:v>465.50500869814334</c:v>
                </c:pt>
                <c:pt idx="72">
                  <c:v>474.88326620979734</c:v>
                </c:pt>
                <c:pt idx="73">
                  <c:v>479.08805318722955</c:v>
                </c:pt>
                <c:pt idx="74">
                  <c:v>487.89789216955575</c:v>
                </c:pt>
                <c:pt idx="75">
                  <c:v>492.16849476187707</c:v>
                </c:pt>
                <c:pt idx="76">
                  <c:v>494.06344580107975</c:v>
                </c:pt>
                <c:pt idx="77">
                  <c:v>495.66145034511021</c:v>
                </c:pt>
                <c:pt idx="78">
                  <c:v>497.49671458217466</c:v>
                </c:pt>
                <c:pt idx="79">
                  <c:v>505.30413046943687</c:v>
                </c:pt>
                <c:pt idx="80">
                  <c:v>511.89206571586425</c:v>
                </c:pt>
                <c:pt idx="81">
                  <c:v>517.21454518639212</c:v>
                </c:pt>
                <c:pt idx="82">
                  <c:v>535.94474470487808</c:v>
                </c:pt>
                <c:pt idx="83">
                  <c:v>545.35885504891837</c:v>
                </c:pt>
                <c:pt idx="84">
                  <c:v>560.24739811919858</c:v>
                </c:pt>
                <c:pt idx="85">
                  <c:v>562.03011499555907</c:v>
                </c:pt>
                <c:pt idx="86">
                  <c:v>562.10233390002122</c:v>
                </c:pt>
                <c:pt idx="87">
                  <c:v>575.70067980224087</c:v>
                </c:pt>
                <c:pt idx="88">
                  <c:v>586.81674135934452</c:v>
                </c:pt>
                <c:pt idx="89">
                  <c:v>597.71527396035708</c:v>
                </c:pt>
                <c:pt idx="90">
                  <c:v>605.69169575270848</c:v>
                </c:pt>
                <c:pt idx="91">
                  <c:v>606.1614330623612</c:v>
                </c:pt>
                <c:pt idx="92">
                  <c:v>611.26823231701371</c:v>
                </c:pt>
                <c:pt idx="93">
                  <c:v>616.7103063349598</c:v>
                </c:pt>
                <c:pt idx="94">
                  <c:v>621.58718884050359</c:v>
                </c:pt>
                <c:pt idx="95">
                  <c:v>634.58016321607124</c:v>
                </c:pt>
                <c:pt idx="96">
                  <c:v>654.12367580771263</c:v>
                </c:pt>
                <c:pt idx="97">
                  <c:v>654.2280668632186</c:v>
                </c:pt>
                <c:pt idx="98">
                  <c:v>660.94603716771394</c:v>
                </c:pt>
                <c:pt idx="99">
                  <c:v>661.16970340597652</c:v>
                </c:pt>
                <c:pt idx="100">
                  <c:v>662.32615032962372</c:v>
                </c:pt>
                <c:pt idx="101">
                  <c:v>666.29315360788098</c:v>
                </c:pt>
                <c:pt idx="102">
                  <c:v>667.93392912696231</c:v>
                </c:pt>
                <c:pt idx="103">
                  <c:v>674.47612754418253</c:v>
                </c:pt>
                <c:pt idx="104">
                  <c:v>699.67678667697135</c:v>
                </c:pt>
                <c:pt idx="105">
                  <c:v>712.25361881261506</c:v>
                </c:pt>
                <c:pt idx="106">
                  <c:v>722.23584076695386</c:v>
                </c:pt>
                <c:pt idx="107">
                  <c:v>734.6928697691269</c:v>
                </c:pt>
                <c:pt idx="108">
                  <c:v>736.15672577309078</c:v>
                </c:pt>
                <c:pt idx="109">
                  <c:v>737.13306451707308</c:v>
                </c:pt>
                <c:pt idx="110">
                  <c:v>740.18668141915782</c:v>
                </c:pt>
                <c:pt idx="111">
                  <c:v>740.60963029261006</c:v>
                </c:pt>
                <c:pt idx="112">
                  <c:v>745.47603785962383</c:v>
                </c:pt>
                <c:pt idx="113">
                  <c:v>752.15389424021475</c:v>
                </c:pt>
                <c:pt idx="114">
                  <c:v>761.1278779687409</c:v>
                </c:pt>
                <c:pt idx="115">
                  <c:v>762.38843676652925</c:v>
                </c:pt>
                <c:pt idx="116">
                  <c:v>770.37126179745621</c:v>
                </c:pt>
                <c:pt idx="117">
                  <c:v>778.82528184839327</c:v>
                </c:pt>
                <c:pt idx="118">
                  <c:v>789.83859938286434</c:v>
                </c:pt>
                <c:pt idx="119">
                  <c:v>794.4633942978528</c:v>
                </c:pt>
                <c:pt idx="120">
                  <c:v>797.02166143322393</c:v>
                </c:pt>
                <c:pt idx="121">
                  <c:v>801.71481520907935</c:v>
                </c:pt>
                <c:pt idx="122">
                  <c:v>811.04964859186532</c:v>
                </c:pt>
                <c:pt idx="123">
                  <c:v>830.94075854985147</c:v>
                </c:pt>
                <c:pt idx="124">
                  <c:v>837.44767157441288</c:v>
                </c:pt>
                <c:pt idx="125">
                  <c:v>839.4238215767391</c:v>
                </c:pt>
                <c:pt idx="126">
                  <c:v>846.53463747689898</c:v>
                </c:pt>
                <c:pt idx="127">
                  <c:v>855.24559718465059</c:v>
                </c:pt>
                <c:pt idx="128">
                  <c:v>865.33874226149646</c:v>
                </c:pt>
                <c:pt idx="129">
                  <c:v>871.71400088839619</c:v>
                </c:pt>
                <c:pt idx="130">
                  <c:v>896.90678741967611</c:v>
                </c:pt>
                <c:pt idx="131">
                  <c:v>899.40405206876846</c:v>
                </c:pt>
                <c:pt idx="132">
                  <c:v>906.56960049088968</c:v>
                </c:pt>
                <c:pt idx="133">
                  <c:v>907.3378106691506</c:v>
                </c:pt>
                <c:pt idx="134">
                  <c:v>923.24521407902137</c:v>
                </c:pt>
                <c:pt idx="135">
                  <c:v>935.84430379576463</c:v>
                </c:pt>
                <c:pt idx="136">
                  <c:v>939.45289173467211</c:v>
                </c:pt>
                <c:pt idx="137">
                  <c:v>942.6490656983226</c:v>
                </c:pt>
                <c:pt idx="138">
                  <c:v>952.79175268917425</c:v>
                </c:pt>
                <c:pt idx="139">
                  <c:v>961.83910898177317</c:v>
                </c:pt>
                <c:pt idx="140">
                  <c:v>963.96598915235154</c:v>
                </c:pt>
                <c:pt idx="141">
                  <c:v>971.35683829062521</c:v>
                </c:pt>
                <c:pt idx="142">
                  <c:v>976.202228932916</c:v>
                </c:pt>
                <c:pt idx="143">
                  <c:v>979.48290668897289</c:v>
                </c:pt>
                <c:pt idx="144">
                  <c:v>983.68407692681672</c:v>
                </c:pt>
                <c:pt idx="145">
                  <c:v>991.97140805433412</c:v>
                </c:pt>
                <c:pt idx="146">
                  <c:v>992.78381615463252</c:v>
                </c:pt>
                <c:pt idx="147">
                  <c:v>998.39164700411743</c:v>
                </c:pt>
                <c:pt idx="148">
                  <c:v>999.404925989665</c:v>
                </c:pt>
                <c:pt idx="149">
                  <c:v>1009.9822486007247</c:v>
                </c:pt>
                <c:pt idx="150">
                  <c:v>1034.0972145606961</c:v>
                </c:pt>
                <c:pt idx="151">
                  <c:v>1041.502016806229</c:v>
                </c:pt>
                <c:pt idx="152">
                  <c:v>1044.9900821887247</c:v>
                </c:pt>
                <c:pt idx="153">
                  <c:v>1046.0234539596327</c:v>
                </c:pt>
                <c:pt idx="154">
                  <c:v>1049.9873874768848</c:v>
                </c:pt>
                <c:pt idx="155">
                  <c:v>1055.6881322109361</c:v>
                </c:pt>
                <c:pt idx="156">
                  <c:v>1060.8663301973277</c:v>
                </c:pt>
                <c:pt idx="157">
                  <c:v>1062.1552625416641</c:v>
                </c:pt>
                <c:pt idx="158">
                  <c:v>1068.2530639715224</c:v>
                </c:pt>
                <c:pt idx="159">
                  <c:v>1073.2903495642231</c:v>
                </c:pt>
                <c:pt idx="160">
                  <c:v>1074.0105003824895</c:v>
                </c:pt>
                <c:pt idx="161">
                  <c:v>1076.8365954958442</c:v>
                </c:pt>
                <c:pt idx="162">
                  <c:v>1078.0433512286752</c:v>
                </c:pt>
                <c:pt idx="163">
                  <c:v>1087.6692087800734</c:v>
                </c:pt>
                <c:pt idx="164">
                  <c:v>1087.8066251278585</c:v>
                </c:pt>
                <c:pt idx="165">
                  <c:v>1090.4723906962504</c:v>
                </c:pt>
                <c:pt idx="166">
                  <c:v>1092.0756774939377</c:v>
                </c:pt>
                <c:pt idx="167">
                  <c:v>1099.5476324119666</c:v>
                </c:pt>
                <c:pt idx="168">
                  <c:v>1103.3072567811278</c:v>
                </c:pt>
                <c:pt idx="169">
                  <c:v>1108.3685617028348</c:v>
                </c:pt>
                <c:pt idx="170">
                  <c:v>1122.6912420216738</c:v>
                </c:pt>
                <c:pt idx="171">
                  <c:v>1128.4589958800436</c:v>
                </c:pt>
                <c:pt idx="172">
                  <c:v>1130.5247229544045</c:v>
                </c:pt>
                <c:pt idx="173">
                  <c:v>1141.7385156294088</c:v>
                </c:pt>
                <c:pt idx="174">
                  <c:v>1151.5411267619372</c:v>
                </c:pt>
                <c:pt idx="175">
                  <c:v>1158.5670313670244</c:v>
                </c:pt>
                <c:pt idx="176">
                  <c:v>1174.723273829562</c:v>
                </c:pt>
                <c:pt idx="177">
                  <c:v>1177.690467152463</c:v>
                </c:pt>
                <c:pt idx="178">
                  <c:v>1193.7190325579761</c:v>
                </c:pt>
                <c:pt idx="179">
                  <c:v>1196.2208607476809</c:v>
                </c:pt>
                <c:pt idx="180">
                  <c:v>1207.0372561769477</c:v>
                </c:pt>
                <c:pt idx="181">
                  <c:v>1208.1439384206726</c:v>
                </c:pt>
                <c:pt idx="182">
                  <c:v>1210.7385081737905</c:v>
                </c:pt>
                <c:pt idx="183">
                  <c:v>1212.3304240262141</c:v>
                </c:pt>
                <c:pt idx="184">
                  <c:v>1216.0172515635784</c:v>
                </c:pt>
                <c:pt idx="185">
                  <c:v>1217.2508676878276</c:v>
                </c:pt>
                <c:pt idx="186">
                  <c:v>1223.2897393892986</c:v>
                </c:pt>
                <c:pt idx="187">
                  <c:v>1230.9892039338022</c:v>
                </c:pt>
                <c:pt idx="188">
                  <c:v>1236.0776306266873</c:v>
                </c:pt>
                <c:pt idx="189">
                  <c:v>1236.802768658617</c:v>
                </c:pt>
                <c:pt idx="190">
                  <c:v>1238.174816966</c:v>
                </c:pt>
                <c:pt idx="191">
                  <c:v>1239.9045473642464</c:v>
                </c:pt>
                <c:pt idx="192">
                  <c:v>1244.2839735304701</c:v>
                </c:pt>
                <c:pt idx="193">
                  <c:v>1252.3336449861683</c:v>
                </c:pt>
                <c:pt idx="194">
                  <c:v>1258.2953875380667</c:v>
                </c:pt>
                <c:pt idx="195">
                  <c:v>1261.7295154788569</c:v>
                </c:pt>
                <c:pt idx="196">
                  <c:v>1276.1481682074889</c:v>
                </c:pt>
                <c:pt idx="197">
                  <c:v>1282.5047032637287</c:v>
                </c:pt>
                <c:pt idx="198">
                  <c:v>1301.8706739376944</c:v>
                </c:pt>
                <c:pt idx="199">
                  <c:v>1302.5402099252833</c:v>
                </c:pt>
                <c:pt idx="200">
                  <c:v>1306.2369684137873</c:v>
                </c:pt>
                <c:pt idx="201">
                  <c:v>1317.7001590794662</c:v>
                </c:pt>
                <c:pt idx="202">
                  <c:v>1318.046775330946</c:v>
                </c:pt>
                <c:pt idx="203">
                  <c:v>1323.7321622759468</c:v>
                </c:pt>
                <c:pt idx="204">
                  <c:v>1327.555009648707</c:v>
                </c:pt>
                <c:pt idx="205">
                  <c:v>1328.5805311165755</c:v>
                </c:pt>
                <c:pt idx="206">
                  <c:v>1335.884048891751</c:v>
                </c:pt>
                <c:pt idx="207">
                  <c:v>1341.8475033074424</c:v>
                </c:pt>
                <c:pt idx="208">
                  <c:v>1348.1770042670603</c:v>
                </c:pt>
                <c:pt idx="209">
                  <c:v>1360.1516234915011</c:v>
                </c:pt>
                <c:pt idx="210">
                  <c:v>1362.0768913438769</c:v>
                </c:pt>
                <c:pt idx="211">
                  <c:v>1364.0937886858615</c:v>
                </c:pt>
                <c:pt idx="212">
                  <c:v>1364.5589168988843</c:v>
                </c:pt>
                <c:pt idx="213">
                  <c:v>1388.2267541213785</c:v>
                </c:pt>
                <c:pt idx="214">
                  <c:v>1393.1773955973335</c:v>
                </c:pt>
                <c:pt idx="215">
                  <c:v>1409.2416970622398</c:v>
                </c:pt>
                <c:pt idx="216">
                  <c:v>1438.9057740172666</c:v>
                </c:pt>
                <c:pt idx="217">
                  <c:v>1441.5219099227652</c:v>
                </c:pt>
                <c:pt idx="218">
                  <c:v>1453.40677552795</c:v>
                </c:pt>
                <c:pt idx="219">
                  <c:v>1461.6096622790774</c:v>
                </c:pt>
                <c:pt idx="220">
                  <c:v>1473.6262935148798</c:v>
                </c:pt>
                <c:pt idx="221">
                  <c:v>1476.7392311023443</c:v>
                </c:pt>
                <c:pt idx="222">
                  <c:v>1484.3095614588888</c:v>
                </c:pt>
                <c:pt idx="223">
                  <c:v>1491.5610993649091</c:v>
                </c:pt>
                <c:pt idx="224">
                  <c:v>1508.8534994574479</c:v>
                </c:pt>
                <c:pt idx="225">
                  <c:v>1530.6843313700303</c:v>
                </c:pt>
                <c:pt idx="226">
                  <c:v>1557.8439981647311</c:v>
                </c:pt>
                <c:pt idx="227">
                  <c:v>1573.3813747056681</c:v>
                </c:pt>
                <c:pt idx="228">
                  <c:v>1576.338355539322</c:v>
                </c:pt>
                <c:pt idx="229">
                  <c:v>1584.6356824369866</c:v>
                </c:pt>
                <c:pt idx="230">
                  <c:v>1586.3022206892301</c:v>
                </c:pt>
                <c:pt idx="231">
                  <c:v>1590.0046478696052</c:v>
                </c:pt>
                <c:pt idx="232">
                  <c:v>1590.9007685016923</c:v>
                </c:pt>
                <c:pt idx="233">
                  <c:v>1605.4097062727819</c:v>
                </c:pt>
                <c:pt idx="234">
                  <c:v>1611.3769523197766</c:v>
                </c:pt>
                <c:pt idx="235">
                  <c:v>1621.9521829873734</c:v>
                </c:pt>
                <c:pt idx="236">
                  <c:v>1624.0167718270693</c:v>
                </c:pt>
                <c:pt idx="237">
                  <c:v>1638.096110220921</c:v>
                </c:pt>
                <c:pt idx="238">
                  <c:v>1656.340461288431</c:v>
                </c:pt>
                <c:pt idx="239">
                  <c:v>1657.1879681035825</c:v>
                </c:pt>
                <c:pt idx="240">
                  <c:v>1660.7204179371963</c:v>
                </c:pt>
                <c:pt idx="241">
                  <c:v>1673.2303925773806</c:v>
                </c:pt>
                <c:pt idx="242">
                  <c:v>1690.3996873321439</c:v>
                </c:pt>
                <c:pt idx="243">
                  <c:v>1703.5299028282234</c:v>
                </c:pt>
                <c:pt idx="244">
                  <c:v>1713.9967847070491</c:v>
                </c:pt>
                <c:pt idx="245">
                  <c:v>1716.5040925527674</c:v>
                </c:pt>
                <c:pt idx="246">
                  <c:v>1722.6706694323771</c:v>
                </c:pt>
                <c:pt idx="247">
                  <c:v>1755.8039341796007</c:v>
                </c:pt>
                <c:pt idx="248">
                  <c:v>1761.1002681604245</c:v>
                </c:pt>
                <c:pt idx="249">
                  <c:v>1765.9759727465885</c:v>
                </c:pt>
                <c:pt idx="250">
                  <c:v>1791.1139668345313</c:v>
                </c:pt>
                <c:pt idx="251">
                  <c:v>1799.7269203750759</c:v>
                </c:pt>
                <c:pt idx="252">
                  <c:v>1822.7909253353794</c:v>
                </c:pt>
                <c:pt idx="253">
                  <c:v>1831.6360652680414</c:v>
                </c:pt>
                <c:pt idx="254">
                  <c:v>1833.0684802770757</c:v>
                </c:pt>
                <c:pt idx="255">
                  <c:v>1844.2504262003381</c:v>
                </c:pt>
                <c:pt idx="256">
                  <c:v>1845.8081387274638</c:v>
                </c:pt>
                <c:pt idx="257">
                  <c:v>1848.0165712883293</c:v>
                </c:pt>
                <c:pt idx="258">
                  <c:v>1860.8985994167654</c:v>
                </c:pt>
                <c:pt idx="259">
                  <c:v>1870.6799431473166</c:v>
                </c:pt>
                <c:pt idx="260">
                  <c:v>1883.4917509242805</c:v>
                </c:pt>
                <c:pt idx="261">
                  <c:v>1886.76850529231</c:v>
                </c:pt>
                <c:pt idx="262">
                  <c:v>1893.9706176739801</c:v>
                </c:pt>
                <c:pt idx="263">
                  <c:v>1899.4764103851735</c:v>
                </c:pt>
                <c:pt idx="264">
                  <c:v>1903.8498201710938</c:v>
                </c:pt>
                <c:pt idx="265">
                  <c:v>1905.4937275258349</c:v>
                </c:pt>
                <c:pt idx="266">
                  <c:v>1906.4210998803189</c:v>
                </c:pt>
                <c:pt idx="267">
                  <c:v>1914.5303419948757</c:v>
                </c:pt>
                <c:pt idx="268">
                  <c:v>1922.89865804696</c:v>
                </c:pt>
                <c:pt idx="269">
                  <c:v>1942.6624637862421</c:v>
                </c:pt>
                <c:pt idx="270">
                  <c:v>1945.539068566442</c:v>
                </c:pt>
                <c:pt idx="271">
                  <c:v>1951.4242128942776</c:v>
                </c:pt>
                <c:pt idx="272">
                  <c:v>1954.7558236172667</c:v>
                </c:pt>
                <c:pt idx="273">
                  <c:v>1957.0192208229748</c:v>
                </c:pt>
                <c:pt idx="274">
                  <c:v>1962.8555777367619</c:v>
                </c:pt>
                <c:pt idx="275">
                  <c:v>1977.6400364884491</c:v>
                </c:pt>
                <c:pt idx="276">
                  <c:v>1977.8648795502288</c:v>
                </c:pt>
                <c:pt idx="277">
                  <c:v>1984.1606466416486</c:v>
                </c:pt>
                <c:pt idx="278">
                  <c:v>1986.5705010171187</c:v>
                </c:pt>
                <c:pt idx="279">
                  <c:v>1991.8205601614618</c:v>
                </c:pt>
                <c:pt idx="280">
                  <c:v>2011.6281487594699</c:v>
                </c:pt>
                <c:pt idx="281">
                  <c:v>2014.8205007532838</c:v>
                </c:pt>
                <c:pt idx="282">
                  <c:v>2026.2438505511457</c:v>
                </c:pt>
                <c:pt idx="283">
                  <c:v>2030.1712028852994</c:v>
                </c:pt>
                <c:pt idx="284">
                  <c:v>2034.6847563898784</c:v>
                </c:pt>
                <c:pt idx="285">
                  <c:v>2043.0628317854048</c:v>
                </c:pt>
                <c:pt idx="286">
                  <c:v>2070.4471734622089</c:v>
                </c:pt>
                <c:pt idx="287">
                  <c:v>2075.1843350110335</c:v>
                </c:pt>
                <c:pt idx="288">
                  <c:v>2081.8538876792031</c:v>
                </c:pt>
                <c:pt idx="289">
                  <c:v>2092.2453694005771</c:v>
                </c:pt>
                <c:pt idx="290">
                  <c:v>2093.293268338713</c:v>
                </c:pt>
                <c:pt idx="291">
                  <c:v>2098.0059847074717</c:v>
                </c:pt>
                <c:pt idx="292">
                  <c:v>2098.1558382531243</c:v>
                </c:pt>
                <c:pt idx="293">
                  <c:v>2100.4545861533898</c:v>
                </c:pt>
                <c:pt idx="294">
                  <c:v>2102.9002601458242</c:v>
                </c:pt>
                <c:pt idx="295">
                  <c:v>2104.9108571268521</c:v>
                </c:pt>
                <c:pt idx="296">
                  <c:v>2108.2813926207</c:v>
                </c:pt>
                <c:pt idx="297">
                  <c:v>2121.9471248646746</c:v>
                </c:pt>
                <c:pt idx="298">
                  <c:v>2142.2020131873091</c:v>
                </c:pt>
                <c:pt idx="299">
                  <c:v>2167.4364907166828</c:v>
                </c:pt>
                <c:pt idx="300">
                  <c:v>2184.2654309397135</c:v>
                </c:pt>
                <c:pt idx="301">
                  <c:v>2193.4060209281997</c:v>
                </c:pt>
                <c:pt idx="302">
                  <c:v>2211.8849972005182</c:v>
                </c:pt>
                <c:pt idx="303">
                  <c:v>2224.0613538967746</c:v>
                </c:pt>
                <c:pt idx="304">
                  <c:v>2225.4705658257326</c:v>
                </c:pt>
                <c:pt idx="305">
                  <c:v>2229.5326201223957</c:v>
                </c:pt>
                <c:pt idx="306">
                  <c:v>2230.7711929971688</c:v>
                </c:pt>
                <c:pt idx="307">
                  <c:v>2232.9249310680984</c:v>
                </c:pt>
                <c:pt idx="308">
                  <c:v>2235.8234158785381</c:v>
                </c:pt>
                <c:pt idx="309">
                  <c:v>2236.6225192779243</c:v>
                </c:pt>
                <c:pt idx="310">
                  <c:v>2240.7909635896899</c:v>
                </c:pt>
                <c:pt idx="311">
                  <c:v>2245.4961590314151</c:v>
                </c:pt>
                <c:pt idx="312">
                  <c:v>2257.117185643528</c:v>
                </c:pt>
                <c:pt idx="313">
                  <c:v>2266.0328058962418</c:v>
                </c:pt>
                <c:pt idx="314">
                  <c:v>2279.3952021582591</c:v>
                </c:pt>
                <c:pt idx="315">
                  <c:v>2284.9582672160027</c:v>
                </c:pt>
                <c:pt idx="316">
                  <c:v>2285.4749912507896</c:v>
                </c:pt>
                <c:pt idx="317">
                  <c:v>2286.5321305376488</c:v>
                </c:pt>
                <c:pt idx="318">
                  <c:v>2293.9261953621758</c:v>
                </c:pt>
                <c:pt idx="319">
                  <c:v>2294.3192775580055</c:v>
                </c:pt>
                <c:pt idx="320">
                  <c:v>2295.7750668305926</c:v>
                </c:pt>
                <c:pt idx="321">
                  <c:v>2301.2642248238949</c:v>
                </c:pt>
                <c:pt idx="322">
                  <c:v>2305.6010345706727</c:v>
                </c:pt>
                <c:pt idx="323">
                  <c:v>2310.7267562868624</c:v>
                </c:pt>
                <c:pt idx="324">
                  <c:v>2359.2958143196597</c:v>
                </c:pt>
                <c:pt idx="325">
                  <c:v>2362.5067605871091</c:v>
                </c:pt>
                <c:pt idx="326">
                  <c:v>2369.3572940617869</c:v>
                </c:pt>
                <c:pt idx="327">
                  <c:v>2369.6704672283049</c:v>
                </c:pt>
                <c:pt idx="328">
                  <c:v>2377.4625783353831</c:v>
                </c:pt>
                <c:pt idx="329">
                  <c:v>2390.4953768565788</c:v>
                </c:pt>
                <c:pt idx="330">
                  <c:v>2392.5295634957506</c:v>
                </c:pt>
                <c:pt idx="331">
                  <c:v>2393.9647176275203</c:v>
                </c:pt>
                <c:pt idx="332">
                  <c:v>2395.9611401426146</c:v>
                </c:pt>
                <c:pt idx="333">
                  <c:v>2402.2062866830811</c:v>
                </c:pt>
                <c:pt idx="334">
                  <c:v>2414.5785513858955</c:v>
                </c:pt>
                <c:pt idx="335">
                  <c:v>2417.2300343293596</c:v>
                </c:pt>
                <c:pt idx="336">
                  <c:v>2427.1417818270961</c:v>
                </c:pt>
                <c:pt idx="337">
                  <c:v>2429.4959432170217</c:v>
                </c:pt>
                <c:pt idx="338">
                  <c:v>2430.4146492711966</c:v>
                </c:pt>
                <c:pt idx="339">
                  <c:v>2441.2972215962586</c:v>
                </c:pt>
                <c:pt idx="340">
                  <c:v>2514.8802566671111</c:v>
                </c:pt>
                <c:pt idx="341">
                  <c:v>2522.5076359921654</c:v>
                </c:pt>
                <c:pt idx="342">
                  <c:v>2522.5378435874313</c:v>
                </c:pt>
                <c:pt idx="343">
                  <c:v>2525.2833322146994</c:v>
                </c:pt>
                <c:pt idx="344">
                  <c:v>2526.4717721848701</c:v>
                </c:pt>
                <c:pt idx="345">
                  <c:v>2533.1939214044</c:v>
                </c:pt>
                <c:pt idx="346">
                  <c:v>2534.7526627314951</c:v>
                </c:pt>
                <c:pt idx="347">
                  <c:v>2543.7471230764941</c:v>
                </c:pt>
                <c:pt idx="348">
                  <c:v>2544.0998012249011</c:v>
                </c:pt>
                <c:pt idx="349">
                  <c:v>2547.3709159191094</c:v>
                </c:pt>
                <c:pt idx="350">
                  <c:v>2554.2589100846599</c:v>
                </c:pt>
                <c:pt idx="351">
                  <c:v>2563.778389118972</c:v>
                </c:pt>
                <c:pt idx="352">
                  <c:v>2571.4954222474094</c:v>
                </c:pt>
                <c:pt idx="353">
                  <c:v>2573.6937889395103</c:v>
                </c:pt>
                <c:pt idx="354">
                  <c:v>2585.8397065583449</c:v>
                </c:pt>
                <c:pt idx="355">
                  <c:v>2586.4339455171316</c:v>
                </c:pt>
                <c:pt idx="356">
                  <c:v>2590.9908004526924</c:v>
                </c:pt>
                <c:pt idx="357">
                  <c:v>2598.328998505398</c:v>
                </c:pt>
                <c:pt idx="358">
                  <c:v>2606.286303465447</c:v>
                </c:pt>
                <c:pt idx="359">
                  <c:v>2615.4564439579212</c:v>
                </c:pt>
                <c:pt idx="360">
                  <c:v>2618.3854601898679</c:v>
                </c:pt>
                <c:pt idx="361">
                  <c:v>2619.4059195745172</c:v>
                </c:pt>
                <c:pt idx="362">
                  <c:v>2621.1882917212397</c:v>
                </c:pt>
                <c:pt idx="363">
                  <c:v>2621.7352168942666</c:v>
                </c:pt>
                <c:pt idx="364">
                  <c:v>2627.5463108961221</c:v>
                </c:pt>
                <c:pt idx="365">
                  <c:v>2628.8151575164788</c:v>
                </c:pt>
                <c:pt idx="366">
                  <c:v>2632.3161694109363</c:v>
                </c:pt>
                <c:pt idx="367">
                  <c:v>2643.9881971083214</c:v>
                </c:pt>
                <c:pt idx="368">
                  <c:v>2647.5825864718204</c:v>
                </c:pt>
                <c:pt idx="369">
                  <c:v>2653.220052774122</c:v>
                </c:pt>
                <c:pt idx="370">
                  <c:v>2663.447949359293</c:v>
                </c:pt>
                <c:pt idx="371">
                  <c:v>2669.4404567159008</c:v>
                </c:pt>
                <c:pt idx="372">
                  <c:v>2690.3699005448716</c:v>
                </c:pt>
                <c:pt idx="373">
                  <c:v>2698.0595029918377</c:v>
                </c:pt>
                <c:pt idx="374">
                  <c:v>2712.2415377635029</c:v>
                </c:pt>
                <c:pt idx="375">
                  <c:v>2716.6878247483369</c:v>
                </c:pt>
                <c:pt idx="376">
                  <c:v>2718.1000520310172</c:v>
                </c:pt>
                <c:pt idx="377">
                  <c:v>2719.7036101792032</c:v>
                </c:pt>
                <c:pt idx="378">
                  <c:v>2722.8761866154873</c:v>
                </c:pt>
                <c:pt idx="379">
                  <c:v>2725.5848760816034</c:v>
                </c:pt>
                <c:pt idx="380">
                  <c:v>2729.747709870057</c:v>
                </c:pt>
                <c:pt idx="381">
                  <c:v>2730.0185125701564</c:v>
                </c:pt>
                <c:pt idx="382">
                  <c:v>2731.8877895199848</c:v>
                </c:pt>
                <c:pt idx="383">
                  <c:v>2735.7513233855207</c:v>
                </c:pt>
                <c:pt idx="384">
                  <c:v>2743.4621121838281</c:v>
                </c:pt>
                <c:pt idx="385">
                  <c:v>2746.2579127873555</c:v>
                </c:pt>
                <c:pt idx="386">
                  <c:v>2747.765058505157</c:v>
                </c:pt>
                <c:pt idx="387">
                  <c:v>2749.0863696775746</c:v>
                </c:pt>
                <c:pt idx="388">
                  <c:v>2755.1749285091205</c:v>
                </c:pt>
                <c:pt idx="389">
                  <c:v>2758.0361056838942</c:v>
                </c:pt>
                <c:pt idx="390">
                  <c:v>2761.692782227899</c:v>
                </c:pt>
                <c:pt idx="391">
                  <c:v>2763.1157996832585</c:v>
                </c:pt>
                <c:pt idx="392">
                  <c:v>2773.3209878591706</c:v>
                </c:pt>
                <c:pt idx="393">
                  <c:v>2775.2435724786274</c:v>
                </c:pt>
                <c:pt idx="394">
                  <c:v>2776.5020647872416</c:v>
                </c:pt>
                <c:pt idx="395">
                  <c:v>2790.3764495322066</c:v>
                </c:pt>
                <c:pt idx="396">
                  <c:v>2790.6649984618002</c:v>
                </c:pt>
                <c:pt idx="397">
                  <c:v>2798.0512509383202</c:v>
                </c:pt>
                <c:pt idx="398">
                  <c:v>2804.4296577064724</c:v>
                </c:pt>
                <c:pt idx="399">
                  <c:v>2809.420308496547</c:v>
                </c:pt>
                <c:pt idx="400">
                  <c:v>2811.1164507275089</c:v>
                </c:pt>
                <c:pt idx="401">
                  <c:v>2812.1307122658864</c:v>
                </c:pt>
                <c:pt idx="402">
                  <c:v>2819.6670790115654</c:v>
                </c:pt>
                <c:pt idx="403">
                  <c:v>2824.4732965877761</c:v>
                </c:pt>
                <c:pt idx="404">
                  <c:v>2826.5921416065225</c:v>
                </c:pt>
                <c:pt idx="405">
                  <c:v>2833.0474651645113</c:v>
                </c:pt>
                <c:pt idx="406">
                  <c:v>2844.3852568158636</c:v>
                </c:pt>
                <c:pt idx="407">
                  <c:v>2848.4829086076334</c:v>
                </c:pt>
                <c:pt idx="408">
                  <c:v>2852.4744483491136</c:v>
                </c:pt>
                <c:pt idx="409">
                  <c:v>2853.1162042999053</c:v>
                </c:pt>
                <c:pt idx="410">
                  <c:v>2853.7885034139003</c:v>
                </c:pt>
                <c:pt idx="411">
                  <c:v>2863.4830390510579</c:v>
                </c:pt>
                <c:pt idx="412">
                  <c:v>2878.7258318577024</c:v>
                </c:pt>
                <c:pt idx="413">
                  <c:v>2899.8085422882027</c:v>
                </c:pt>
                <c:pt idx="414">
                  <c:v>2919.3292813618868</c:v>
                </c:pt>
                <c:pt idx="415">
                  <c:v>2925.2577313688653</c:v>
                </c:pt>
                <c:pt idx="416">
                  <c:v>2927.8579807483566</c:v>
                </c:pt>
                <c:pt idx="417">
                  <c:v>2936.2162246252055</c:v>
                </c:pt>
                <c:pt idx="418">
                  <c:v>2946.5901790693447</c:v>
                </c:pt>
                <c:pt idx="419">
                  <c:v>2962.5571362959945</c:v>
                </c:pt>
                <c:pt idx="420">
                  <c:v>2970.4228354209627</c:v>
                </c:pt>
                <c:pt idx="421">
                  <c:v>2972.7230581925996</c:v>
                </c:pt>
                <c:pt idx="422">
                  <c:v>3003.0024934231374</c:v>
                </c:pt>
                <c:pt idx="423">
                  <c:v>3009.6359289412935</c:v>
                </c:pt>
                <c:pt idx="424">
                  <c:v>3013.8407159187259</c:v>
                </c:pt>
                <c:pt idx="425">
                  <c:v>3022.1282693038365</c:v>
                </c:pt>
                <c:pt idx="426">
                  <c:v>3022.6505549010521</c:v>
                </c:pt>
                <c:pt idx="427">
                  <c:v>3026.9211574933734</c:v>
                </c:pt>
                <c:pt idx="428">
                  <c:v>3030.4141130766066</c:v>
                </c:pt>
                <c:pt idx="429">
                  <c:v>3032.2493773136712</c:v>
                </c:pt>
                <c:pt idx="430">
                  <c:v>3040.0567932009335</c:v>
                </c:pt>
                <c:pt idx="431">
                  <c:v>3046.6447284473606</c:v>
                </c:pt>
                <c:pt idx="432">
                  <c:v>3070.6974074363743</c:v>
                </c:pt>
                <c:pt idx="433">
                  <c:v>3080.1115177804145</c:v>
                </c:pt>
                <c:pt idx="434">
                  <c:v>3096.8549966315172</c:v>
                </c:pt>
                <c:pt idx="435">
                  <c:v>3105.1984228449533</c:v>
                </c:pt>
                <c:pt idx="436">
                  <c:v>3121.5694040908406</c:v>
                </c:pt>
                <c:pt idx="437">
                  <c:v>3126.6950681113167</c:v>
                </c:pt>
                <c:pt idx="438">
                  <c:v>3128.9996986460997</c:v>
                </c:pt>
                <c:pt idx="439">
                  <c:v>3140.4443584842047</c:v>
                </c:pt>
                <c:pt idx="440">
                  <c:v>3140.9140957938575</c:v>
                </c:pt>
                <c:pt idx="441">
                  <c:v>3146.0208950485098</c:v>
                </c:pt>
                <c:pt idx="442">
                  <c:v>3151.462969066456</c:v>
                </c:pt>
                <c:pt idx="443">
                  <c:v>3169.3328259475675</c:v>
                </c:pt>
                <c:pt idx="444">
                  <c:v>3176.721908875712</c:v>
                </c:pt>
                <c:pt idx="445">
                  <c:v>3188.876338539209</c:v>
                </c:pt>
                <c:pt idx="446">
                  <c:v>3188.9807295947148</c:v>
                </c:pt>
                <c:pt idx="447">
                  <c:v>3195.9223661374726</c:v>
                </c:pt>
                <c:pt idx="448">
                  <c:v>3197.0788130611199</c:v>
                </c:pt>
                <c:pt idx="449">
                  <c:v>3209.2287902756789</c:v>
                </c:pt>
                <c:pt idx="450">
                  <c:v>3214.519178025942</c:v>
                </c:pt>
                <c:pt idx="451">
                  <c:v>3234.933463733616</c:v>
                </c:pt>
                <c:pt idx="452">
                  <c:v>3247.0062815441115</c:v>
                </c:pt>
                <c:pt idx="453">
                  <c:v>3256.9885034984504</c:v>
                </c:pt>
                <c:pt idx="454">
                  <c:v>3270.9093885045872</c:v>
                </c:pt>
                <c:pt idx="455">
                  <c:v>3271.8857272485693</c:v>
                </c:pt>
                <c:pt idx="456">
                  <c:v>3274.9393441506541</c:v>
                </c:pt>
                <c:pt idx="457">
                  <c:v>3275.3622930241063</c:v>
                </c:pt>
                <c:pt idx="458">
                  <c:v>3286.9065569717109</c:v>
                </c:pt>
                <c:pt idx="459">
                  <c:v>3295.8805407002369</c:v>
                </c:pt>
                <c:pt idx="460">
                  <c:v>3298.8842340957031</c:v>
                </c:pt>
                <c:pt idx="461">
                  <c:v>3305.1239245289521</c:v>
                </c:pt>
                <c:pt idx="462">
                  <c:v>3313.5779445798889</c:v>
                </c:pt>
                <c:pt idx="463">
                  <c:v>3324.5912621143602</c:v>
                </c:pt>
                <c:pt idx="464">
                  <c:v>3329.2160570293486</c:v>
                </c:pt>
                <c:pt idx="465">
                  <c:v>3331.7743241647199</c:v>
                </c:pt>
                <c:pt idx="466">
                  <c:v>3335.5929534373963</c:v>
                </c:pt>
                <c:pt idx="467">
                  <c:v>3336.4674779405755</c:v>
                </c:pt>
                <c:pt idx="468">
                  <c:v>3358.0384974190983</c:v>
                </c:pt>
                <c:pt idx="469">
                  <c:v>3365.6934212813476</c:v>
                </c:pt>
                <c:pt idx="470">
                  <c:v>3372.2003343059091</c:v>
                </c:pt>
                <c:pt idx="471">
                  <c:v>3374.1764843082351</c:v>
                </c:pt>
                <c:pt idx="472">
                  <c:v>3381.2873002083948</c:v>
                </c:pt>
                <c:pt idx="473">
                  <c:v>3389.9982599161463</c:v>
                </c:pt>
                <c:pt idx="474">
                  <c:v>3400.091404992992</c:v>
                </c:pt>
                <c:pt idx="475">
                  <c:v>3405.2010446076438</c:v>
                </c:pt>
                <c:pt idx="476">
                  <c:v>3406.4666636198917</c:v>
                </c:pt>
                <c:pt idx="477">
                  <c:v>3434.1567148002641</c:v>
                </c:pt>
                <c:pt idx="478">
                  <c:v>3441.3222632223851</c:v>
                </c:pt>
                <c:pt idx="479">
                  <c:v>3442.0904734006463</c:v>
                </c:pt>
                <c:pt idx="480">
                  <c:v>3457.997876810517</c:v>
                </c:pt>
                <c:pt idx="481">
                  <c:v>3470.5969665272605</c:v>
                </c:pt>
                <c:pt idx="482">
                  <c:v>3477.4017284298184</c:v>
                </c:pt>
                <c:pt idx="483">
                  <c:v>3498.7186518838475</c:v>
                </c:pt>
                <c:pt idx="484">
                  <c:v>3509.2779103207367</c:v>
                </c:pt>
                <c:pt idx="485">
                  <c:v>3510.9548916644121</c:v>
                </c:pt>
                <c:pt idx="486">
                  <c:v>3518.4367396583129</c:v>
                </c:pt>
                <c:pt idx="487">
                  <c:v>3534.1575887211611</c:v>
                </c:pt>
                <c:pt idx="488">
                  <c:v>3541.9565132048219</c:v>
                </c:pt>
                <c:pt idx="489">
                  <c:v>3568.8498772921921</c:v>
                </c:pt>
                <c:pt idx="490">
                  <c:v>3574.050663271456</c:v>
                </c:pt>
                <c:pt idx="491">
                  <c:v>3579.7427449202205</c:v>
                </c:pt>
                <c:pt idx="492">
                  <c:v>3589.5852572306303</c:v>
                </c:pt>
                <c:pt idx="493">
                  <c:v>3590.4407949424317</c:v>
                </c:pt>
                <c:pt idx="494">
                  <c:v>3593.4520542636396</c:v>
                </c:pt>
                <c:pt idx="495">
                  <c:v>3595.618992928823</c:v>
                </c:pt>
                <c:pt idx="496">
                  <c:v>3596.9079252731594</c:v>
                </c:pt>
                <c:pt idx="497">
                  <c:v>3608.0430122957187</c:v>
                </c:pt>
                <c:pt idx="498">
                  <c:v>3608.7631631139848</c:v>
                </c:pt>
                <c:pt idx="499">
                  <c:v>3612.7960139601705</c:v>
                </c:pt>
                <c:pt idx="500">
                  <c:v>3622.4218715115685</c:v>
                </c:pt>
                <c:pt idx="501">
                  <c:v>3625.2250534277455</c:v>
                </c:pt>
                <c:pt idx="502">
                  <c:v>3626.8573153313164</c:v>
                </c:pt>
                <c:pt idx="503">
                  <c:v>3629.0177677861152</c:v>
                </c:pt>
                <c:pt idx="504">
                  <c:v>3634.3002951434614</c:v>
                </c:pt>
                <c:pt idx="505">
                  <c:v>3638.0599195126224</c:v>
                </c:pt>
                <c:pt idx="506">
                  <c:v>3641.1163203246724</c:v>
                </c:pt>
                <c:pt idx="507">
                  <c:v>3643.1212244343296</c:v>
                </c:pt>
                <c:pt idx="508">
                  <c:v>3665.2773856858994</c:v>
                </c:pt>
                <c:pt idx="509">
                  <c:v>3669.9938929788668</c:v>
                </c:pt>
                <c:pt idx="510">
                  <c:v>3676.4911783609036</c:v>
                </c:pt>
                <c:pt idx="511">
                  <c:v>3678.4034387273969</c:v>
                </c:pt>
                <c:pt idx="512">
                  <c:v>3686.2937894934321</c:v>
                </c:pt>
                <c:pt idx="513">
                  <c:v>3693.3196940985194</c:v>
                </c:pt>
                <c:pt idx="514">
                  <c:v>3705.6291638745452</c:v>
                </c:pt>
                <c:pt idx="515">
                  <c:v>3712.4431298839581</c:v>
                </c:pt>
                <c:pt idx="516">
                  <c:v>3716.9080369820285</c:v>
                </c:pt>
                <c:pt idx="517">
                  <c:v>3728.471695289471</c:v>
                </c:pt>
                <c:pt idx="518">
                  <c:v>3730.973523479176</c:v>
                </c:pt>
                <c:pt idx="519">
                  <c:v>3732.0919517471498</c:v>
                </c:pt>
                <c:pt idx="520">
                  <c:v>3741.7899189084428</c:v>
                </c:pt>
                <c:pt idx="521">
                  <c:v>3742.8966011521675</c:v>
                </c:pt>
                <c:pt idx="522">
                  <c:v>3745.4911709052853</c:v>
                </c:pt>
                <c:pt idx="523">
                  <c:v>3747.0830867577088</c:v>
                </c:pt>
                <c:pt idx="524">
                  <c:v>3752.0035304193225</c:v>
                </c:pt>
                <c:pt idx="525">
                  <c:v>3758.0424021207937</c:v>
                </c:pt>
                <c:pt idx="526">
                  <c:v>3771.5554313901121</c:v>
                </c:pt>
                <c:pt idx="527">
                  <c:v>3772.9274796974951</c:v>
                </c:pt>
                <c:pt idx="528">
                  <c:v>3774.6572100957414</c:v>
                </c:pt>
                <c:pt idx="529">
                  <c:v>3779.0366362619652</c:v>
                </c:pt>
                <c:pt idx="530">
                  <c:v>3787.0863077176637</c:v>
                </c:pt>
                <c:pt idx="531">
                  <c:v>3793.0480502695618</c:v>
                </c:pt>
                <c:pt idx="532">
                  <c:v>3798.5604355018595</c:v>
                </c:pt>
                <c:pt idx="533">
                  <c:v>3832.2018135268722</c:v>
                </c:pt>
                <c:pt idx="534">
                  <c:v>3837.2928726567784</c:v>
                </c:pt>
                <c:pt idx="535">
                  <c:v>3840.9896311452826</c:v>
                </c:pt>
                <c:pt idx="536">
                  <c:v>3852.4528218109617</c:v>
                </c:pt>
                <c:pt idx="537">
                  <c:v>3852.7994380624418</c:v>
                </c:pt>
                <c:pt idx="538">
                  <c:v>3858.4848250074424</c:v>
                </c:pt>
                <c:pt idx="539">
                  <c:v>3861.609646924458</c:v>
                </c:pt>
                <c:pt idx="540">
                  <c:v>3862.3076723802023</c:v>
                </c:pt>
                <c:pt idx="541">
                  <c:v>3863.333193848071</c:v>
                </c:pt>
                <c:pt idx="542">
                  <c:v>3876.6001660389379</c:v>
                </c:pt>
                <c:pt idx="543">
                  <c:v>3882.6873607397197</c:v>
                </c:pt>
                <c:pt idx="544">
                  <c:v>3899.31157963038</c:v>
                </c:pt>
                <c:pt idx="545">
                  <c:v>3922.9794168528742</c:v>
                </c:pt>
                <c:pt idx="546">
                  <c:v>3940.0576680960348</c:v>
                </c:pt>
                <c:pt idx="547">
                  <c:v>3943.9943597937358</c:v>
                </c:pt>
                <c:pt idx="548">
                  <c:v>3976.2745726542612</c:v>
                </c:pt>
                <c:pt idx="549">
                  <c:v>3988.1433643125738</c:v>
                </c:pt>
                <c:pt idx="550">
                  <c:v>3988.1594382594462</c:v>
                </c:pt>
                <c:pt idx="551">
                  <c:v>3995.6488488816885</c:v>
                </c:pt>
                <c:pt idx="552">
                  <c:v>3996.3623250105738</c:v>
                </c:pt>
                <c:pt idx="553">
                  <c:v>4008.3789562463762</c:v>
                </c:pt>
                <c:pt idx="554">
                  <c:v>4011.491893833841</c:v>
                </c:pt>
                <c:pt idx="555">
                  <c:v>4019.0622241903852</c:v>
                </c:pt>
                <c:pt idx="556">
                  <c:v>4026.3137620964053</c:v>
                </c:pt>
                <c:pt idx="557">
                  <c:v>4028.0980351694889</c:v>
                </c:pt>
                <c:pt idx="558">
                  <c:v>4031.4180819006633</c:v>
                </c:pt>
                <c:pt idx="559">
                  <c:v>4039.2017911600169</c:v>
                </c:pt>
                <c:pt idx="560">
                  <c:v>4043.6061621889444</c:v>
                </c:pt>
                <c:pt idx="561">
                  <c:v>4043.9775387172876</c:v>
                </c:pt>
                <c:pt idx="562">
                  <c:v>4058.7388697021279</c:v>
                </c:pt>
                <c:pt idx="563">
                  <c:v>4065.436994101527</c:v>
                </c:pt>
                <c:pt idx="564">
                  <c:v>4076.855484806541</c:v>
                </c:pt>
                <c:pt idx="565">
                  <c:v>4092.5966608962276</c:v>
                </c:pt>
                <c:pt idx="566">
                  <c:v>4108.1340374371648</c:v>
                </c:pt>
                <c:pt idx="567">
                  <c:v>4111.0910182708185</c:v>
                </c:pt>
                <c:pt idx="568">
                  <c:v>4117.3945726144957</c:v>
                </c:pt>
                <c:pt idx="569">
                  <c:v>4119.3883451684833</c:v>
                </c:pt>
                <c:pt idx="570">
                  <c:v>4121.5107175366447</c:v>
                </c:pt>
                <c:pt idx="571">
                  <c:v>4124.7573106011014</c:v>
                </c:pt>
                <c:pt idx="572">
                  <c:v>4125.6534312331887</c:v>
                </c:pt>
                <c:pt idx="573">
                  <c:v>4126.6999087313834</c:v>
                </c:pt>
                <c:pt idx="574">
                  <c:v>4139.8381872300542</c:v>
                </c:pt>
                <c:pt idx="575">
                  <c:v>4140.1623690042779</c:v>
                </c:pt>
                <c:pt idx="576">
                  <c:v>4156.7048457188694</c:v>
                </c:pt>
                <c:pt idx="577">
                  <c:v>4158.7694345585651</c:v>
                </c:pt>
                <c:pt idx="578">
                  <c:v>4163.9872015971496</c:v>
                </c:pt>
                <c:pt idx="579">
                  <c:v>4172.8487729524168</c:v>
                </c:pt>
                <c:pt idx="580">
                  <c:v>4181.872429252845</c:v>
                </c:pt>
                <c:pt idx="581">
                  <c:v>4191.093124019927</c:v>
                </c:pt>
                <c:pt idx="582">
                  <c:v>4191.9406308350781</c:v>
                </c:pt>
                <c:pt idx="583">
                  <c:v>4195.4730806686921</c:v>
                </c:pt>
                <c:pt idx="584">
                  <c:v>4207.9830553088768</c:v>
                </c:pt>
                <c:pt idx="585">
                  <c:v>4238.2825655597198</c:v>
                </c:pt>
                <c:pt idx="586">
                  <c:v>4251.2567552842638</c:v>
                </c:pt>
                <c:pt idx="587">
                  <c:v>4257.4233321638731</c:v>
                </c:pt>
                <c:pt idx="588">
                  <c:v>4290.5565969110967</c:v>
                </c:pt>
                <c:pt idx="589">
                  <c:v>4295.8529308919206</c:v>
                </c:pt>
                <c:pt idx="590">
                  <c:v>4300.7286354780845</c:v>
                </c:pt>
                <c:pt idx="591">
                  <c:v>4314.6068964144943</c:v>
                </c:pt>
                <c:pt idx="592">
                  <c:v>4325.697171880006</c:v>
                </c:pt>
                <c:pt idx="593">
                  <c:v>4325.8666295660278</c:v>
                </c:pt>
                <c:pt idx="594">
                  <c:v>4334.4795831065721</c:v>
                </c:pt>
                <c:pt idx="595">
                  <c:v>4357.5435880668756</c:v>
                </c:pt>
                <c:pt idx="596">
                  <c:v>4360.0867438770429</c:v>
                </c:pt>
                <c:pt idx="597">
                  <c:v>4361.1265926314827</c:v>
                </c:pt>
                <c:pt idx="598">
                  <c:v>4367.8211430085721</c:v>
                </c:pt>
                <c:pt idx="599">
                  <c:v>4378.1827534664853</c:v>
                </c:pt>
                <c:pt idx="600">
                  <c:v>4380.5608014589607</c:v>
                </c:pt>
                <c:pt idx="601">
                  <c:v>4382.7692340198264</c:v>
                </c:pt>
                <c:pt idx="602">
                  <c:v>4389.6512955847656</c:v>
                </c:pt>
                <c:pt idx="603">
                  <c:v>4392.7278599883712</c:v>
                </c:pt>
                <c:pt idx="604">
                  <c:v>4395.6512621482625</c:v>
                </c:pt>
                <c:pt idx="605">
                  <c:v>4421.5211680238071</c:v>
                </c:pt>
                <c:pt idx="606">
                  <c:v>4432.5287765609719</c:v>
                </c:pt>
                <c:pt idx="607">
                  <c:v>4438.602482902591</c:v>
                </c:pt>
                <c:pt idx="608">
                  <c:v>4440.2463902573318</c:v>
                </c:pt>
                <c:pt idx="609">
                  <c:v>4441.1737626118156</c:v>
                </c:pt>
                <c:pt idx="610">
                  <c:v>4449.2830047263724</c:v>
                </c:pt>
                <c:pt idx="611">
                  <c:v>4480.2917312979389</c:v>
                </c:pt>
                <c:pt idx="612">
                  <c:v>4486.1768756257743</c:v>
                </c:pt>
                <c:pt idx="613">
                  <c:v>4489.5084863487637</c:v>
                </c:pt>
                <c:pt idx="614">
                  <c:v>4491.771883554472</c:v>
                </c:pt>
                <c:pt idx="615">
                  <c:v>4497.6082404682593</c:v>
                </c:pt>
                <c:pt idx="616">
                  <c:v>4500.6630173352978</c:v>
                </c:pt>
                <c:pt idx="617">
                  <c:v>4512.3926992199467</c:v>
                </c:pt>
                <c:pt idx="618">
                  <c:v>4512.6175422817269</c:v>
                </c:pt>
                <c:pt idx="619">
                  <c:v>4518.9133093731461</c:v>
                </c:pt>
                <c:pt idx="620">
                  <c:v>4521.323163748616</c:v>
                </c:pt>
                <c:pt idx="621">
                  <c:v>4526.5732228929592</c:v>
                </c:pt>
                <c:pt idx="622">
                  <c:v>4546.3808114909671</c:v>
                </c:pt>
                <c:pt idx="623">
                  <c:v>4560.9965132826428</c:v>
                </c:pt>
                <c:pt idx="624">
                  <c:v>4564.9238656167963</c:v>
                </c:pt>
                <c:pt idx="625">
                  <c:v>4569.4374191213756</c:v>
                </c:pt>
                <c:pt idx="626">
                  <c:v>4571.6665290027804</c:v>
                </c:pt>
                <c:pt idx="627">
                  <c:v>4605.1998361937058</c:v>
                </c:pt>
                <c:pt idx="628">
                  <c:v>4609.9369977425304</c:v>
                </c:pt>
                <c:pt idx="629">
                  <c:v>4616.6065504107</c:v>
                </c:pt>
                <c:pt idx="630">
                  <c:v>4626.9980321320736</c:v>
                </c:pt>
                <c:pt idx="631">
                  <c:v>4632.7586474389682</c:v>
                </c:pt>
                <c:pt idx="632">
                  <c:v>4632.9085009846203</c:v>
                </c:pt>
                <c:pt idx="633">
                  <c:v>4634.7113578253648</c:v>
                </c:pt>
                <c:pt idx="634">
                  <c:v>4635.2072488848853</c:v>
                </c:pt>
                <c:pt idx="635">
                  <c:v>4637.6529228773197</c:v>
                </c:pt>
                <c:pt idx="636">
                  <c:v>4639.6635198583472</c:v>
                </c:pt>
                <c:pt idx="637">
                  <c:v>4643.0340553521955</c:v>
                </c:pt>
                <c:pt idx="638">
                  <c:v>4656.6997875961697</c:v>
                </c:pt>
                <c:pt idx="639">
                  <c:v>4676.9546759188042</c:v>
                </c:pt>
                <c:pt idx="640">
                  <c:v>4719.0180936712086</c:v>
                </c:pt>
                <c:pt idx="641">
                  <c:v>4728.1586836596953</c:v>
                </c:pt>
                <c:pt idx="642">
                  <c:v>4731.5519964069408</c:v>
                </c:pt>
                <c:pt idx="643">
                  <c:v>4746.6376599320138</c:v>
                </c:pt>
                <c:pt idx="644">
                  <c:v>4764.2852828538917</c:v>
                </c:pt>
                <c:pt idx="645">
                  <c:v>4765.5238557286648</c:v>
                </c:pt>
                <c:pt idx="646">
                  <c:v>4767.2065932224959</c:v>
                </c:pt>
                <c:pt idx="647">
                  <c:v>4767.6775937995944</c:v>
                </c:pt>
                <c:pt idx="648">
                  <c:v>4770.5760786100345</c:v>
                </c:pt>
                <c:pt idx="649">
                  <c:v>4771.3751820094203</c:v>
                </c:pt>
                <c:pt idx="650">
                  <c:v>4780.2488217629116</c:v>
                </c:pt>
                <c:pt idx="651">
                  <c:v>4791.8152534758783</c:v>
                </c:pt>
                <c:pt idx="652">
                  <c:v>4800.7854686277387</c:v>
                </c:pt>
                <c:pt idx="653">
                  <c:v>4814.1478648897555</c:v>
                </c:pt>
                <c:pt idx="654">
                  <c:v>4819.7109299474996</c:v>
                </c:pt>
                <c:pt idx="655">
                  <c:v>4820.2276539822869</c:v>
                </c:pt>
                <c:pt idx="656">
                  <c:v>4821.2847932691466</c:v>
                </c:pt>
                <c:pt idx="657">
                  <c:v>4827.8651471832854</c:v>
                </c:pt>
                <c:pt idx="658">
                  <c:v>4828.6788580936736</c:v>
                </c:pt>
                <c:pt idx="659">
                  <c:v>4829.0719402895038</c:v>
                </c:pt>
                <c:pt idx="660">
                  <c:v>4830.5277295620908</c:v>
                </c:pt>
                <c:pt idx="661">
                  <c:v>4836.0168875553927</c:v>
                </c:pt>
                <c:pt idx="662">
                  <c:v>4837.2039599456793</c:v>
                </c:pt>
                <c:pt idx="663">
                  <c:v>4840.353697302171</c:v>
                </c:pt>
                <c:pt idx="664">
                  <c:v>4859.9149510153129</c:v>
                </c:pt>
                <c:pt idx="665">
                  <c:v>4881.6695647333736</c:v>
                </c:pt>
                <c:pt idx="666">
                  <c:v>4894.0484770511584</c:v>
                </c:pt>
                <c:pt idx="667">
                  <c:v>4897.2594233186073</c:v>
                </c:pt>
                <c:pt idx="668">
                  <c:v>4912.2152410668814</c:v>
                </c:pt>
                <c:pt idx="669">
                  <c:v>4927.2822262272484</c:v>
                </c:pt>
                <c:pt idx="670">
                  <c:v>4930.7138028741128</c:v>
                </c:pt>
                <c:pt idx="671">
                  <c:v>4933.5467650109904</c:v>
                </c:pt>
                <c:pt idx="672">
                  <c:v>4936.9589494145794</c:v>
                </c:pt>
                <c:pt idx="673">
                  <c:v>4999.0392607487374</c:v>
                </c:pt>
                <c:pt idx="674">
                  <c:v>5080.5182611328401</c:v>
                </c:pt>
                <c:pt idx="675">
                  <c:v>5127.1303907556512</c:v>
                </c:pt>
                <c:pt idx="676">
                  <c:v>5136.0013332566132</c:v>
                </c:pt>
                <c:pt idx="677">
                  <c:v>5160.8933139496066</c:v>
                </c:pt>
                <c:pt idx="678">
                  <c:v>5177.0002102474618</c:v>
                </c:pt>
                <c:pt idx="679">
                  <c:v>5179.6885721437229</c:v>
                </c:pt>
                <c:pt idx="680">
                  <c:v>5223.2153854569915</c:v>
                </c:pt>
                <c:pt idx="681">
                  <c:v>5272.8428156007658</c:v>
                </c:pt>
                <c:pt idx="682">
                  <c:v>5279.0365821198538</c:v>
                </c:pt>
                <c:pt idx="683">
                  <c:v>5321.2745973014089</c:v>
                </c:pt>
                <c:pt idx="684">
                  <c:v>5376.0076505039387</c:v>
                </c:pt>
                <c:pt idx="685">
                  <c:v>5378.5501709493929</c:v>
                </c:pt>
                <c:pt idx="686">
                  <c:v>5389.147520450234</c:v>
                </c:pt>
                <c:pt idx="687">
                  <c:v>5426.6774443707873</c:v>
                </c:pt>
                <c:pt idx="688">
                  <c:v>5517.5759751233154</c:v>
                </c:pt>
                <c:pt idx="689">
                  <c:v>5556.4985442969473</c:v>
                </c:pt>
                <c:pt idx="690">
                  <c:v>5574.998274935776</c:v>
                </c:pt>
                <c:pt idx="691">
                  <c:v>5674.3980691774468</c:v>
                </c:pt>
                <c:pt idx="692">
                  <c:v>5690.2870711199184</c:v>
                </c:pt>
                <c:pt idx="693">
                  <c:v>5704.9141848784102</c:v>
                </c:pt>
                <c:pt idx="694">
                  <c:v>5780.3281671422392</c:v>
                </c:pt>
                <c:pt idx="695">
                  <c:v>5806.1670277638732</c:v>
                </c:pt>
                <c:pt idx="696">
                  <c:v>5875.3590426447836</c:v>
                </c:pt>
                <c:pt idx="697">
                  <c:v>5906.1917074698722</c:v>
                </c:pt>
                <c:pt idx="698">
                  <c:v>5944.410682821037</c:v>
                </c:pt>
                <c:pt idx="699">
                  <c:v>5951.0359805036333</c:v>
                </c:pt>
                <c:pt idx="700">
                  <c:v>5989.6820648889416</c:v>
                </c:pt>
                <c:pt idx="701">
                  <c:v>6067.2917825155755</c:v>
                </c:pt>
                <c:pt idx="702">
                  <c:v>6118.5357271519269</c:v>
                </c:pt>
                <c:pt idx="703">
                  <c:v>6123.4674492161503</c:v>
                </c:pt>
                <c:pt idx="704">
                  <c:v>6126.2495662796027</c:v>
                </c:pt>
                <c:pt idx="705">
                  <c:v>6150.577292623273</c:v>
                </c:pt>
                <c:pt idx="706">
                  <c:v>6243.6034723379726</c:v>
                </c:pt>
                <c:pt idx="707">
                  <c:v>6261.2589053214797</c:v>
                </c:pt>
                <c:pt idx="708">
                  <c:v>6271.2537374904477</c:v>
                </c:pt>
                <c:pt idx="709">
                  <c:v>6278.0439291075709</c:v>
                </c:pt>
                <c:pt idx="710">
                  <c:v>6295.5529998489319</c:v>
                </c:pt>
                <c:pt idx="711">
                  <c:v>6339.9063761039934</c:v>
                </c:pt>
                <c:pt idx="712">
                  <c:v>6340.5809052893328</c:v>
                </c:pt>
                <c:pt idx="713">
                  <c:v>6359.4682065635916</c:v>
                </c:pt>
                <c:pt idx="714">
                  <c:v>6366.6977696900021</c:v>
                </c:pt>
                <c:pt idx="715">
                  <c:v>6382.4479471230316</c:v>
                </c:pt>
                <c:pt idx="716">
                  <c:v>6441.8707129170562</c:v>
                </c:pt>
                <c:pt idx="717">
                  <c:v>6485.7178182920834</c:v>
                </c:pt>
                <c:pt idx="718">
                  <c:v>6497.4998752945448</c:v>
                </c:pt>
                <c:pt idx="719">
                  <c:v>6511.0405358082808</c:v>
                </c:pt>
                <c:pt idx="720">
                  <c:v>6618.3277870252723</c:v>
                </c:pt>
                <c:pt idx="721">
                  <c:v>6632.5392716717461</c:v>
                </c:pt>
                <c:pt idx="722">
                  <c:v>6652.5479296762551</c:v>
                </c:pt>
                <c:pt idx="723">
                  <c:v>6683.7223748403758</c:v>
                </c:pt>
                <c:pt idx="724">
                  <c:v>6701.0042207610604</c:v>
                </c:pt>
                <c:pt idx="725">
                  <c:v>6701.4537813980178</c:v>
                </c:pt>
                <c:pt idx="726">
                  <c:v>6708.3500250988127</c:v>
                </c:pt>
                <c:pt idx="727">
                  <c:v>6715.687047076116</c:v>
                </c:pt>
                <c:pt idx="728">
                  <c:v>6721.7188380192001</c:v>
                </c:pt>
                <c:pt idx="729">
                  <c:v>6731.8304445007443</c:v>
                </c:pt>
                <c:pt idx="730">
                  <c:v>6772.8276412326686</c:v>
                </c:pt>
                <c:pt idx="731">
                  <c:v>6833.5923062005713</c:v>
                </c:pt>
                <c:pt idx="732">
                  <c:v>6959.7825594577862</c:v>
                </c:pt>
                <c:pt idx="733">
                  <c:v>6987.2043294232444</c:v>
                </c:pt>
                <c:pt idx="734">
                  <c:v>7042.641258240199</c:v>
                </c:pt>
                <c:pt idx="735">
                  <c:v>7095.5841270058318</c:v>
                </c:pt>
                <c:pt idx="736">
                  <c:v>7099.299845630152</c:v>
                </c:pt>
                <c:pt idx="737">
                  <c:v>7105.7610598429401</c:v>
                </c:pt>
                <c:pt idx="738">
                  <c:v>7114.4565142742595</c:v>
                </c:pt>
                <c:pt idx="739">
                  <c:v>7116.8538244724177</c:v>
                </c:pt>
                <c:pt idx="740">
                  <c:v>7143.4747437328906</c:v>
                </c:pt>
                <c:pt idx="741">
                  <c:v>7205.0846843273721</c:v>
                </c:pt>
                <c:pt idx="742">
                  <c:v>7245.1718731134233</c:v>
                </c:pt>
                <c:pt idx="743">
                  <c:v>7261.8610682866547</c:v>
                </c:pt>
                <c:pt idx="744">
                  <c:v>7263.4112403910158</c:v>
                </c:pt>
                <c:pt idx="745">
                  <c:v>7266.5826582515929</c:v>
                </c:pt>
                <c:pt idx="746">
                  <c:v>7288.7648527251749</c:v>
                </c:pt>
                <c:pt idx="747">
                  <c:v>7289.9440993126645</c:v>
                </c:pt>
                <c:pt idx="748">
                  <c:v>7294.3114671304247</c:v>
                </c:pt>
                <c:pt idx="749">
                  <c:v>7310.7789411103313</c:v>
                </c:pt>
                <c:pt idx="750">
                  <c:v>7323.7893703506652</c:v>
                </c:pt>
                <c:pt idx="751">
                  <c:v>7484.8737095976267</c:v>
                </c:pt>
                <c:pt idx="752">
                  <c:v>7494.5065483999751</c:v>
                </c:pt>
                <c:pt idx="753">
                  <c:v>7539.3740016447964</c:v>
                </c:pt>
                <c:pt idx="754">
                  <c:v>7584.5749571258984</c:v>
                </c:pt>
                <c:pt idx="755">
                  <c:v>7594.8696870664899</c:v>
                </c:pt>
                <c:pt idx="756">
                  <c:v>7613.6051266878903</c:v>
                </c:pt>
                <c:pt idx="757">
                  <c:v>7650.7219207963326</c:v>
                </c:pt>
                <c:pt idx="758">
                  <c:v>7658.6763696267253</c:v>
                </c:pt>
                <c:pt idx="759">
                  <c:v>7688.4116121199359</c:v>
                </c:pt>
                <c:pt idx="760">
                  <c:v>7695.474096289714</c:v>
                </c:pt>
                <c:pt idx="761">
                  <c:v>7730.8779314274243</c:v>
                </c:pt>
                <c:pt idx="762">
                  <c:v>7951.6270366399822</c:v>
                </c:pt>
                <c:pt idx="763">
                  <c:v>7974.5091746151447</c:v>
                </c:pt>
                <c:pt idx="764">
                  <c:v>7974.5997974009424</c:v>
                </c:pt>
                <c:pt idx="765">
                  <c:v>7982.8362632827466</c:v>
                </c:pt>
                <c:pt idx="766">
                  <c:v>7986.4015831932593</c:v>
                </c:pt>
                <c:pt idx="767">
                  <c:v>8006.5680308518486</c:v>
                </c:pt>
                <c:pt idx="768">
                  <c:v>8011.2442548331346</c:v>
                </c:pt>
                <c:pt idx="769">
                  <c:v>8039.285670313353</c:v>
                </c:pt>
                <c:pt idx="770">
                  <c:v>8049.099014395978</c:v>
                </c:pt>
                <c:pt idx="771">
                  <c:v>8069.7629968926303</c:v>
                </c:pt>
                <c:pt idx="772">
                  <c:v>8098.3214339955666</c:v>
                </c:pt>
                <c:pt idx="773">
                  <c:v>8121.4725333808792</c:v>
                </c:pt>
                <c:pt idx="774">
                  <c:v>8164.5053863136854</c:v>
                </c:pt>
                <c:pt idx="775">
                  <c:v>8166.2881031900451</c:v>
                </c:pt>
                <c:pt idx="776">
                  <c:v>8179.9586679967269</c:v>
                </c:pt>
                <c:pt idx="777">
                  <c:v>8201.9732621548428</c:v>
                </c:pt>
                <c:pt idx="778">
                  <c:v>8225.8451770349893</c:v>
                </c:pt>
                <c:pt idx="779">
                  <c:v>8265.2040253621999</c:v>
                </c:pt>
                <c:pt idx="780">
                  <c:v>8270.5511418023671</c:v>
                </c:pt>
                <c:pt idx="781">
                  <c:v>8272.1919173214483</c:v>
                </c:pt>
                <c:pt idx="782">
                  <c:v>8303.9347748714572</c:v>
                </c:pt>
                <c:pt idx="783">
                  <c:v>8338.9508579636131</c:v>
                </c:pt>
                <c:pt idx="784">
                  <c:v>8349.7340260541096</c:v>
                </c:pt>
                <c:pt idx="785">
                  <c:v>8366.6464249610144</c:v>
                </c:pt>
                <c:pt idx="786">
                  <c:v>8415.3076367863505</c:v>
                </c:pt>
                <c:pt idx="787">
                  <c:v>8501.164775614161</c:v>
                </c:pt>
                <c:pt idx="788">
                  <c:v>8543.7108799291564</c:v>
                </c:pt>
                <c:pt idx="789">
                  <c:v>8557.0497408836582</c:v>
                </c:pt>
                <c:pt idx="790">
                  <c:v>8566.0970971762563</c:v>
                </c:pt>
                <c:pt idx="791">
                  <c:v>8575.614826485109</c:v>
                </c:pt>
                <c:pt idx="792">
                  <c:v>8583.7408948834563</c:v>
                </c:pt>
                <c:pt idx="793">
                  <c:v>8596.2293962488184</c:v>
                </c:pt>
                <c:pt idx="794">
                  <c:v>8597.0418043491172</c:v>
                </c:pt>
                <c:pt idx="795">
                  <c:v>8602.6496351986025</c:v>
                </c:pt>
                <c:pt idx="796">
                  <c:v>8614.2402367952091</c:v>
                </c:pt>
                <c:pt idx="797">
                  <c:v>8645.7600050007131</c:v>
                </c:pt>
                <c:pt idx="798">
                  <c:v>8650.281442154117</c:v>
                </c:pt>
                <c:pt idx="799">
                  <c:v>8654.2453756713694</c:v>
                </c:pt>
                <c:pt idx="800">
                  <c:v>8672.5110521660063</c:v>
                </c:pt>
                <c:pt idx="801">
                  <c:v>8681.0945836903284</c:v>
                </c:pt>
                <c:pt idx="802">
                  <c:v>8692.0646133223418</c:v>
                </c:pt>
                <c:pt idx="803">
                  <c:v>8696.3336656884203</c:v>
                </c:pt>
                <c:pt idx="804">
                  <c:v>8726.9492302161561</c:v>
                </c:pt>
                <c:pt idx="805">
                  <c:v>8732.7169840745264</c:v>
                </c:pt>
                <c:pt idx="806">
                  <c:v>8778.9812620240446</c:v>
                </c:pt>
                <c:pt idx="807">
                  <c:v>8820.2752397580607</c:v>
                </c:pt>
                <c:pt idx="808">
                  <c:v>8835.247192128285</c:v>
                </c:pt>
                <c:pt idx="809">
                  <c:v>8840.3356188211692</c:v>
                </c:pt>
                <c:pt idx="810">
                  <c:v>8865.9875036733392</c:v>
                </c:pt>
                <c:pt idx="811">
                  <c:v>8880.4061564019703</c:v>
                </c:pt>
                <c:pt idx="812">
                  <c:v>8886.7626914582106</c:v>
                </c:pt>
                <c:pt idx="813">
                  <c:v>8906.128662132176</c:v>
                </c:pt>
                <c:pt idx="814">
                  <c:v>8940.1420370862324</c:v>
                </c:pt>
                <c:pt idx="815">
                  <c:v>8952.4349924615417</c:v>
                </c:pt>
                <c:pt idx="816">
                  <c:v>8964.4096116859819</c:v>
                </c:pt>
                <c:pt idx="817">
                  <c:v>8966.3348795383572</c:v>
                </c:pt>
                <c:pt idx="818">
                  <c:v>8968.3517768803413</c:v>
                </c:pt>
                <c:pt idx="819">
                  <c:v>8997.4353837918134</c:v>
                </c:pt>
                <c:pt idx="820">
                  <c:v>9043.1637622117469</c:v>
                </c:pt>
                <c:pt idx="821">
                  <c:v>9190.5602088837095</c:v>
                </c:pt>
                <c:pt idx="822">
                  <c:v>9215.6349405142555</c:v>
                </c:pt>
                <c:pt idx="823">
                  <c:v>9294.6576755266233</c:v>
                </c:pt>
                <c:pt idx="824">
                  <c:v>9318.2547729015278</c:v>
                </c:pt>
                <c:pt idx="825">
                  <c:v>9435.8940534625199</c:v>
                </c:pt>
                <c:pt idx="826">
                  <c:v>9448.508414394817</c:v>
                </c:pt>
                <c:pt idx="827">
                  <c:v>9474.9379313417958</c:v>
                </c:pt>
                <c:pt idx="828">
                  <c:v>9487.749739118759</c:v>
                </c:pt>
                <c:pt idx="829">
                  <c:v>9498.2286058684585</c:v>
                </c:pt>
                <c:pt idx="830">
                  <c:v>9503.7343985796524</c:v>
                </c:pt>
                <c:pt idx="831">
                  <c:v>9527.1566462414394</c:v>
                </c:pt>
                <c:pt idx="832">
                  <c:v>9546.9204519807208</c:v>
                </c:pt>
                <c:pt idx="833">
                  <c:v>9619.0784889477618</c:v>
                </c:pt>
                <c:pt idx="834">
                  <c:v>9647.3208199798828</c:v>
                </c:pt>
                <c:pt idx="835">
                  <c:v>9697.5512565331919</c:v>
                </c:pt>
                <c:pt idx="836">
                  <c:v>9771.6944789111622</c:v>
                </c:pt>
                <c:pt idx="837">
                  <c:v>9828.3193420912539</c:v>
                </c:pt>
                <c:pt idx="838">
                  <c:v>9829.728554020212</c:v>
                </c:pt>
                <c:pt idx="839">
                  <c:v>9845.0489517841688</c:v>
                </c:pt>
                <c:pt idx="840">
                  <c:v>9861.375173838007</c:v>
                </c:pt>
                <c:pt idx="841">
                  <c:v>9914.9847444813404</c:v>
                </c:pt>
                <c:pt idx="842">
                  <c:v>9973.6152822562653</c:v>
                </c:pt>
                <c:pt idx="843">
                  <c:v>9973.9284554227834</c:v>
                </c:pt>
                <c:pt idx="844">
                  <c:v>9994.7533650510577</c:v>
                </c:pt>
                <c:pt idx="845">
                  <c:v>9998.2227058219996</c:v>
                </c:pt>
                <c:pt idx="846">
                  <c:v>10034.672637465676</c:v>
                </c:pt>
                <c:pt idx="847">
                  <c:v>10148.005111270973</c:v>
                </c:pt>
                <c:pt idx="848">
                  <c:v>10177.951777133991</c:v>
                </c:pt>
                <c:pt idx="849">
                  <c:v>10219.714432152401</c:v>
                </c:pt>
                <c:pt idx="850">
                  <c:v>10222.643448384348</c:v>
                </c:pt>
                <c:pt idx="851">
                  <c:v>10231.804299090601</c:v>
                </c:pt>
                <c:pt idx="852">
                  <c:v>10233.073145710958</c:v>
                </c:pt>
                <c:pt idx="853">
                  <c:v>10267.705937553772</c:v>
                </c:pt>
                <c:pt idx="854">
                  <c:v>10294.627888739351</c:v>
                </c:pt>
                <c:pt idx="855">
                  <c:v>10322.358040225497</c:v>
                </c:pt>
                <c:pt idx="856">
                  <c:v>10347.720100378308</c:v>
                </c:pt>
                <c:pt idx="857">
                  <c:v>10380.760052981721</c:v>
                </c:pt>
                <c:pt idx="858">
                  <c:v>10394.634437726687</c:v>
                </c:pt>
                <c:pt idx="859">
                  <c:v>10402.309239132801</c:v>
                </c:pt>
                <c:pt idx="860">
                  <c:v>10416.388700460368</c:v>
                </c:pt>
                <c:pt idx="861">
                  <c:v>10504.066530482683</c:v>
                </c:pt>
                <c:pt idx="862">
                  <c:v>10523.587269556368</c:v>
                </c:pt>
                <c:pt idx="863">
                  <c:v>10529.515719563347</c:v>
                </c:pt>
                <c:pt idx="864">
                  <c:v>10550.848167263826</c:v>
                </c:pt>
                <c:pt idx="865">
                  <c:v>10576.981046387082</c:v>
                </c:pt>
                <c:pt idx="866">
                  <c:v>10607.260481617619</c:v>
                </c:pt>
                <c:pt idx="867">
                  <c:v>10626.386257498318</c:v>
                </c:pt>
                <c:pt idx="868">
                  <c:v>10709.456411039435</c:v>
                </c:pt>
                <c:pt idx="869">
                  <c:v>10730.953056305798</c:v>
                </c:pt>
                <c:pt idx="870">
                  <c:v>10733.257686840581</c:v>
                </c:pt>
                <c:pt idx="871">
                  <c:v>10780.979897070194</c:v>
                </c:pt>
                <c:pt idx="872">
                  <c:v>10818.777166220423</c:v>
                </c:pt>
                <c:pt idx="873">
                  <c:v>10839.191451928096</c:v>
                </c:pt>
                <c:pt idx="874">
                  <c:v>10903.142222290184</c:v>
                </c:pt>
                <c:pt idx="875">
                  <c:v>10939.850941631878</c:v>
                </c:pt>
                <c:pt idx="876">
                  <c:v>10962.296485613579</c:v>
                </c:pt>
                <c:pt idx="877">
                  <c:v>11009.459032802124</c:v>
                </c:pt>
                <c:pt idx="878">
                  <c:v>11113.535898515218</c:v>
                </c:pt>
                <c:pt idx="879">
                  <c:v>11146.214501399303</c:v>
                </c:pt>
                <c:pt idx="880">
                  <c:v>11178.308651465937</c:v>
                </c:pt>
                <c:pt idx="881">
                  <c:v>11193.843245425112</c:v>
                </c:pt>
                <c:pt idx="882">
                  <c:v>11197.710042458122</c:v>
                </c:pt>
                <c:pt idx="883">
                  <c:v>11231.115303525799</c:v>
                </c:pt>
                <c:pt idx="884">
                  <c:v>11233.275755980598</c:v>
                </c:pt>
                <c:pt idx="885">
                  <c:v>11245.374308519155</c:v>
                </c:pt>
                <c:pt idx="886">
                  <c:v>11274.251881173348</c:v>
                </c:pt>
                <c:pt idx="887">
                  <c:v>11282.661426921879</c:v>
                </c:pt>
                <c:pt idx="888">
                  <c:v>11309.887152069028</c:v>
                </c:pt>
                <c:pt idx="889">
                  <c:v>11321.166025176512</c:v>
                </c:pt>
                <c:pt idx="890">
                  <c:v>11336.349939941632</c:v>
                </c:pt>
                <c:pt idx="891">
                  <c:v>11402.818423696343</c:v>
                </c:pt>
                <c:pt idx="892">
                  <c:v>11436.459801721356</c:v>
                </c:pt>
                <c:pt idx="893">
                  <c:v>11465.867635118941</c:v>
                </c:pt>
                <c:pt idx="894">
                  <c:v>11486.945348934201</c:v>
                </c:pt>
                <c:pt idx="895">
                  <c:v>11544.315656290517</c:v>
                </c:pt>
                <c:pt idx="896">
                  <c:v>11592.401352507057</c:v>
                </c:pt>
                <c:pt idx="897">
                  <c:v>11599.906837076171</c:v>
                </c:pt>
                <c:pt idx="898">
                  <c:v>11632.356023363971</c:v>
                </c:pt>
                <c:pt idx="899">
                  <c:v>11635.676070095145</c:v>
                </c:pt>
                <c:pt idx="900">
                  <c:v>11643.4597793545</c:v>
                </c:pt>
                <c:pt idx="901">
                  <c:v>11648.235526911771</c:v>
                </c:pt>
                <c:pt idx="902">
                  <c:v>11662.996857896611</c:v>
                </c:pt>
                <c:pt idx="903">
                  <c:v>11681.113473001024</c:v>
                </c:pt>
                <c:pt idx="904">
                  <c:v>11721.652560808978</c:v>
                </c:pt>
                <c:pt idx="905">
                  <c:v>11725.768705731127</c:v>
                </c:pt>
                <c:pt idx="906">
                  <c:v>11730.957896925865</c:v>
                </c:pt>
                <c:pt idx="907">
                  <c:v>11744.096175424536</c:v>
                </c:pt>
                <c:pt idx="908">
                  <c:v>11768.245189791631</c:v>
                </c:pt>
                <c:pt idx="909">
                  <c:v>11786.130417447326</c:v>
                </c:pt>
                <c:pt idx="910">
                  <c:v>11918.864884608976</c:v>
                </c:pt>
                <c:pt idx="911">
                  <c:v>11929.955160074489</c:v>
                </c:pt>
                <c:pt idx="912">
                  <c:v>11964.344732071526</c:v>
                </c:pt>
                <c:pt idx="913">
                  <c:v>11965.384580825967</c:v>
                </c:pt>
                <c:pt idx="914">
                  <c:v>11982.440741660968</c:v>
                </c:pt>
                <c:pt idx="915">
                  <c:v>11993.909283779249</c:v>
                </c:pt>
                <c:pt idx="916">
                  <c:v>11996.985848182854</c:v>
                </c:pt>
                <c:pt idx="917">
                  <c:v>12036.786764755456</c:v>
                </c:pt>
                <c:pt idx="918">
                  <c:v>12104.921005529783</c:v>
                </c:pt>
                <c:pt idx="919">
                  <c:v>12175.924517197265</c:v>
                </c:pt>
                <c:pt idx="920">
                  <c:v>12238.96934601985</c:v>
                </c:pt>
                <c:pt idx="921">
                  <c:v>12335.809984601427</c:v>
                </c:pt>
                <c:pt idx="922">
                  <c:v>12371.464581416982</c:v>
                </c:pt>
                <c:pt idx="923">
                  <c:v>12396.073241670363</c:v>
                </c:pt>
                <c:pt idx="924">
                  <c:v>12432.123135377769</c:v>
                </c:pt>
                <c:pt idx="925">
                  <c:v>12441.461948140164</c:v>
                </c:pt>
                <c:pt idx="926">
                  <c:v>12464.172939209797</c:v>
                </c:pt>
                <c:pt idx="927">
                  <c:v>12485.927552927857</c:v>
                </c:pt>
                <c:pt idx="928">
                  <c:v>12537.804753205473</c:v>
                </c:pt>
                <c:pt idx="929">
                  <c:v>12603.297248943221</c:v>
                </c:pt>
                <c:pt idx="930">
                  <c:v>12684.776249327322</c:v>
                </c:pt>
                <c:pt idx="931">
                  <c:v>12731.388378950134</c:v>
                </c:pt>
                <c:pt idx="932">
                  <c:v>12740.259321451096</c:v>
                </c:pt>
                <c:pt idx="933">
                  <c:v>12765.15130214409</c:v>
                </c:pt>
                <c:pt idx="934">
                  <c:v>12781.258198441945</c:v>
                </c:pt>
                <c:pt idx="935">
                  <c:v>12783.946560338207</c:v>
                </c:pt>
                <c:pt idx="936">
                  <c:v>12827.473373651475</c:v>
                </c:pt>
                <c:pt idx="937">
                  <c:v>12877.100803795249</c:v>
                </c:pt>
                <c:pt idx="938">
                  <c:v>12883.294570314334</c:v>
                </c:pt>
                <c:pt idx="939">
                  <c:v>12925.53258549589</c:v>
                </c:pt>
                <c:pt idx="940">
                  <c:v>12980.26563869842</c:v>
                </c:pt>
                <c:pt idx="941">
                  <c:v>12982.808159143875</c:v>
                </c:pt>
                <c:pt idx="942">
                  <c:v>12993.405508644717</c:v>
                </c:pt>
                <c:pt idx="943">
                  <c:v>13030.935432565268</c:v>
                </c:pt>
                <c:pt idx="944">
                  <c:v>13121.833963317793</c:v>
                </c:pt>
                <c:pt idx="945">
                  <c:v>13160.756532491425</c:v>
                </c:pt>
                <c:pt idx="946">
                  <c:v>13179.256263130254</c:v>
                </c:pt>
                <c:pt idx="947">
                  <c:v>13278.656057371923</c:v>
                </c:pt>
                <c:pt idx="948">
                  <c:v>13294.545059314394</c:v>
                </c:pt>
                <c:pt idx="949">
                  <c:v>13309.172173072886</c:v>
                </c:pt>
                <c:pt idx="950">
                  <c:v>13384.586155336714</c:v>
                </c:pt>
                <c:pt idx="951">
                  <c:v>13410.42501595835</c:v>
                </c:pt>
                <c:pt idx="952">
                  <c:v>13479.617030839261</c:v>
                </c:pt>
                <c:pt idx="953">
                  <c:v>13510.449695664349</c:v>
                </c:pt>
                <c:pt idx="954">
                  <c:v>13548.668671015514</c:v>
                </c:pt>
                <c:pt idx="955">
                  <c:v>13555.29396869811</c:v>
                </c:pt>
                <c:pt idx="956">
                  <c:v>13593.940053083417</c:v>
                </c:pt>
                <c:pt idx="957">
                  <c:v>13671.549770710051</c:v>
                </c:pt>
                <c:pt idx="958">
                  <c:v>13722.793715346403</c:v>
                </c:pt>
                <c:pt idx="959">
                  <c:v>13727.725437410623</c:v>
                </c:pt>
                <c:pt idx="960">
                  <c:v>13730.507554474076</c:v>
                </c:pt>
                <c:pt idx="961">
                  <c:v>13754.835280817746</c:v>
                </c:pt>
                <c:pt idx="962">
                  <c:v>13847.861460532446</c:v>
                </c:pt>
                <c:pt idx="963">
                  <c:v>13865.516893515953</c:v>
                </c:pt>
                <c:pt idx="964">
                  <c:v>13875.511725684919</c:v>
                </c:pt>
                <c:pt idx="965">
                  <c:v>13882.301917302044</c:v>
                </c:pt>
                <c:pt idx="966">
                  <c:v>13899.810988043406</c:v>
                </c:pt>
                <c:pt idx="967">
                  <c:v>13944.164364298467</c:v>
                </c:pt>
                <c:pt idx="968">
                  <c:v>13944.838893483806</c:v>
                </c:pt>
                <c:pt idx="969">
                  <c:v>13963.726194758066</c:v>
                </c:pt>
                <c:pt idx="970">
                  <c:v>13970.955757884476</c:v>
                </c:pt>
                <c:pt idx="971">
                  <c:v>13986.705935317506</c:v>
                </c:pt>
                <c:pt idx="972">
                  <c:v>14046.128701111531</c:v>
                </c:pt>
                <c:pt idx="973">
                  <c:v>14089.975806486558</c:v>
                </c:pt>
                <c:pt idx="974">
                  <c:v>14101.75786348902</c:v>
                </c:pt>
                <c:pt idx="975">
                  <c:v>14115.298524002756</c:v>
                </c:pt>
                <c:pt idx="976">
                  <c:v>14222.585775219748</c:v>
                </c:pt>
                <c:pt idx="977">
                  <c:v>14236.797259866222</c:v>
                </c:pt>
                <c:pt idx="978">
                  <c:v>14256.80591787073</c:v>
                </c:pt>
                <c:pt idx="979">
                  <c:v>14287.980363034852</c:v>
                </c:pt>
                <c:pt idx="980">
                  <c:v>14305.262208955537</c:v>
                </c:pt>
                <c:pt idx="981">
                  <c:v>14305.711769592495</c:v>
                </c:pt>
                <c:pt idx="982">
                  <c:v>14312.608013293291</c:v>
                </c:pt>
                <c:pt idx="983">
                  <c:v>14319.945035270594</c:v>
                </c:pt>
                <c:pt idx="984">
                  <c:v>14325.976826213677</c:v>
                </c:pt>
                <c:pt idx="985">
                  <c:v>14336.088432695222</c:v>
                </c:pt>
                <c:pt idx="986">
                  <c:v>14377.085629427145</c:v>
                </c:pt>
                <c:pt idx="987">
                  <c:v>14437.850294395048</c:v>
                </c:pt>
                <c:pt idx="988">
                  <c:v>14564.040547652261</c:v>
                </c:pt>
                <c:pt idx="989">
                  <c:v>14591.462317617719</c:v>
                </c:pt>
                <c:pt idx="990">
                  <c:v>14646.899246434674</c:v>
                </c:pt>
                <c:pt idx="991">
                  <c:v>14699.842115200307</c:v>
                </c:pt>
                <c:pt idx="992">
                  <c:v>14703.557833824627</c:v>
                </c:pt>
                <c:pt idx="993">
                  <c:v>14710.019048037415</c:v>
                </c:pt>
                <c:pt idx="994">
                  <c:v>14718.714502468734</c:v>
                </c:pt>
                <c:pt idx="995">
                  <c:v>14721.111812666892</c:v>
                </c:pt>
                <c:pt idx="996">
                  <c:v>14747.732731927365</c:v>
                </c:pt>
                <c:pt idx="997">
                  <c:v>14809.342672521845</c:v>
                </c:pt>
                <c:pt idx="998">
                  <c:v>14849.429861307897</c:v>
                </c:pt>
                <c:pt idx="999">
                  <c:v>14866.11905648113</c:v>
                </c:pt>
              </c:numCache>
            </c:numRef>
          </c:cat>
          <c:val>
            <c:numRef>
              <c:f>Лист2!$L$526:$L$1525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12</c:v>
                </c:pt>
                <c:pt idx="22">
                  <c:v>11</c:v>
                </c:pt>
                <c:pt idx="23">
                  <c:v>12</c:v>
                </c:pt>
                <c:pt idx="24">
                  <c:v>13</c:v>
                </c:pt>
                <c:pt idx="25">
                  <c:v>14</c:v>
                </c:pt>
                <c:pt idx="26">
                  <c:v>15</c:v>
                </c:pt>
                <c:pt idx="27">
                  <c:v>16</c:v>
                </c:pt>
                <c:pt idx="28">
                  <c:v>17</c:v>
                </c:pt>
                <c:pt idx="29">
                  <c:v>18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28</c:v>
                </c:pt>
                <c:pt idx="40">
                  <c:v>29</c:v>
                </c:pt>
                <c:pt idx="41">
                  <c:v>30</c:v>
                </c:pt>
                <c:pt idx="42">
                  <c:v>31</c:v>
                </c:pt>
                <c:pt idx="43">
                  <c:v>32</c:v>
                </c:pt>
                <c:pt idx="44">
                  <c:v>33</c:v>
                </c:pt>
                <c:pt idx="45">
                  <c:v>34</c:v>
                </c:pt>
                <c:pt idx="46">
                  <c:v>35</c:v>
                </c:pt>
                <c:pt idx="47">
                  <c:v>36</c:v>
                </c:pt>
                <c:pt idx="48">
                  <c:v>37</c:v>
                </c:pt>
                <c:pt idx="49">
                  <c:v>38</c:v>
                </c:pt>
                <c:pt idx="50">
                  <c:v>39</c:v>
                </c:pt>
                <c:pt idx="51">
                  <c:v>40</c:v>
                </c:pt>
                <c:pt idx="52">
                  <c:v>41</c:v>
                </c:pt>
                <c:pt idx="53">
                  <c:v>42</c:v>
                </c:pt>
                <c:pt idx="54">
                  <c:v>43</c:v>
                </c:pt>
                <c:pt idx="55">
                  <c:v>44</c:v>
                </c:pt>
                <c:pt idx="56">
                  <c:v>45</c:v>
                </c:pt>
                <c:pt idx="57">
                  <c:v>46</c:v>
                </c:pt>
                <c:pt idx="58">
                  <c:v>45</c:v>
                </c:pt>
                <c:pt idx="59">
                  <c:v>44</c:v>
                </c:pt>
                <c:pt idx="60">
                  <c:v>43</c:v>
                </c:pt>
                <c:pt idx="61">
                  <c:v>42</c:v>
                </c:pt>
                <c:pt idx="62">
                  <c:v>41</c:v>
                </c:pt>
                <c:pt idx="63">
                  <c:v>42</c:v>
                </c:pt>
                <c:pt idx="64">
                  <c:v>43</c:v>
                </c:pt>
                <c:pt idx="65">
                  <c:v>42</c:v>
                </c:pt>
                <c:pt idx="66">
                  <c:v>41</c:v>
                </c:pt>
                <c:pt idx="67">
                  <c:v>42</c:v>
                </c:pt>
                <c:pt idx="68">
                  <c:v>41</c:v>
                </c:pt>
                <c:pt idx="69">
                  <c:v>42</c:v>
                </c:pt>
                <c:pt idx="70">
                  <c:v>41</c:v>
                </c:pt>
                <c:pt idx="71">
                  <c:v>40</c:v>
                </c:pt>
                <c:pt idx="72">
                  <c:v>41</c:v>
                </c:pt>
                <c:pt idx="73">
                  <c:v>42</c:v>
                </c:pt>
                <c:pt idx="74">
                  <c:v>43</c:v>
                </c:pt>
                <c:pt idx="75">
                  <c:v>44</c:v>
                </c:pt>
                <c:pt idx="76">
                  <c:v>43</c:v>
                </c:pt>
                <c:pt idx="77">
                  <c:v>44</c:v>
                </c:pt>
                <c:pt idx="78">
                  <c:v>45</c:v>
                </c:pt>
                <c:pt idx="79">
                  <c:v>46</c:v>
                </c:pt>
                <c:pt idx="80">
                  <c:v>47</c:v>
                </c:pt>
                <c:pt idx="81">
                  <c:v>46</c:v>
                </c:pt>
                <c:pt idx="82">
                  <c:v>47</c:v>
                </c:pt>
                <c:pt idx="83">
                  <c:v>48</c:v>
                </c:pt>
                <c:pt idx="84">
                  <c:v>47</c:v>
                </c:pt>
                <c:pt idx="85">
                  <c:v>46</c:v>
                </c:pt>
                <c:pt idx="86">
                  <c:v>47</c:v>
                </c:pt>
                <c:pt idx="87">
                  <c:v>46</c:v>
                </c:pt>
                <c:pt idx="88">
                  <c:v>47</c:v>
                </c:pt>
                <c:pt idx="89">
                  <c:v>46</c:v>
                </c:pt>
                <c:pt idx="90">
                  <c:v>47</c:v>
                </c:pt>
                <c:pt idx="91">
                  <c:v>48</c:v>
                </c:pt>
                <c:pt idx="92">
                  <c:v>49</c:v>
                </c:pt>
                <c:pt idx="93">
                  <c:v>50</c:v>
                </c:pt>
                <c:pt idx="94">
                  <c:v>49</c:v>
                </c:pt>
                <c:pt idx="95">
                  <c:v>50</c:v>
                </c:pt>
                <c:pt idx="96">
                  <c:v>51</c:v>
                </c:pt>
                <c:pt idx="97">
                  <c:v>52</c:v>
                </c:pt>
                <c:pt idx="98">
                  <c:v>51</c:v>
                </c:pt>
                <c:pt idx="99">
                  <c:v>52</c:v>
                </c:pt>
                <c:pt idx="100">
                  <c:v>53</c:v>
                </c:pt>
                <c:pt idx="101">
                  <c:v>52</c:v>
                </c:pt>
                <c:pt idx="102">
                  <c:v>51</c:v>
                </c:pt>
                <c:pt idx="103">
                  <c:v>52</c:v>
                </c:pt>
                <c:pt idx="104">
                  <c:v>51</c:v>
                </c:pt>
                <c:pt idx="105">
                  <c:v>52</c:v>
                </c:pt>
                <c:pt idx="106">
                  <c:v>53</c:v>
                </c:pt>
                <c:pt idx="107">
                  <c:v>52</c:v>
                </c:pt>
                <c:pt idx="108">
                  <c:v>53</c:v>
                </c:pt>
                <c:pt idx="109">
                  <c:v>54</c:v>
                </c:pt>
                <c:pt idx="110">
                  <c:v>55</c:v>
                </c:pt>
                <c:pt idx="111">
                  <c:v>56</c:v>
                </c:pt>
                <c:pt idx="112">
                  <c:v>55</c:v>
                </c:pt>
                <c:pt idx="113">
                  <c:v>56</c:v>
                </c:pt>
                <c:pt idx="114">
                  <c:v>57</c:v>
                </c:pt>
                <c:pt idx="115">
                  <c:v>56</c:v>
                </c:pt>
                <c:pt idx="116">
                  <c:v>57</c:v>
                </c:pt>
                <c:pt idx="117">
                  <c:v>58</c:v>
                </c:pt>
                <c:pt idx="118">
                  <c:v>59</c:v>
                </c:pt>
                <c:pt idx="119">
                  <c:v>60</c:v>
                </c:pt>
                <c:pt idx="120">
                  <c:v>61</c:v>
                </c:pt>
                <c:pt idx="121">
                  <c:v>62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67</c:v>
                </c:pt>
                <c:pt idx="131">
                  <c:v>68</c:v>
                </c:pt>
                <c:pt idx="132">
                  <c:v>69</c:v>
                </c:pt>
                <c:pt idx="133">
                  <c:v>70</c:v>
                </c:pt>
                <c:pt idx="134">
                  <c:v>71</c:v>
                </c:pt>
                <c:pt idx="135">
                  <c:v>72</c:v>
                </c:pt>
                <c:pt idx="136">
                  <c:v>71</c:v>
                </c:pt>
                <c:pt idx="137">
                  <c:v>72</c:v>
                </c:pt>
                <c:pt idx="138">
                  <c:v>71</c:v>
                </c:pt>
                <c:pt idx="139">
                  <c:v>70</c:v>
                </c:pt>
                <c:pt idx="140">
                  <c:v>71</c:v>
                </c:pt>
                <c:pt idx="141">
                  <c:v>70</c:v>
                </c:pt>
                <c:pt idx="142">
                  <c:v>71</c:v>
                </c:pt>
                <c:pt idx="143">
                  <c:v>70</c:v>
                </c:pt>
                <c:pt idx="144">
                  <c:v>71</c:v>
                </c:pt>
                <c:pt idx="145">
                  <c:v>70</c:v>
                </c:pt>
                <c:pt idx="146">
                  <c:v>69</c:v>
                </c:pt>
                <c:pt idx="147">
                  <c:v>68</c:v>
                </c:pt>
                <c:pt idx="148">
                  <c:v>69</c:v>
                </c:pt>
                <c:pt idx="149">
                  <c:v>68</c:v>
                </c:pt>
                <c:pt idx="150">
                  <c:v>69</c:v>
                </c:pt>
                <c:pt idx="151">
                  <c:v>68</c:v>
                </c:pt>
                <c:pt idx="152">
                  <c:v>69</c:v>
                </c:pt>
                <c:pt idx="153">
                  <c:v>68</c:v>
                </c:pt>
                <c:pt idx="154">
                  <c:v>67</c:v>
                </c:pt>
                <c:pt idx="155">
                  <c:v>68</c:v>
                </c:pt>
                <c:pt idx="156">
                  <c:v>69</c:v>
                </c:pt>
                <c:pt idx="157">
                  <c:v>70</c:v>
                </c:pt>
                <c:pt idx="158">
                  <c:v>69</c:v>
                </c:pt>
                <c:pt idx="159">
                  <c:v>70</c:v>
                </c:pt>
                <c:pt idx="160">
                  <c:v>71</c:v>
                </c:pt>
                <c:pt idx="161">
                  <c:v>70</c:v>
                </c:pt>
                <c:pt idx="162">
                  <c:v>71</c:v>
                </c:pt>
                <c:pt idx="163">
                  <c:v>72</c:v>
                </c:pt>
                <c:pt idx="164">
                  <c:v>71</c:v>
                </c:pt>
                <c:pt idx="165">
                  <c:v>72</c:v>
                </c:pt>
                <c:pt idx="166">
                  <c:v>71</c:v>
                </c:pt>
                <c:pt idx="167">
                  <c:v>72</c:v>
                </c:pt>
                <c:pt idx="168">
                  <c:v>73</c:v>
                </c:pt>
                <c:pt idx="169">
                  <c:v>74</c:v>
                </c:pt>
                <c:pt idx="170">
                  <c:v>73</c:v>
                </c:pt>
                <c:pt idx="171">
                  <c:v>72</c:v>
                </c:pt>
                <c:pt idx="172">
                  <c:v>73</c:v>
                </c:pt>
                <c:pt idx="173">
                  <c:v>74</c:v>
                </c:pt>
                <c:pt idx="174">
                  <c:v>75</c:v>
                </c:pt>
                <c:pt idx="175">
                  <c:v>76</c:v>
                </c:pt>
                <c:pt idx="176">
                  <c:v>75</c:v>
                </c:pt>
                <c:pt idx="177">
                  <c:v>76</c:v>
                </c:pt>
                <c:pt idx="178">
                  <c:v>77</c:v>
                </c:pt>
                <c:pt idx="179">
                  <c:v>78</c:v>
                </c:pt>
                <c:pt idx="180">
                  <c:v>79</c:v>
                </c:pt>
                <c:pt idx="181">
                  <c:v>80</c:v>
                </c:pt>
                <c:pt idx="182">
                  <c:v>81</c:v>
                </c:pt>
                <c:pt idx="183">
                  <c:v>82</c:v>
                </c:pt>
                <c:pt idx="184">
                  <c:v>81</c:v>
                </c:pt>
                <c:pt idx="185">
                  <c:v>82</c:v>
                </c:pt>
                <c:pt idx="186">
                  <c:v>83</c:v>
                </c:pt>
                <c:pt idx="187">
                  <c:v>82</c:v>
                </c:pt>
                <c:pt idx="188">
                  <c:v>81</c:v>
                </c:pt>
                <c:pt idx="189">
                  <c:v>82</c:v>
                </c:pt>
                <c:pt idx="190">
                  <c:v>83</c:v>
                </c:pt>
                <c:pt idx="191">
                  <c:v>84</c:v>
                </c:pt>
                <c:pt idx="192">
                  <c:v>85</c:v>
                </c:pt>
                <c:pt idx="193">
                  <c:v>86</c:v>
                </c:pt>
                <c:pt idx="194">
                  <c:v>87</c:v>
                </c:pt>
                <c:pt idx="195">
                  <c:v>86</c:v>
                </c:pt>
                <c:pt idx="196">
                  <c:v>85</c:v>
                </c:pt>
                <c:pt idx="197">
                  <c:v>84</c:v>
                </c:pt>
                <c:pt idx="198">
                  <c:v>83</c:v>
                </c:pt>
                <c:pt idx="199">
                  <c:v>84</c:v>
                </c:pt>
                <c:pt idx="200">
                  <c:v>85</c:v>
                </c:pt>
                <c:pt idx="201">
                  <c:v>86</c:v>
                </c:pt>
                <c:pt idx="202">
                  <c:v>87</c:v>
                </c:pt>
                <c:pt idx="203">
                  <c:v>88</c:v>
                </c:pt>
                <c:pt idx="204">
                  <c:v>89</c:v>
                </c:pt>
                <c:pt idx="205">
                  <c:v>90</c:v>
                </c:pt>
                <c:pt idx="206">
                  <c:v>89</c:v>
                </c:pt>
                <c:pt idx="207">
                  <c:v>90</c:v>
                </c:pt>
                <c:pt idx="208">
                  <c:v>89</c:v>
                </c:pt>
                <c:pt idx="209">
                  <c:v>88</c:v>
                </c:pt>
                <c:pt idx="210">
                  <c:v>87</c:v>
                </c:pt>
                <c:pt idx="211">
                  <c:v>86</c:v>
                </c:pt>
                <c:pt idx="212">
                  <c:v>87</c:v>
                </c:pt>
                <c:pt idx="213">
                  <c:v>88</c:v>
                </c:pt>
                <c:pt idx="214">
                  <c:v>87</c:v>
                </c:pt>
                <c:pt idx="215">
                  <c:v>88</c:v>
                </c:pt>
                <c:pt idx="216">
                  <c:v>87</c:v>
                </c:pt>
                <c:pt idx="217">
                  <c:v>88</c:v>
                </c:pt>
                <c:pt idx="218">
                  <c:v>89</c:v>
                </c:pt>
                <c:pt idx="219">
                  <c:v>90</c:v>
                </c:pt>
                <c:pt idx="220">
                  <c:v>91</c:v>
                </c:pt>
                <c:pt idx="221">
                  <c:v>92</c:v>
                </c:pt>
                <c:pt idx="222">
                  <c:v>93</c:v>
                </c:pt>
                <c:pt idx="223">
                  <c:v>94</c:v>
                </c:pt>
                <c:pt idx="224">
                  <c:v>95</c:v>
                </c:pt>
                <c:pt idx="225">
                  <c:v>96</c:v>
                </c:pt>
                <c:pt idx="226">
                  <c:v>97</c:v>
                </c:pt>
                <c:pt idx="227">
                  <c:v>98</c:v>
                </c:pt>
                <c:pt idx="228">
                  <c:v>99</c:v>
                </c:pt>
                <c:pt idx="229">
                  <c:v>100</c:v>
                </c:pt>
                <c:pt idx="230">
                  <c:v>99</c:v>
                </c:pt>
                <c:pt idx="231">
                  <c:v>100</c:v>
                </c:pt>
                <c:pt idx="232">
                  <c:v>101</c:v>
                </c:pt>
                <c:pt idx="233">
                  <c:v>102</c:v>
                </c:pt>
                <c:pt idx="234">
                  <c:v>101</c:v>
                </c:pt>
                <c:pt idx="235">
                  <c:v>102</c:v>
                </c:pt>
                <c:pt idx="236">
                  <c:v>103</c:v>
                </c:pt>
                <c:pt idx="237">
                  <c:v>104</c:v>
                </c:pt>
                <c:pt idx="238">
                  <c:v>105</c:v>
                </c:pt>
                <c:pt idx="239">
                  <c:v>106</c:v>
                </c:pt>
                <c:pt idx="240">
                  <c:v>107</c:v>
                </c:pt>
                <c:pt idx="241">
                  <c:v>108</c:v>
                </c:pt>
                <c:pt idx="242">
                  <c:v>107</c:v>
                </c:pt>
                <c:pt idx="243">
                  <c:v>108</c:v>
                </c:pt>
                <c:pt idx="244">
                  <c:v>107</c:v>
                </c:pt>
                <c:pt idx="245">
                  <c:v>108</c:v>
                </c:pt>
                <c:pt idx="246">
                  <c:v>109</c:v>
                </c:pt>
                <c:pt idx="247">
                  <c:v>110</c:v>
                </c:pt>
                <c:pt idx="248">
                  <c:v>111</c:v>
                </c:pt>
                <c:pt idx="249">
                  <c:v>112</c:v>
                </c:pt>
                <c:pt idx="250">
                  <c:v>113</c:v>
                </c:pt>
                <c:pt idx="251">
                  <c:v>114</c:v>
                </c:pt>
                <c:pt idx="252">
                  <c:v>115</c:v>
                </c:pt>
                <c:pt idx="253">
                  <c:v>114</c:v>
                </c:pt>
                <c:pt idx="254">
                  <c:v>115</c:v>
                </c:pt>
                <c:pt idx="255">
                  <c:v>114</c:v>
                </c:pt>
                <c:pt idx="256">
                  <c:v>115</c:v>
                </c:pt>
                <c:pt idx="257">
                  <c:v>116</c:v>
                </c:pt>
                <c:pt idx="258">
                  <c:v>117</c:v>
                </c:pt>
                <c:pt idx="259">
                  <c:v>116</c:v>
                </c:pt>
                <c:pt idx="260">
                  <c:v>115</c:v>
                </c:pt>
                <c:pt idx="261">
                  <c:v>116</c:v>
                </c:pt>
                <c:pt idx="262">
                  <c:v>115</c:v>
                </c:pt>
                <c:pt idx="263">
                  <c:v>114</c:v>
                </c:pt>
                <c:pt idx="264">
                  <c:v>115</c:v>
                </c:pt>
                <c:pt idx="265">
                  <c:v>116</c:v>
                </c:pt>
                <c:pt idx="266">
                  <c:v>117</c:v>
                </c:pt>
                <c:pt idx="267">
                  <c:v>118</c:v>
                </c:pt>
                <c:pt idx="268">
                  <c:v>117</c:v>
                </c:pt>
                <c:pt idx="269">
                  <c:v>116</c:v>
                </c:pt>
                <c:pt idx="270">
                  <c:v>117</c:v>
                </c:pt>
                <c:pt idx="271">
                  <c:v>118</c:v>
                </c:pt>
                <c:pt idx="272">
                  <c:v>119</c:v>
                </c:pt>
                <c:pt idx="273">
                  <c:v>120</c:v>
                </c:pt>
                <c:pt idx="274">
                  <c:v>121</c:v>
                </c:pt>
                <c:pt idx="275">
                  <c:v>122</c:v>
                </c:pt>
                <c:pt idx="276">
                  <c:v>123</c:v>
                </c:pt>
                <c:pt idx="277">
                  <c:v>124</c:v>
                </c:pt>
                <c:pt idx="278">
                  <c:v>125</c:v>
                </c:pt>
                <c:pt idx="279">
                  <c:v>126</c:v>
                </c:pt>
                <c:pt idx="280">
                  <c:v>127</c:v>
                </c:pt>
                <c:pt idx="281">
                  <c:v>126</c:v>
                </c:pt>
                <c:pt idx="282">
                  <c:v>127</c:v>
                </c:pt>
                <c:pt idx="283">
                  <c:v>128</c:v>
                </c:pt>
                <c:pt idx="284">
                  <c:v>129</c:v>
                </c:pt>
                <c:pt idx="285">
                  <c:v>128</c:v>
                </c:pt>
                <c:pt idx="286">
                  <c:v>129</c:v>
                </c:pt>
                <c:pt idx="287">
                  <c:v>130</c:v>
                </c:pt>
                <c:pt idx="288">
                  <c:v>131</c:v>
                </c:pt>
                <c:pt idx="289">
                  <c:v>132</c:v>
                </c:pt>
                <c:pt idx="290">
                  <c:v>131</c:v>
                </c:pt>
                <c:pt idx="291">
                  <c:v>132</c:v>
                </c:pt>
                <c:pt idx="292">
                  <c:v>133</c:v>
                </c:pt>
                <c:pt idx="293">
                  <c:v>134</c:v>
                </c:pt>
                <c:pt idx="294">
                  <c:v>135</c:v>
                </c:pt>
                <c:pt idx="295">
                  <c:v>136</c:v>
                </c:pt>
                <c:pt idx="296">
                  <c:v>137</c:v>
                </c:pt>
                <c:pt idx="297">
                  <c:v>138</c:v>
                </c:pt>
                <c:pt idx="298">
                  <c:v>139</c:v>
                </c:pt>
                <c:pt idx="299">
                  <c:v>138</c:v>
                </c:pt>
                <c:pt idx="300">
                  <c:v>139</c:v>
                </c:pt>
                <c:pt idx="301">
                  <c:v>140</c:v>
                </c:pt>
                <c:pt idx="302">
                  <c:v>141</c:v>
                </c:pt>
                <c:pt idx="303">
                  <c:v>140</c:v>
                </c:pt>
                <c:pt idx="304">
                  <c:v>139</c:v>
                </c:pt>
                <c:pt idx="305">
                  <c:v>140</c:v>
                </c:pt>
                <c:pt idx="306">
                  <c:v>141</c:v>
                </c:pt>
                <c:pt idx="307">
                  <c:v>142</c:v>
                </c:pt>
                <c:pt idx="308">
                  <c:v>143</c:v>
                </c:pt>
                <c:pt idx="309">
                  <c:v>144</c:v>
                </c:pt>
                <c:pt idx="310">
                  <c:v>143</c:v>
                </c:pt>
                <c:pt idx="311">
                  <c:v>144</c:v>
                </c:pt>
                <c:pt idx="312">
                  <c:v>143</c:v>
                </c:pt>
                <c:pt idx="313">
                  <c:v>144</c:v>
                </c:pt>
                <c:pt idx="314">
                  <c:v>145</c:v>
                </c:pt>
                <c:pt idx="315">
                  <c:v>146</c:v>
                </c:pt>
                <c:pt idx="316">
                  <c:v>147</c:v>
                </c:pt>
                <c:pt idx="317">
                  <c:v>148</c:v>
                </c:pt>
                <c:pt idx="318">
                  <c:v>149</c:v>
                </c:pt>
                <c:pt idx="319">
                  <c:v>150</c:v>
                </c:pt>
                <c:pt idx="320">
                  <c:v>151</c:v>
                </c:pt>
                <c:pt idx="321">
                  <c:v>152</c:v>
                </c:pt>
                <c:pt idx="322">
                  <c:v>153</c:v>
                </c:pt>
                <c:pt idx="323">
                  <c:v>152</c:v>
                </c:pt>
                <c:pt idx="324">
                  <c:v>153</c:v>
                </c:pt>
                <c:pt idx="325">
                  <c:v>154</c:v>
                </c:pt>
                <c:pt idx="326">
                  <c:v>153</c:v>
                </c:pt>
                <c:pt idx="327">
                  <c:v>152</c:v>
                </c:pt>
                <c:pt idx="328">
                  <c:v>153</c:v>
                </c:pt>
                <c:pt idx="329">
                  <c:v>152</c:v>
                </c:pt>
                <c:pt idx="330">
                  <c:v>153</c:v>
                </c:pt>
                <c:pt idx="331">
                  <c:v>152</c:v>
                </c:pt>
                <c:pt idx="332">
                  <c:v>153</c:v>
                </c:pt>
                <c:pt idx="333">
                  <c:v>154</c:v>
                </c:pt>
                <c:pt idx="334">
                  <c:v>155</c:v>
                </c:pt>
                <c:pt idx="335">
                  <c:v>156</c:v>
                </c:pt>
                <c:pt idx="336">
                  <c:v>157</c:v>
                </c:pt>
                <c:pt idx="337">
                  <c:v>158</c:v>
                </c:pt>
                <c:pt idx="338">
                  <c:v>157</c:v>
                </c:pt>
                <c:pt idx="339">
                  <c:v>158</c:v>
                </c:pt>
                <c:pt idx="340">
                  <c:v>159</c:v>
                </c:pt>
                <c:pt idx="341">
                  <c:v>160</c:v>
                </c:pt>
                <c:pt idx="342">
                  <c:v>161</c:v>
                </c:pt>
                <c:pt idx="343">
                  <c:v>162</c:v>
                </c:pt>
                <c:pt idx="344">
                  <c:v>163</c:v>
                </c:pt>
                <c:pt idx="345">
                  <c:v>164</c:v>
                </c:pt>
                <c:pt idx="346">
                  <c:v>165</c:v>
                </c:pt>
                <c:pt idx="347">
                  <c:v>164</c:v>
                </c:pt>
                <c:pt idx="348">
                  <c:v>165</c:v>
                </c:pt>
                <c:pt idx="349">
                  <c:v>166</c:v>
                </c:pt>
                <c:pt idx="350">
                  <c:v>167</c:v>
                </c:pt>
                <c:pt idx="351">
                  <c:v>168</c:v>
                </c:pt>
                <c:pt idx="352">
                  <c:v>169</c:v>
                </c:pt>
                <c:pt idx="353">
                  <c:v>168</c:v>
                </c:pt>
                <c:pt idx="354">
                  <c:v>169</c:v>
                </c:pt>
                <c:pt idx="355">
                  <c:v>170</c:v>
                </c:pt>
                <c:pt idx="356">
                  <c:v>171</c:v>
                </c:pt>
                <c:pt idx="357">
                  <c:v>172</c:v>
                </c:pt>
                <c:pt idx="358">
                  <c:v>173</c:v>
                </c:pt>
                <c:pt idx="359">
                  <c:v>172</c:v>
                </c:pt>
                <c:pt idx="360">
                  <c:v>171</c:v>
                </c:pt>
                <c:pt idx="361">
                  <c:v>172</c:v>
                </c:pt>
                <c:pt idx="362">
                  <c:v>173</c:v>
                </c:pt>
                <c:pt idx="363">
                  <c:v>174</c:v>
                </c:pt>
                <c:pt idx="364">
                  <c:v>173</c:v>
                </c:pt>
                <c:pt idx="365">
                  <c:v>172</c:v>
                </c:pt>
                <c:pt idx="366">
                  <c:v>173</c:v>
                </c:pt>
                <c:pt idx="367">
                  <c:v>174</c:v>
                </c:pt>
                <c:pt idx="368">
                  <c:v>175</c:v>
                </c:pt>
                <c:pt idx="369">
                  <c:v>176</c:v>
                </c:pt>
                <c:pt idx="370">
                  <c:v>175</c:v>
                </c:pt>
                <c:pt idx="371">
                  <c:v>176</c:v>
                </c:pt>
                <c:pt idx="372">
                  <c:v>175</c:v>
                </c:pt>
                <c:pt idx="373">
                  <c:v>176</c:v>
                </c:pt>
                <c:pt idx="374">
                  <c:v>177</c:v>
                </c:pt>
                <c:pt idx="375">
                  <c:v>178</c:v>
                </c:pt>
                <c:pt idx="376">
                  <c:v>177</c:v>
                </c:pt>
                <c:pt idx="377">
                  <c:v>178</c:v>
                </c:pt>
                <c:pt idx="378">
                  <c:v>179</c:v>
                </c:pt>
                <c:pt idx="379">
                  <c:v>180</c:v>
                </c:pt>
                <c:pt idx="380">
                  <c:v>181</c:v>
                </c:pt>
                <c:pt idx="381">
                  <c:v>182</c:v>
                </c:pt>
                <c:pt idx="382">
                  <c:v>183</c:v>
                </c:pt>
                <c:pt idx="383">
                  <c:v>184</c:v>
                </c:pt>
                <c:pt idx="384">
                  <c:v>183</c:v>
                </c:pt>
                <c:pt idx="385">
                  <c:v>184</c:v>
                </c:pt>
                <c:pt idx="386">
                  <c:v>185</c:v>
                </c:pt>
                <c:pt idx="387">
                  <c:v>186</c:v>
                </c:pt>
                <c:pt idx="388">
                  <c:v>187</c:v>
                </c:pt>
                <c:pt idx="389">
                  <c:v>188</c:v>
                </c:pt>
                <c:pt idx="390">
                  <c:v>189</c:v>
                </c:pt>
                <c:pt idx="391">
                  <c:v>190</c:v>
                </c:pt>
                <c:pt idx="392">
                  <c:v>191</c:v>
                </c:pt>
                <c:pt idx="393">
                  <c:v>192</c:v>
                </c:pt>
                <c:pt idx="394">
                  <c:v>191</c:v>
                </c:pt>
                <c:pt idx="395">
                  <c:v>190</c:v>
                </c:pt>
                <c:pt idx="396">
                  <c:v>191</c:v>
                </c:pt>
                <c:pt idx="397">
                  <c:v>190</c:v>
                </c:pt>
                <c:pt idx="398">
                  <c:v>191</c:v>
                </c:pt>
                <c:pt idx="399">
                  <c:v>192</c:v>
                </c:pt>
                <c:pt idx="400">
                  <c:v>193</c:v>
                </c:pt>
                <c:pt idx="401">
                  <c:v>192</c:v>
                </c:pt>
                <c:pt idx="402">
                  <c:v>193</c:v>
                </c:pt>
                <c:pt idx="403">
                  <c:v>194</c:v>
                </c:pt>
                <c:pt idx="404">
                  <c:v>195</c:v>
                </c:pt>
                <c:pt idx="405">
                  <c:v>196</c:v>
                </c:pt>
                <c:pt idx="406">
                  <c:v>197</c:v>
                </c:pt>
                <c:pt idx="407">
                  <c:v>198</c:v>
                </c:pt>
                <c:pt idx="408">
                  <c:v>199</c:v>
                </c:pt>
                <c:pt idx="409">
                  <c:v>200</c:v>
                </c:pt>
                <c:pt idx="410">
                  <c:v>201</c:v>
                </c:pt>
                <c:pt idx="411">
                  <c:v>202</c:v>
                </c:pt>
                <c:pt idx="412">
                  <c:v>203</c:v>
                </c:pt>
                <c:pt idx="413">
                  <c:v>202</c:v>
                </c:pt>
                <c:pt idx="414">
                  <c:v>201</c:v>
                </c:pt>
                <c:pt idx="415">
                  <c:v>200</c:v>
                </c:pt>
                <c:pt idx="416">
                  <c:v>201</c:v>
                </c:pt>
                <c:pt idx="417">
                  <c:v>202</c:v>
                </c:pt>
                <c:pt idx="418">
                  <c:v>201</c:v>
                </c:pt>
                <c:pt idx="419">
                  <c:v>202</c:v>
                </c:pt>
                <c:pt idx="420">
                  <c:v>203</c:v>
                </c:pt>
                <c:pt idx="421">
                  <c:v>202</c:v>
                </c:pt>
                <c:pt idx="422">
                  <c:v>201</c:v>
                </c:pt>
                <c:pt idx="423">
                  <c:v>202</c:v>
                </c:pt>
                <c:pt idx="424">
                  <c:v>203</c:v>
                </c:pt>
                <c:pt idx="425">
                  <c:v>202</c:v>
                </c:pt>
                <c:pt idx="426">
                  <c:v>203</c:v>
                </c:pt>
                <c:pt idx="427">
                  <c:v>204</c:v>
                </c:pt>
                <c:pt idx="428">
                  <c:v>205</c:v>
                </c:pt>
                <c:pt idx="429">
                  <c:v>206</c:v>
                </c:pt>
                <c:pt idx="430">
                  <c:v>207</c:v>
                </c:pt>
                <c:pt idx="431">
                  <c:v>208</c:v>
                </c:pt>
                <c:pt idx="432">
                  <c:v>209</c:v>
                </c:pt>
                <c:pt idx="433">
                  <c:v>210</c:v>
                </c:pt>
                <c:pt idx="434">
                  <c:v>211</c:v>
                </c:pt>
                <c:pt idx="435">
                  <c:v>210</c:v>
                </c:pt>
                <c:pt idx="436">
                  <c:v>211</c:v>
                </c:pt>
                <c:pt idx="437">
                  <c:v>210</c:v>
                </c:pt>
                <c:pt idx="438">
                  <c:v>209</c:v>
                </c:pt>
                <c:pt idx="439">
                  <c:v>210</c:v>
                </c:pt>
                <c:pt idx="440">
                  <c:v>211</c:v>
                </c:pt>
                <c:pt idx="441">
                  <c:v>212</c:v>
                </c:pt>
                <c:pt idx="442">
                  <c:v>213</c:v>
                </c:pt>
                <c:pt idx="443">
                  <c:v>214</c:v>
                </c:pt>
                <c:pt idx="444">
                  <c:v>213</c:v>
                </c:pt>
                <c:pt idx="445">
                  <c:v>214</c:v>
                </c:pt>
                <c:pt idx="446">
                  <c:v>215</c:v>
                </c:pt>
                <c:pt idx="447">
                  <c:v>216</c:v>
                </c:pt>
                <c:pt idx="448">
                  <c:v>217</c:v>
                </c:pt>
                <c:pt idx="449">
                  <c:v>218</c:v>
                </c:pt>
                <c:pt idx="450">
                  <c:v>217</c:v>
                </c:pt>
                <c:pt idx="451">
                  <c:v>216</c:v>
                </c:pt>
                <c:pt idx="452">
                  <c:v>217</c:v>
                </c:pt>
                <c:pt idx="453">
                  <c:v>218</c:v>
                </c:pt>
                <c:pt idx="454">
                  <c:v>219</c:v>
                </c:pt>
                <c:pt idx="455">
                  <c:v>220</c:v>
                </c:pt>
                <c:pt idx="456">
                  <c:v>221</c:v>
                </c:pt>
                <c:pt idx="457">
                  <c:v>222</c:v>
                </c:pt>
                <c:pt idx="458">
                  <c:v>223</c:v>
                </c:pt>
                <c:pt idx="459">
                  <c:v>224</c:v>
                </c:pt>
                <c:pt idx="460">
                  <c:v>223</c:v>
                </c:pt>
                <c:pt idx="461">
                  <c:v>224</c:v>
                </c:pt>
                <c:pt idx="462">
                  <c:v>225</c:v>
                </c:pt>
                <c:pt idx="463">
                  <c:v>226</c:v>
                </c:pt>
                <c:pt idx="464">
                  <c:v>227</c:v>
                </c:pt>
                <c:pt idx="465">
                  <c:v>228</c:v>
                </c:pt>
                <c:pt idx="466">
                  <c:v>227</c:v>
                </c:pt>
                <c:pt idx="467">
                  <c:v>228</c:v>
                </c:pt>
                <c:pt idx="468">
                  <c:v>227</c:v>
                </c:pt>
                <c:pt idx="469">
                  <c:v>228</c:v>
                </c:pt>
                <c:pt idx="470">
                  <c:v>229</c:v>
                </c:pt>
                <c:pt idx="471">
                  <c:v>230</c:v>
                </c:pt>
                <c:pt idx="472">
                  <c:v>231</c:v>
                </c:pt>
                <c:pt idx="473">
                  <c:v>232</c:v>
                </c:pt>
                <c:pt idx="474">
                  <c:v>233</c:v>
                </c:pt>
                <c:pt idx="475">
                  <c:v>232</c:v>
                </c:pt>
                <c:pt idx="476">
                  <c:v>233</c:v>
                </c:pt>
                <c:pt idx="477">
                  <c:v>234</c:v>
                </c:pt>
                <c:pt idx="478">
                  <c:v>235</c:v>
                </c:pt>
                <c:pt idx="479">
                  <c:v>236</c:v>
                </c:pt>
                <c:pt idx="480">
                  <c:v>237</c:v>
                </c:pt>
                <c:pt idx="481">
                  <c:v>238</c:v>
                </c:pt>
                <c:pt idx="482">
                  <c:v>239</c:v>
                </c:pt>
                <c:pt idx="483">
                  <c:v>240</c:v>
                </c:pt>
                <c:pt idx="484">
                  <c:v>239</c:v>
                </c:pt>
                <c:pt idx="485">
                  <c:v>240</c:v>
                </c:pt>
                <c:pt idx="486">
                  <c:v>241</c:v>
                </c:pt>
                <c:pt idx="487">
                  <c:v>242</c:v>
                </c:pt>
                <c:pt idx="488">
                  <c:v>241</c:v>
                </c:pt>
                <c:pt idx="489">
                  <c:v>242</c:v>
                </c:pt>
                <c:pt idx="490">
                  <c:v>241</c:v>
                </c:pt>
                <c:pt idx="491">
                  <c:v>242</c:v>
                </c:pt>
                <c:pt idx="492">
                  <c:v>241</c:v>
                </c:pt>
                <c:pt idx="493">
                  <c:v>242</c:v>
                </c:pt>
                <c:pt idx="494">
                  <c:v>241</c:v>
                </c:pt>
                <c:pt idx="495">
                  <c:v>242</c:v>
                </c:pt>
                <c:pt idx="496">
                  <c:v>243</c:v>
                </c:pt>
                <c:pt idx="497">
                  <c:v>244</c:v>
                </c:pt>
                <c:pt idx="498">
                  <c:v>245</c:v>
                </c:pt>
                <c:pt idx="499">
                  <c:v>246</c:v>
                </c:pt>
                <c:pt idx="500">
                  <c:v>247</c:v>
                </c:pt>
                <c:pt idx="501">
                  <c:v>248</c:v>
                </c:pt>
                <c:pt idx="502">
                  <c:v>247</c:v>
                </c:pt>
                <c:pt idx="503">
                  <c:v>246</c:v>
                </c:pt>
                <c:pt idx="504">
                  <c:v>247</c:v>
                </c:pt>
                <c:pt idx="505">
                  <c:v>248</c:v>
                </c:pt>
                <c:pt idx="506">
                  <c:v>247</c:v>
                </c:pt>
                <c:pt idx="507">
                  <c:v>248</c:v>
                </c:pt>
                <c:pt idx="508">
                  <c:v>249</c:v>
                </c:pt>
                <c:pt idx="509">
                  <c:v>248</c:v>
                </c:pt>
                <c:pt idx="510">
                  <c:v>249</c:v>
                </c:pt>
                <c:pt idx="511">
                  <c:v>248</c:v>
                </c:pt>
                <c:pt idx="512">
                  <c:v>249</c:v>
                </c:pt>
                <c:pt idx="513">
                  <c:v>250</c:v>
                </c:pt>
                <c:pt idx="514">
                  <c:v>249</c:v>
                </c:pt>
                <c:pt idx="515">
                  <c:v>250</c:v>
                </c:pt>
                <c:pt idx="516">
                  <c:v>249</c:v>
                </c:pt>
                <c:pt idx="517">
                  <c:v>250</c:v>
                </c:pt>
                <c:pt idx="518">
                  <c:v>251</c:v>
                </c:pt>
                <c:pt idx="519">
                  <c:v>250</c:v>
                </c:pt>
                <c:pt idx="520">
                  <c:v>251</c:v>
                </c:pt>
                <c:pt idx="521">
                  <c:v>252</c:v>
                </c:pt>
                <c:pt idx="522">
                  <c:v>253</c:v>
                </c:pt>
                <c:pt idx="523">
                  <c:v>254</c:v>
                </c:pt>
                <c:pt idx="524">
                  <c:v>255</c:v>
                </c:pt>
                <c:pt idx="525">
                  <c:v>256</c:v>
                </c:pt>
                <c:pt idx="526">
                  <c:v>257</c:v>
                </c:pt>
                <c:pt idx="527">
                  <c:v>258</c:v>
                </c:pt>
                <c:pt idx="528">
                  <c:v>259</c:v>
                </c:pt>
                <c:pt idx="529">
                  <c:v>260</c:v>
                </c:pt>
                <c:pt idx="530">
                  <c:v>261</c:v>
                </c:pt>
                <c:pt idx="531">
                  <c:v>262</c:v>
                </c:pt>
                <c:pt idx="532">
                  <c:v>261</c:v>
                </c:pt>
                <c:pt idx="533">
                  <c:v>260</c:v>
                </c:pt>
                <c:pt idx="534">
                  <c:v>261</c:v>
                </c:pt>
                <c:pt idx="535">
                  <c:v>262</c:v>
                </c:pt>
                <c:pt idx="536">
                  <c:v>263</c:v>
                </c:pt>
                <c:pt idx="537">
                  <c:v>264</c:v>
                </c:pt>
                <c:pt idx="538">
                  <c:v>265</c:v>
                </c:pt>
                <c:pt idx="539">
                  <c:v>264</c:v>
                </c:pt>
                <c:pt idx="540">
                  <c:v>265</c:v>
                </c:pt>
                <c:pt idx="541">
                  <c:v>266</c:v>
                </c:pt>
                <c:pt idx="542">
                  <c:v>267</c:v>
                </c:pt>
                <c:pt idx="543">
                  <c:v>266</c:v>
                </c:pt>
                <c:pt idx="544">
                  <c:v>267</c:v>
                </c:pt>
                <c:pt idx="545">
                  <c:v>268</c:v>
                </c:pt>
                <c:pt idx="546">
                  <c:v>267</c:v>
                </c:pt>
                <c:pt idx="547">
                  <c:v>268</c:v>
                </c:pt>
                <c:pt idx="548">
                  <c:v>269</c:v>
                </c:pt>
                <c:pt idx="549">
                  <c:v>268</c:v>
                </c:pt>
                <c:pt idx="550">
                  <c:v>269</c:v>
                </c:pt>
                <c:pt idx="551">
                  <c:v>268</c:v>
                </c:pt>
                <c:pt idx="552">
                  <c:v>269</c:v>
                </c:pt>
                <c:pt idx="553">
                  <c:v>270</c:v>
                </c:pt>
                <c:pt idx="554">
                  <c:v>271</c:v>
                </c:pt>
                <c:pt idx="555">
                  <c:v>272</c:v>
                </c:pt>
                <c:pt idx="556">
                  <c:v>273</c:v>
                </c:pt>
                <c:pt idx="557">
                  <c:v>272</c:v>
                </c:pt>
                <c:pt idx="558">
                  <c:v>271</c:v>
                </c:pt>
                <c:pt idx="559">
                  <c:v>270</c:v>
                </c:pt>
                <c:pt idx="560">
                  <c:v>271</c:v>
                </c:pt>
                <c:pt idx="561">
                  <c:v>270</c:v>
                </c:pt>
                <c:pt idx="562">
                  <c:v>269</c:v>
                </c:pt>
                <c:pt idx="563">
                  <c:v>270</c:v>
                </c:pt>
                <c:pt idx="564">
                  <c:v>269</c:v>
                </c:pt>
                <c:pt idx="565">
                  <c:v>270</c:v>
                </c:pt>
                <c:pt idx="566">
                  <c:v>271</c:v>
                </c:pt>
                <c:pt idx="567">
                  <c:v>272</c:v>
                </c:pt>
                <c:pt idx="568">
                  <c:v>271</c:v>
                </c:pt>
                <c:pt idx="569">
                  <c:v>272</c:v>
                </c:pt>
                <c:pt idx="570">
                  <c:v>271</c:v>
                </c:pt>
                <c:pt idx="571">
                  <c:v>272</c:v>
                </c:pt>
                <c:pt idx="572">
                  <c:v>273</c:v>
                </c:pt>
                <c:pt idx="573">
                  <c:v>272</c:v>
                </c:pt>
                <c:pt idx="574">
                  <c:v>271</c:v>
                </c:pt>
                <c:pt idx="575">
                  <c:v>272</c:v>
                </c:pt>
                <c:pt idx="576">
                  <c:v>273</c:v>
                </c:pt>
                <c:pt idx="577">
                  <c:v>274</c:v>
                </c:pt>
                <c:pt idx="578">
                  <c:v>273</c:v>
                </c:pt>
                <c:pt idx="579">
                  <c:v>274</c:v>
                </c:pt>
                <c:pt idx="580">
                  <c:v>273</c:v>
                </c:pt>
                <c:pt idx="581">
                  <c:v>274</c:v>
                </c:pt>
                <c:pt idx="582">
                  <c:v>275</c:v>
                </c:pt>
                <c:pt idx="583">
                  <c:v>276</c:v>
                </c:pt>
                <c:pt idx="584">
                  <c:v>277</c:v>
                </c:pt>
                <c:pt idx="585">
                  <c:v>278</c:v>
                </c:pt>
                <c:pt idx="586">
                  <c:v>279</c:v>
                </c:pt>
                <c:pt idx="587">
                  <c:v>280</c:v>
                </c:pt>
                <c:pt idx="588">
                  <c:v>281</c:v>
                </c:pt>
                <c:pt idx="589">
                  <c:v>282</c:v>
                </c:pt>
                <c:pt idx="590">
                  <c:v>283</c:v>
                </c:pt>
                <c:pt idx="591">
                  <c:v>282</c:v>
                </c:pt>
                <c:pt idx="592">
                  <c:v>281</c:v>
                </c:pt>
                <c:pt idx="593">
                  <c:v>282</c:v>
                </c:pt>
                <c:pt idx="594">
                  <c:v>283</c:v>
                </c:pt>
                <c:pt idx="595">
                  <c:v>284</c:v>
                </c:pt>
                <c:pt idx="596">
                  <c:v>283</c:v>
                </c:pt>
                <c:pt idx="597">
                  <c:v>282</c:v>
                </c:pt>
                <c:pt idx="598">
                  <c:v>283</c:v>
                </c:pt>
                <c:pt idx="599">
                  <c:v>282</c:v>
                </c:pt>
                <c:pt idx="600">
                  <c:v>283</c:v>
                </c:pt>
                <c:pt idx="601">
                  <c:v>284</c:v>
                </c:pt>
                <c:pt idx="602">
                  <c:v>283</c:v>
                </c:pt>
                <c:pt idx="603">
                  <c:v>282</c:v>
                </c:pt>
                <c:pt idx="604">
                  <c:v>283</c:v>
                </c:pt>
                <c:pt idx="605">
                  <c:v>284</c:v>
                </c:pt>
                <c:pt idx="606">
                  <c:v>283</c:v>
                </c:pt>
                <c:pt idx="607">
                  <c:v>284</c:v>
                </c:pt>
                <c:pt idx="608">
                  <c:v>285</c:v>
                </c:pt>
                <c:pt idx="609">
                  <c:v>286</c:v>
                </c:pt>
                <c:pt idx="610">
                  <c:v>287</c:v>
                </c:pt>
                <c:pt idx="611">
                  <c:v>288</c:v>
                </c:pt>
                <c:pt idx="612">
                  <c:v>289</c:v>
                </c:pt>
                <c:pt idx="613">
                  <c:v>290</c:v>
                </c:pt>
                <c:pt idx="614">
                  <c:v>291</c:v>
                </c:pt>
                <c:pt idx="615">
                  <c:v>292</c:v>
                </c:pt>
                <c:pt idx="616">
                  <c:v>291</c:v>
                </c:pt>
                <c:pt idx="617">
                  <c:v>292</c:v>
                </c:pt>
                <c:pt idx="618">
                  <c:v>293</c:v>
                </c:pt>
                <c:pt idx="619">
                  <c:v>294</c:v>
                </c:pt>
                <c:pt idx="620">
                  <c:v>295</c:v>
                </c:pt>
                <c:pt idx="621">
                  <c:v>296</c:v>
                </c:pt>
                <c:pt idx="622">
                  <c:v>297</c:v>
                </c:pt>
                <c:pt idx="623">
                  <c:v>298</c:v>
                </c:pt>
                <c:pt idx="624">
                  <c:v>299</c:v>
                </c:pt>
                <c:pt idx="625">
                  <c:v>300</c:v>
                </c:pt>
                <c:pt idx="626">
                  <c:v>299</c:v>
                </c:pt>
                <c:pt idx="627">
                  <c:v>300</c:v>
                </c:pt>
                <c:pt idx="628">
                  <c:v>301</c:v>
                </c:pt>
                <c:pt idx="629">
                  <c:v>302</c:v>
                </c:pt>
                <c:pt idx="630">
                  <c:v>303</c:v>
                </c:pt>
                <c:pt idx="631">
                  <c:v>304</c:v>
                </c:pt>
                <c:pt idx="632">
                  <c:v>305</c:v>
                </c:pt>
                <c:pt idx="633">
                  <c:v>304</c:v>
                </c:pt>
                <c:pt idx="634">
                  <c:v>305</c:v>
                </c:pt>
                <c:pt idx="635">
                  <c:v>306</c:v>
                </c:pt>
                <c:pt idx="636">
                  <c:v>307</c:v>
                </c:pt>
                <c:pt idx="637">
                  <c:v>308</c:v>
                </c:pt>
                <c:pt idx="638">
                  <c:v>309</c:v>
                </c:pt>
                <c:pt idx="639">
                  <c:v>310</c:v>
                </c:pt>
                <c:pt idx="640">
                  <c:v>311</c:v>
                </c:pt>
                <c:pt idx="641">
                  <c:v>312</c:v>
                </c:pt>
                <c:pt idx="642">
                  <c:v>311</c:v>
                </c:pt>
                <c:pt idx="643">
                  <c:v>312</c:v>
                </c:pt>
                <c:pt idx="644">
                  <c:v>313</c:v>
                </c:pt>
                <c:pt idx="645">
                  <c:v>314</c:v>
                </c:pt>
                <c:pt idx="646">
                  <c:v>313</c:v>
                </c:pt>
                <c:pt idx="647">
                  <c:v>314</c:v>
                </c:pt>
                <c:pt idx="648">
                  <c:v>315</c:v>
                </c:pt>
                <c:pt idx="649">
                  <c:v>316</c:v>
                </c:pt>
                <c:pt idx="650">
                  <c:v>317</c:v>
                </c:pt>
                <c:pt idx="651">
                  <c:v>316</c:v>
                </c:pt>
                <c:pt idx="652">
                  <c:v>317</c:v>
                </c:pt>
                <c:pt idx="653">
                  <c:v>318</c:v>
                </c:pt>
                <c:pt idx="654">
                  <c:v>319</c:v>
                </c:pt>
                <c:pt idx="655">
                  <c:v>320</c:v>
                </c:pt>
                <c:pt idx="656">
                  <c:v>321</c:v>
                </c:pt>
                <c:pt idx="657">
                  <c:v>320</c:v>
                </c:pt>
                <c:pt idx="658">
                  <c:v>321</c:v>
                </c:pt>
                <c:pt idx="659">
                  <c:v>322</c:v>
                </c:pt>
                <c:pt idx="660">
                  <c:v>323</c:v>
                </c:pt>
                <c:pt idx="661">
                  <c:v>324</c:v>
                </c:pt>
                <c:pt idx="662">
                  <c:v>323</c:v>
                </c:pt>
                <c:pt idx="663">
                  <c:v>324</c:v>
                </c:pt>
                <c:pt idx="664">
                  <c:v>323</c:v>
                </c:pt>
                <c:pt idx="665">
                  <c:v>322</c:v>
                </c:pt>
                <c:pt idx="666">
                  <c:v>323</c:v>
                </c:pt>
                <c:pt idx="667">
                  <c:v>324</c:v>
                </c:pt>
                <c:pt idx="668">
                  <c:v>325</c:v>
                </c:pt>
                <c:pt idx="669">
                  <c:v>326</c:v>
                </c:pt>
                <c:pt idx="670">
                  <c:v>327</c:v>
                </c:pt>
                <c:pt idx="671">
                  <c:v>326</c:v>
                </c:pt>
                <c:pt idx="672">
                  <c:v>327</c:v>
                </c:pt>
                <c:pt idx="673">
                  <c:v>326</c:v>
                </c:pt>
                <c:pt idx="674">
                  <c:v>325</c:v>
                </c:pt>
                <c:pt idx="675">
                  <c:v>324</c:v>
                </c:pt>
                <c:pt idx="676">
                  <c:v>323</c:v>
                </c:pt>
                <c:pt idx="677">
                  <c:v>322</c:v>
                </c:pt>
                <c:pt idx="678">
                  <c:v>321</c:v>
                </c:pt>
                <c:pt idx="679">
                  <c:v>320</c:v>
                </c:pt>
                <c:pt idx="680">
                  <c:v>319</c:v>
                </c:pt>
                <c:pt idx="681">
                  <c:v>318</c:v>
                </c:pt>
                <c:pt idx="682">
                  <c:v>317</c:v>
                </c:pt>
                <c:pt idx="683">
                  <c:v>316</c:v>
                </c:pt>
                <c:pt idx="684">
                  <c:v>315</c:v>
                </c:pt>
                <c:pt idx="685">
                  <c:v>314</c:v>
                </c:pt>
                <c:pt idx="686">
                  <c:v>313</c:v>
                </c:pt>
                <c:pt idx="687">
                  <c:v>312</c:v>
                </c:pt>
                <c:pt idx="688">
                  <c:v>311</c:v>
                </c:pt>
                <c:pt idx="689">
                  <c:v>310</c:v>
                </c:pt>
                <c:pt idx="690">
                  <c:v>309</c:v>
                </c:pt>
                <c:pt idx="691">
                  <c:v>308</c:v>
                </c:pt>
                <c:pt idx="692">
                  <c:v>307</c:v>
                </c:pt>
                <c:pt idx="693">
                  <c:v>306</c:v>
                </c:pt>
                <c:pt idx="694">
                  <c:v>305</c:v>
                </c:pt>
                <c:pt idx="695">
                  <c:v>304</c:v>
                </c:pt>
                <c:pt idx="696">
                  <c:v>303</c:v>
                </c:pt>
                <c:pt idx="697">
                  <c:v>302</c:v>
                </c:pt>
                <c:pt idx="698">
                  <c:v>301</c:v>
                </c:pt>
                <c:pt idx="699">
                  <c:v>300</c:v>
                </c:pt>
                <c:pt idx="700">
                  <c:v>299</c:v>
                </c:pt>
                <c:pt idx="701">
                  <c:v>298</c:v>
                </c:pt>
                <c:pt idx="702">
                  <c:v>297</c:v>
                </c:pt>
                <c:pt idx="703">
                  <c:v>296</c:v>
                </c:pt>
                <c:pt idx="704">
                  <c:v>295</c:v>
                </c:pt>
                <c:pt idx="705">
                  <c:v>294</c:v>
                </c:pt>
                <c:pt idx="706">
                  <c:v>293</c:v>
                </c:pt>
                <c:pt idx="707">
                  <c:v>292</c:v>
                </c:pt>
                <c:pt idx="708">
                  <c:v>291</c:v>
                </c:pt>
                <c:pt idx="709">
                  <c:v>290</c:v>
                </c:pt>
                <c:pt idx="710">
                  <c:v>289</c:v>
                </c:pt>
                <c:pt idx="711">
                  <c:v>288</c:v>
                </c:pt>
                <c:pt idx="712">
                  <c:v>287</c:v>
                </c:pt>
                <c:pt idx="713">
                  <c:v>286</c:v>
                </c:pt>
                <c:pt idx="714">
                  <c:v>285</c:v>
                </c:pt>
                <c:pt idx="715">
                  <c:v>284</c:v>
                </c:pt>
                <c:pt idx="716">
                  <c:v>283</c:v>
                </c:pt>
                <c:pt idx="717">
                  <c:v>282</c:v>
                </c:pt>
                <c:pt idx="718">
                  <c:v>281</c:v>
                </c:pt>
                <c:pt idx="719">
                  <c:v>280</c:v>
                </c:pt>
                <c:pt idx="720">
                  <c:v>279</c:v>
                </c:pt>
                <c:pt idx="721">
                  <c:v>278</c:v>
                </c:pt>
                <c:pt idx="722">
                  <c:v>277</c:v>
                </c:pt>
                <c:pt idx="723">
                  <c:v>276</c:v>
                </c:pt>
                <c:pt idx="724">
                  <c:v>275</c:v>
                </c:pt>
                <c:pt idx="725">
                  <c:v>274</c:v>
                </c:pt>
                <c:pt idx="726">
                  <c:v>273</c:v>
                </c:pt>
                <c:pt idx="727">
                  <c:v>272</c:v>
                </c:pt>
                <c:pt idx="728">
                  <c:v>271</c:v>
                </c:pt>
                <c:pt idx="729">
                  <c:v>270</c:v>
                </c:pt>
                <c:pt idx="730">
                  <c:v>269</c:v>
                </c:pt>
                <c:pt idx="731">
                  <c:v>268</c:v>
                </c:pt>
                <c:pt idx="732">
                  <c:v>267</c:v>
                </c:pt>
                <c:pt idx="733">
                  <c:v>266</c:v>
                </c:pt>
                <c:pt idx="734">
                  <c:v>265</c:v>
                </c:pt>
                <c:pt idx="735">
                  <c:v>264</c:v>
                </c:pt>
                <c:pt idx="736">
                  <c:v>263</c:v>
                </c:pt>
                <c:pt idx="737">
                  <c:v>262</c:v>
                </c:pt>
                <c:pt idx="738">
                  <c:v>261</c:v>
                </c:pt>
                <c:pt idx="739">
                  <c:v>260</c:v>
                </c:pt>
                <c:pt idx="740">
                  <c:v>259</c:v>
                </c:pt>
                <c:pt idx="741">
                  <c:v>258</c:v>
                </c:pt>
                <c:pt idx="742">
                  <c:v>257</c:v>
                </c:pt>
                <c:pt idx="743">
                  <c:v>256</c:v>
                </c:pt>
                <c:pt idx="744">
                  <c:v>255</c:v>
                </c:pt>
                <c:pt idx="745">
                  <c:v>254</c:v>
                </c:pt>
                <c:pt idx="746">
                  <c:v>253</c:v>
                </c:pt>
                <c:pt idx="747">
                  <c:v>252</c:v>
                </c:pt>
                <c:pt idx="748">
                  <c:v>251</c:v>
                </c:pt>
                <c:pt idx="749">
                  <c:v>250</c:v>
                </c:pt>
                <c:pt idx="750">
                  <c:v>249</c:v>
                </c:pt>
                <c:pt idx="751">
                  <c:v>248</c:v>
                </c:pt>
                <c:pt idx="752">
                  <c:v>247</c:v>
                </c:pt>
                <c:pt idx="753">
                  <c:v>246</c:v>
                </c:pt>
                <c:pt idx="754">
                  <c:v>245</c:v>
                </c:pt>
                <c:pt idx="755">
                  <c:v>244</c:v>
                </c:pt>
                <c:pt idx="756">
                  <c:v>243</c:v>
                </c:pt>
                <c:pt idx="757">
                  <c:v>242</c:v>
                </c:pt>
                <c:pt idx="758">
                  <c:v>241</c:v>
                </c:pt>
                <c:pt idx="759">
                  <c:v>240</c:v>
                </c:pt>
                <c:pt idx="760">
                  <c:v>239</c:v>
                </c:pt>
                <c:pt idx="761">
                  <c:v>238</c:v>
                </c:pt>
                <c:pt idx="762">
                  <c:v>237</c:v>
                </c:pt>
                <c:pt idx="763">
                  <c:v>236</c:v>
                </c:pt>
                <c:pt idx="764">
                  <c:v>235</c:v>
                </c:pt>
                <c:pt idx="765">
                  <c:v>234</c:v>
                </c:pt>
                <c:pt idx="766">
                  <c:v>233</c:v>
                </c:pt>
                <c:pt idx="767">
                  <c:v>232</c:v>
                </c:pt>
                <c:pt idx="768">
                  <c:v>231</c:v>
                </c:pt>
                <c:pt idx="769">
                  <c:v>230</c:v>
                </c:pt>
                <c:pt idx="770">
                  <c:v>229</c:v>
                </c:pt>
                <c:pt idx="771">
                  <c:v>228</c:v>
                </c:pt>
                <c:pt idx="772">
                  <c:v>227</c:v>
                </c:pt>
                <c:pt idx="773">
                  <c:v>226</c:v>
                </c:pt>
                <c:pt idx="774">
                  <c:v>225</c:v>
                </c:pt>
                <c:pt idx="775">
                  <c:v>224</c:v>
                </c:pt>
                <c:pt idx="776">
                  <c:v>223</c:v>
                </c:pt>
                <c:pt idx="777">
                  <c:v>222</c:v>
                </c:pt>
                <c:pt idx="778">
                  <c:v>221</c:v>
                </c:pt>
                <c:pt idx="779">
                  <c:v>220</c:v>
                </c:pt>
                <c:pt idx="780">
                  <c:v>219</c:v>
                </c:pt>
                <c:pt idx="781">
                  <c:v>218</c:v>
                </c:pt>
                <c:pt idx="782">
                  <c:v>217</c:v>
                </c:pt>
                <c:pt idx="783">
                  <c:v>216</c:v>
                </c:pt>
                <c:pt idx="784">
                  <c:v>215</c:v>
                </c:pt>
                <c:pt idx="785">
                  <c:v>214</c:v>
                </c:pt>
                <c:pt idx="786">
                  <c:v>213</c:v>
                </c:pt>
                <c:pt idx="787">
                  <c:v>212</c:v>
                </c:pt>
                <c:pt idx="788">
                  <c:v>211</c:v>
                </c:pt>
                <c:pt idx="789">
                  <c:v>210</c:v>
                </c:pt>
                <c:pt idx="790">
                  <c:v>209</c:v>
                </c:pt>
                <c:pt idx="791">
                  <c:v>208</c:v>
                </c:pt>
                <c:pt idx="792">
                  <c:v>207</c:v>
                </c:pt>
                <c:pt idx="793">
                  <c:v>206</c:v>
                </c:pt>
                <c:pt idx="794">
                  <c:v>205</c:v>
                </c:pt>
                <c:pt idx="795">
                  <c:v>204</c:v>
                </c:pt>
                <c:pt idx="796">
                  <c:v>203</c:v>
                </c:pt>
                <c:pt idx="797">
                  <c:v>202</c:v>
                </c:pt>
                <c:pt idx="798">
                  <c:v>201</c:v>
                </c:pt>
                <c:pt idx="799">
                  <c:v>200</c:v>
                </c:pt>
                <c:pt idx="800">
                  <c:v>199</c:v>
                </c:pt>
                <c:pt idx="801">
                  <c:v>198</c:v>
                </c:pt>
                <c:pt idx="802">
                  <c:v>197</c:v>
                </c:pt>
                <c:pt idx="803">
                  <c:v>196</c:v>
                </c:pt>
                <c:pt idx="804">
                  <c:v>195</c:v>
                </c:pt>
                <c:pt idx="805">
                  <c:v>194</c:v>
                </c:pt>
                <c:pt idx="806">
                  <c:v>193</c:v>
                </c:pt>
                <c:pt idx="807">
                  <c:v>192</c:v>
                </c:pt>
                <c:pt idx="808">
                  <c:v>191</c:v>
                </c:pt>
                <c:pt idx="809">
                  <c:v>190</c:v>
                </c:pt>
                <c:pt idx="810">
                  <c:v>189</c:v>
                </c:pt>
                <c:pt idx="811">
                  <c:v>188</c:v>
                </c:pt>
                <c:pt idx="812">
                  <c:v>187</c:v>
                </c:pt>
                <c:pt idx="813">
                  <c:v>186</c:v>
                </c:pt>
                <c:pt idx="814">
                  <c:v>185</c:v>
                </c:pt>
                <c:pt idx="815">
                  <c:v>184</c:v>
                </c:pt>
                <c:pt idx="816">
                  <c:v>183</c:v>
                </c:pt>
                <c:pt idx="817">
                  <c:v>182</c:v>
                </c:pt>
                <c:pt idx="818">
                  <c:v>181</c:v>
                </c:pt>
                <c:pt idx="819">
                  <c:v>180</c:v>
                </c:pt>
                <c:pt idx="820">
                  <c:v>179</c:v>
                </c:pt>
                <c:pt idx="821">
                  <c:v>178</c:v>
                </c:pt>
                <c:pt idx="822">
                  <c:v>177</c:v>
                </c:pt>
                <c:pt idx="823">
                  <c:v>176</c:v>
                </c:pt>
                <c:pt idx="824">
                  <c:v>175</c:v>
                </c:pt>
                <c:pt idx="825">
                  <c:v>174</c:v>
                </c:pt>
                <c:pt idx="826">
                  <c:v>173</c:v>
                </c:pt>
                <c:pt idx="827">
                  <c:v>172</c:v>
                </c:pt>
                <c:pt idx="828">
                  <c:v>171</c:v>
                </c:pt>
                <c:pt idx="829">
                  <c:v>170</c:v>
                </c:pt>
                <c:pt idx="830">
                  <c:v>169</c:v>
                </c:pt>
                <c:pt idx="831">
                  <c:v>168</c:v>
                </c:pt>
                <c:pt idx="832">
                  <c:v>167</c:v>
                </c:pt>
                <c:pt idx="833">
                  <c:v>166</c:v>
                </c:pt>
                <c:pt idx="834">
                  <c:v>165</c:v>
                </c:pt>
                <c:pt idx="835">
                  <c:v>164</c:v>
                </c:pt>
                <c:pt idx="836">
                  <c:v>163</c:v>
                </c:pt>
                <c:pt idx="837">
                  <c:v>162</c:v>
                </c:pt>
                <c:pt idx="838">
                  <c:v>161</c:v>
                </c:pt>
                <c:pt idx="839">
                  <c:v>160</c:v>
                </c:pt>
                <c:pt idx="840">
                  <c:v>159</c:v>
                </c:pt>
                <c:pt idx="841">
                  <c:v>158</c:v>
                </c:pt>
                <c:pt idx="842">
                  <c:v>157</c:v>
                </c:pt>
                <c:pt idx="843">
                  <c:v>156</c:v>
                </c:pt>
                <c:pt idx="844">
                  <c:v>155</c:v>
                </c:pt>
                <c:pt idx="845">
                  <c:v>154</c:v>
                </c:pt>
                <c:pt idx="846">
                  <c:v>153</c:v>
                </c:pt>
                <c:pt idx="847">
                  <c:v>152</c:v>
                </c:pt>
                <c:pt idx="848">
                  <c:v>151</c:v>
                </c:pt>
                <c:pt idx="849">
                  <c:v>150</c:v>
                </c:pt>
                <c:pt idx="850">
                  <c:v>149</c:v>
                </c:pt>
                <c:pt idx="851">
                  <c:v>148</c:v>
                </c:pt>
                <c:pt idx="852">
                  <c:v>147</c:v>
                </c:pt>
                <c:pt idx="853">
                  <c:v>146</c:v>
                </c:pt>
                <c:pt idx="854">
                  <c:v>145</c:v>
                </c:pt>
                <c:pt idx="855">
                  <c:v>144</c:v>
                </c:pt>
                <c:pt idx="856">
                  <c:v>143</c:v>
                </c:pt>
                <c:pt idx="857">
                  <c:v>142</c:v>
                </c:pt>
                <c:pt idx="858">
                  <c:v>141</c:v>
                </c:pt>
                <c:pt idx="859">
                  <c:v>140</c:v>
                </c:pt>
                <c:pt idx="860">
                  <c:v>139</c:v>
                </c:pt>
                <c:pt idx="861">
                  <c:v>138</c:v>
                </c:pt>
                <c:pt idx="862">
                  <c:v>137</c:v>
                </c:pt>
                <c:pt idx="863">
                  <c:v>136</c:v>
                </c:pt>
                <c:pt idx="864">
                  <c:v>135</c:v>
                </c:pt>
                <c:pt idx="865">
                  <c:v>134</c:v>
                </c:pt>
                <c:pt idx="866">
                  <c:v>133</c:v>
                </c:pt>
                <c:pt idx="867">
                  <c:v>132</c:v>
                </c:pt>
                <c:pt idx="868">
                  <c:v>131</c:v>
                </c:pt>
                <c:pt idx="869">
                  <c:v>130</c:v>
                </c:pt>
                <c:pt idx="870">
                  <c:v>129</c:v>
                </c:pt>
                <c:pt idx="871">
                  <c:v>128</c:v>
                </c:pt>
                <c:pt idx="872">
                  <c:v>127</c:v>
                </c:pt>
                <c:pt idx="873">
                  <c:v>126</c:v>
                </c:pt>
                <c:pt idx="874">
                  <c:v>125</c:v>
                </c:pt>
                <c:pt idx="875">
                  <c:v>124</c:v>
                </c:pt>
                <c:pt idx="876">
                  <c:v>123</c:v>
                </c:pt>
                <c:pt idx="877">
                  <c:v>122</c:v>
                </c:pt>
                <c:pt idx="878">
                  <c:v>121</c:v>
                </c:pt>
                <c:pt idx="879">
                  <c:v>120</c:v>
                </c:pt>
                <c:pt idx="880">
                  <c:v>119</c:v>
                </c:pt>
                <c:pt idx="881">
                  <c:v>118</c:v>
                </c:pt>
                <c:pt idx="882">
                  <c:v>117</c:v>
                </c:pt>
                <c:pt idx="883">
                  <c:v>116</c:v>
                </c:pt>
                <c:pt idx="884">
                  <c:v>115</c:v>
                </c:pt>
                <c:pt idx="885">
                  <c:v>114</c:v>
                </c:pt>
                <c:pt idx="886">
                  <c:v>113</c:v>
                </c:pt>
                <c:pt idx="887">
                  <c:v>112</c:v>
                </c:pt>
                <c:pt idx="888">
                  <c:v>111</c:v>
                </c:pt>
                <c:pt idx="889">
                  <c:v>110</c:v>
                </c:pt>
                <c:pt idx="890">
                  <c:v>109</c:v>
                </c:pt>
                <c:pt idx="891">
                  <c:v>108</c:v>
                </c:pt>
                <c:pt idx="892">
                  <c:v>107</c:v>
                </c:pt>
                <c:pt idx="893">
                  <c:v>106</c:v>
                </c:pt>
                <c:pt idx="894">
                  <c:v>105</c:v>
                </c:pt>
                <c:pt idx="895">
                  <c:v>104</c:v>
                </c:pt>
                <c:pt idx="896">
                  <c:v>103</c:v>
                </c:pt>
                <c:pt idx="897">
                  <c:v>102</c:v>
                </c:pt>
                <c:pt idx="898">
                  <c:v>101</c:v>
                </c:pt>
                <c:pt idx="899">
                  <c:v>100</c:v>
                </c:pt>
                <c:pt idx="900">
                  <c:v>99</c:v>
                </c:pt>
                <c:pt idx="901">
                  <c:v>98</c:v>
                </c:pt>
                <c:pt idx="902">
                  <c:v>97</c:v>
                </c:pt>
                <c:pt idx="903">
                  <c:v>96</c:v>
                </c:pt>
                <c:pt idx="904">
                  <c:v>95</c:v>
                </c:pt>
                <c:pt idx="905">
                  <c:v>94</c:v>
                </c:pt>
                <c:pt idx="906">
                  <c:v>93</c:v>
                </c:pt>
                <c:pt idx="907">
                  <c:v>92</c:v>
                </c:pt>
                <c:pt idx="908">
                  <c:v>91</c:v>
                </c:pt>
                <c:pt idx="909">
                  <c:v>90</c:v>
                </c:pt>
                <c:pt idx="910">
                  <c:v>89</c:v>
                </c:pt>
                <c:pt idx="911">
                  <c:v>88</c:v>
                </c:pt>
                <c:pt idx="912">
                  <c:v>87</c:v>
                </c:pt>
                <c:pt idx="913">
                  <c:v>86</c:v>
                </c:pt>
                <c:pt idx="914">
                  <c:v>85</c:v>
                </c:pt>
                <c:pt idx="915">
                  <c:v>84</c:v>
                </c:pt>
                <c:pt idx="916">
                  <c:v>83</c:v>
                </c:pt>
                <c:pt idx="917">
                  <c:v>82</c:v>
                </c:pt>
                <c:pt idx="918">
                  <c:v>81</c:v>
                </c:pt>
                <c:pt idx="919">
                  <c:v>80</c:v>
                </c:pt>
                <c:pt idx="920">
                  <c:v>79</c:v>
                </c:pt>
                <c:pt idx="921">
                  <c:v>78</c:v>
                </c:pt>
                <c:pt idx="922">
                  <c:v>77</c:v>
                </c:pt>
                <c:pt idx="923">
                  <c:v>76</c:v>
                </c:pt>
                <c:pt idx="924">
                  <c:v>75</c:v>
                </c:pt>
                <c:pt idx="925">
                  <c:v>74</c:v>
                </c:pt>
                <c:pt idx="926">
                  <c:v>73</c:v>
                </c:pt>
                <c:pt idx="927">
                  <c:v>72</c:v>
                </c:pt>
                <c:pt idx="928">
                  <c:v>71</c:v>
                </c:pt>
                <c:pt idx="929">
                  <c:v>70</c:v>
                </c:pt>
                <c:pt idx="930">
                  <c:v>69</c:v>
                </c:pt>
                <c:pt idx="931">
                  <c:v>68</c:v>
                </c:pt>
                <c:pt idx="932">
                  <c:v>67</c:v>
                </c:pt>
                <c:pt idx="933">
                  <c:v>66</c:v>
                </c:pt>
                <c:pt idx="934">
                  <c:v>65</c:v>
                </c:pt>
                <c:pt idx="935">
                  <c:v>64</c:v>
                </c:pt>
                <c:pt idx="936">
                  <c:v>63</c:v>
                </c:pt>
                <c:pt idx="937">
                  <c:v>62</c:v>
                </c:pt>
                <c:pt idx="938">
                  <c:v>61</c:v>
                </c:pt>
                <c:pt idx="939">
                  <c:v>60</c:v>
                </c:pt>
                <c:pt idx="940">
                  <c:v>59</c:v>
                </c:pt>
                <c:pt idx="941">
                  <c:v>58</c:v>
                </c:pt>
                <c:pt idx="942">
                  <c:v>57</c:v>
                </c:pt>
                <c:pt idx="943">
                  <c:v>56</c:v>
                </c:pt>
                <c:pt idx="944">
                  <c:v>55</c:v>
                </c:pt>
                <c:pt idx="945">
                  <c:v>54</c:v>
                </c:pt>
                <c:pt idx="946">
                  <c:v>53</c:v>
                </c:pt>
                <c:pt idx="947">
                  <c:v>52</c:v>
                </c:pt>
                <c:pt idx="948">
                  <c:v>51</c:v>
                </c:pt>
                <c:pt idx="949">
                  <c:v>50</c:v>
                </c:pt>
                <c:pt idx="950">
                  <c:v>49</c:v>
                </c:pt>
                <c:pt idx="951">
                  <c:v>48</c:v>
                </c:pt>
                <c:pt idx="952">
                  <c:v>47</c:v>
                </c:pt>
                <c:pt idx="953">
                  <c:v>46</c:v>
                </c:pt>
                <c:pt idx="954">
                  <c:v>45</c:v>
                </c:pt>
                <c:pt idx="955">
                  <c:v>44</c:v>
                </c:pt>
                <c:pt idx="956">
                  <c:v>43</c:v>
                </c:pt>
                <c:pt idx="957">
                  <c:v>42</c:v>
                </c:pt>
                <c:pt idx="958">
                  <c:v>41</c:v>
                </c:pt>
                <c:pt idx="959">
                  <c:v>40</c:v>
                </c:pt>
                <c:pt idx="960">
                  <c:v>39</c:v>
                </c:pt>
                <c:pt idx="961">
                  <c:v>38</c:v>
                </c:pt>
                <c:pt idx="962">
                  <c:v>37</c:v>
                </c:pt>
                <c:pt idx="963">
                  <c:v>36</c:v>
                </c:pt>
                <c:pt idx="964">
                  <c:v>35</c:v>
                </c:pt>
                <c:pt idx="965">
                  <c:v>34</c:v>
                </c:pt>
                <c:pt idx="966">
                  <c:v>33</c:v>
                </c:pt>
                <c:pt idx="967">
                  <c:v>32</c:v>
                </c:pt>
                <c:pt idx="968">
                  <c:v>31</c:v>
                </c:pt>
                <c:pt idx="969">
                  <c:v>30</c:v>
                </c:pt>
                <c:pt idx="970">
                  <c:v>29</c:v>
                </c:pt>
                <c:pt idx="971">
                  <c:v>28</c:v>
                </c:pt>
                <c:pt idx="972">
                  <c:v>27</c:v>
                </c:pt>
                <c:pt idx="973">
                  <c:v>26</c:v>
                </c:pt>
                <c:pt idx="974">
                  <c:v>25</c:v>
                </c:pt>
                <c:pt idx="975">
                  <c:v>24</c:v>
                </c:pt>
                <c:pt idx="976">
                  <c:v>23</c:v>
                </c:pt>
                <c:pt idx="977">
                  <c:v>22</c:v>
                </c:pt>
                <c:pt idx="978">
                  <c:v>21</c:v>
                </c:pt>
                <c:pt idx="979">
                  <c:v>20</c:v>
                </c:pt>
                <c:pt idx="980">
                  <c:v>19</c:v>
                </c:pt>
                <c:pt idx="981">
                  <c:v>18</c:v>
                </c:pt>
                <c:pt idx="982">
                  <c:v>17</c:v>
                </c:pt>
                <c:pt idx="983">
                  <c:v>16</c:v>
                </c:pt>
                <c:pt idx="984">
                  <c:v>15</c:v>
                </c:pt>
                <c:pt idx="985">
                  <c:v>14</c:v>
                </c:pt>
                <c:pt idx="986">
                  <c:v>13</c:v>
                </c:pt>
                <c:pt idx="987">
                  <c:v>12</c:v>
                </c:pt>
                <c:pt idx="988">
                  <c:v>11</c:v>
                </c:pt>
                <c:pt idx="989">
                  <c:v>10</c:v>
                </c:pt>
                <c:pt idx="990">
                  <c:v>9</c:v>
                </c:pt>
                <c:pt idx="991">
                  <c:v>8</c:v>
                </c:pt>
                <c:pt idx="992">
                  <c:v>7</c:v>
                </c:pt>
                <c:pt idx="993">
                  <c:v>6</c:v>
                </c:pt>
                <c:pt idx="994">
                  <c:v>5</c:v>
                </c:pt>
                <c:pt idx="995">
                  <c:v>4</c:v>
                </c:pt>
                <c:pt idx="996">
                  <c:v>3</c:v>
                </c:pt>
                <c:pt idx="997">
                  <c:v>2</c:v>
                </c:pt>
                <c:pt idx="998">
                  <c:v>1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A1-4B32-883F-CD7839FD1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078656"/>
        <c:axId val="113080192"/>
      </c:barChart>
      <c:lineChart>
        <c:grouping val="standard"/>
        <c:varyColors val="0"/>
        <c:ser>
          <c:idx val="1"/>
          <c:order val="1"/>
          <c:tx>
            <c:v>Ряд2</c:v>
          </c:tx>
          <c:marker>
            <c:symbol val="none"/>
          </c:marker>
          <c:val>
            <c:numRef>
              <c:f>Лист2!$M$526:$M$1525</c:f>
              <c:numCache>
                <c:formatCode>General</c:formatCode>
                <c:ptCount val="1000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40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40</c:v>
                </c:pt>
                <c:pt idx="33">
                  <c:v>40</c:v>
                </c:pt>
                <c:pt idx="34">
                  <c:v>40</c:v>
                </c:pt>
                <c:pt idx="35">
                  <c:v>40</c:v>
                </c:pt>
                <c:pt idx="36">
                  <c:v>40</c:v>
                </c:pt>
                <c:pt idx="37">
                  <c:v>40</c:v>
                </c:pt>
                <c:pt idx="38">
                  <c:v>40</c:v>
                </c:pt>
                <c:pt idx="39">
                  <c:v>40</c:v>
                </c:pt>
                <c:pt idx="40">
                  <c:v>40</c:v>
                </c:pt>
                <c:pt idx="41">
                  <c:v>40</c:v>
                </c:pt>
                <c:pt idx="42">
                  <c:v>40</c:v>
                </c:pt>
                <c:pt idx="43">
                  <c:v>40</c:v>
                </c:pt>
                <c:pt idx="44">
                  <c:v>40</c:v>
                </c:pt>
                <c:pt idx="45">
                  <c:v>40</c:v>
                </c:pt>
                <c:pt idx="46">
                  <c:v>40</c:v>
                </c:pt>
                <c:pt idx="47">
                  <c:v>40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40</c:v>
                </c:pt>
                <c:pt idx="59">
                  <c:v>40</c:v>
                </c:pt>
                <c:pt idx="60">
                  <c:v>40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40</c:v>
                </c:pt>
                <c:pt idx="70">
                  <c:v>40</c:v>
                </c:pt>
                <c:pt idx="71">
                  <c:v>40</c:v>
                </c:pt>
                <c:pt idx="72">
                  <c:v>40</c:v>
                </c:pt>
                <c:pt idx="73">
                  <c:v>40</c:v>
                </c:pt>
                <c:pt idx="74">
                  <c:v>40</c:v>
                </c:pt>
                <c:pt idx="75">
                  <c:v>40</c:v>
                </c:pt>
                <c:pt idx="76">
                  <c:v>40</c:v>
                </c:pt>
                <c:pt idx="77">
                  <c:v>40</c:v>
                </c:pt>
                <c:pt idx="78">
                  <c:v>40</c:v>
                </c:pt>
                <c:pt idx="79">
                  <c:v>40</c:v>
                </c:pt>
                <c:pt idx="80">
                  <c:v>40</c:v>
                </c:pt>
                <c:pt idx="81">
                  <c:v>40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40</c:v>
                </c:pt>
                <c:pt idx="177">
                  <c:v>40</c:v>
                </c:pt>
                <c:pt idx="178">
                  <c:v>40</c:v>
                </c:pt>
                <c:pt idx="179">
                  <c:v>40</c:v>
                </c:pt>
                <c:pt idx="180">
                  <c:v>40</c:v>
                </c:pt>
                <c:pt idx="181">
                  <c:v>40</c:v>
                </c:pt>
                <c:pt idx="182">
                  <c:v>40</c:v>
                </c:pt>
                <c:pt idx="183">
                  <c:v>40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40</c:v>
                </c:pt>
                <c:pt idx="189">
                  <c:v>40</c:v>
                </c:pt>
                <c:pt idx="190">
                  <c:v>40</c:v>
                </c:pt>
                <c:pt idx="191">
                  <c:v>40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40</c:v>
                </c:pt>
                <c:pt idx="243">
                  <c:v>40</c:v>
                </c:pt>
                <c:pt idx="244">
                  <c:v>40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40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40</c:v>
                </c:pt>
                <c:pt idx="254">
                  <c:v>40</c:v>
                </c:pt>
                <c:pt idx="255">
                  <c:v>40</c:v>
                </c:pt>
                <c:pt idx="256">
                  <c:v>40</c:v>
                </c:pt>
                <c:pt idx="257">
                  <c:v>40</c:v>
                </c:pt>
                <c:pt idx="258">
                  <c:v>40</c:v>
                </c:pt>
                <c:pt idx="259">
                  <c:v>40</c:v>
                </c:pt>
                <c:pt idx="260">
                  <c:v>40</c:v>
                </c:pt>
                <c:pt idx="261">
                  <c:v>40</c:v>
                </c:pt>
                <c:pt idx="262">
                  <c:v>40</c:v>
                </c:pt>
                <c:pt idx="263">
                  <c:v>40</c:v>
                </c:pt>
                <c:pt idx="264">
                  <c:v>40</c:v>
                </c:pt>
                <c:pt idx="265">
                  <c:v>40</c:v>
                </c:pt>
                <c:pt idx="266">
                  <c:v>40</c:v>
                </c:pt>
                <c:pt idx="267">
                  <c:v>40</c:v>
                </c:pt>
                <c:pt idx="268">
                  <c:v>40</c:v>
                </c:pt>
                <c:pt idx="269">
                  <c:v>40</c:v>
                </c:pt>
                <c:pt idx="270">
                  <c:v>40</c:v>
                </c:pt>
                <c:pt idx="271">
                  <c:v>40</c:v>
                </c:pt>
                <c:pt idx="272">
                  <c:v>40</c:v>
                </c:pt>
                <c:pt idx="273">
                  <c:v>40</c:v>
                </c:pt>
                <c:pt idx="274">
                  <c:v>40</c:v>
                </c:pt>
                <c:pt idx="275">
                  <c:v>40</c:v>
                </c:pt>
                <c:pt idx="276">
                  <c:v>40</c:v>
                </c:pt>
                <c:pt idx="277">
                  <c:v>40</c:v>
                </c:pt>
                <c:pt idx="278">
                  <c:v>40</c:v>
                </c:pt>
                <c:pt idx="279">
                  <c:v>40</c:v>
                </c:pt>
                <c:pt idx="280">
                  <c:v>40</c:v>
                </c:pt>
                <c:pt idx="281">
                  <c:v>40</c:v>
                </c:pt>
                <c:pt idx="282">
                  <c:v>40</c:v>
                </c:pt>
                <c:pt idx="283">
                  <c:v>40</c:v>
                </c:pt>
                <c:pt idx="284">
                  <c:v>40</c:v>
                </c:pt>
                <c:pt idx="285">
                  <c:v>40</c:v>
                </c:pt>
                <c:pt idx="286">
                  <c:v>40</c:v>
                </c:pt>
                <c:pt idx="287">
                  <c:v>40</c:v>
                </c:pt>
                <c:pt idx="288">
                  <c:v>40</c:v>
                </c:pt>
                <c:pt idx="289">
                  <c:v>40</c:v>
                </c:pt>
                <c:pt idx="290">
                  <c:v>40</c:v>
                </c:pt>
                <c:pt idx="291">
                  <c:v>40</c:v>
                </c:pt>
                <c:pt idx="292">
                  <c:v>40</c:v>
                </c:pt>
                <c:pt idx="293">
                  <c:v>40</c:v>
                </c:pt>
                <c:pt idx="294">
                  <c:v>40</c:v>
                </c:pt>
                <c:pt idx="295">
                  <c:v>40</c:v>
                </c:pt>
                <c:pt idx="296">
                  <c:v>40</c:v>
                </c:pt>
                <c:pt idx="297">
                  <c:v>40</c:v>
                </c:pt>
                <c:pt idx="298">
                  <c:v>40</c:v>
                </c:pt>
                <c:pt idx="299">
                  <c:v>40</c:v>
                </c:pt>
                <c:pt idx="300">
                  <c:v>40</c:v>
                </c:pt>
                <c:pt idx="301">
                  <c:v>40</c:v>
                </c:pt>
                <c:pt idx="302">
                  <c:v>40</c:v>
                </c:pt>
                <c:pt idx="303">
                  <c:v>40</c:v>
                </c:pt>
                <c:pt idx="304">
                  <c:v>40</c:v>
                </c:pt>
                <c:pt idx="305">
                  <c:v>40</c:v>
                </c:pt>
                <c:pt idx="306">
                  <c:v>40</c:v>
                </c:pt>
                <c:pt idx="307">
                  <c:v>40</c:v>
                </c:pt>
                <c:pt idx="308">
                  <c:v>40</c:v>
                </c:pt>
                <c:pt idx="309">
                  <c:v>40</c:v>
                </c:pt>
                <c:pt idx="310">
                  <c:v>40</c:v>
                </c:pt>
                <c:pt idx="311">
                  <c:v>40</c:v>
                </c:pt>
                <c:pt idx="312">
                  <c:v>40</c:v>
                </c:pt>
                <c:pt idx="313">
                  <c:v>40</c:v>
                </c:pt>
                <c:pt idx="314">
                  <c:v>40</c:v>
                </c:pt>
                <c:pt idx="315">
                  <c:v>40</c:v>
                </c:pt>
                <c:pt idx="316">
                  <c:v>40</c:v>
                </c:pt>
                <c:pt idx="317">
                  <c:v>40</c:v>
                </c:pt>
                <c:pt idx="318">
                  <c:v>40</c:v>
                </c:pt>
                <c:pt idx="319">
                  <c:v>40</c:v>
                </c:pt>
                <c:pt idx="320">
                  <c:v>40</c:v>
                </c:pt>
                <c:pt idx="321">
                  <c:v>40</c:v>
                </c:pt>
                <c:pt idx="322">
                  <c:v>40</c:v>
                </c:pt>
                <c:pt idx="323">
                  <c:v>40</c:v>
                </c:pt>
                <c:pt idx="324">
                  <c:v>40</c:v>
                </c:pt>
                <c:pt idx="325">
                  <c:v>40</c:v>
                </c:pt>
                <c:pt idx="326">
                  <c:v>40</c:v>
                </c:pt>
                <c:pt idx="327">
                  <c:v>40</c:v>
                </c:pt>
                <c:pt idx="328">
                  <c:v>40</c:v>
                </c:pt>
                <c:pt idx="329">
                  <c:v>40</c:v>
                </c:pt>
                <c:pt idx="330">
                  <c:v>40</c:v>
                </c:pt>
                <c:pt idx="331">
                  <c:v>40</c:v>
                </c:pt>
                <c:pt idx="332">
                  <c:v>40</c:v>
                </c:pt>
                <c:pt idx="333">
                  <c:v>40</c:v>
                </c:pt>
                <c:pt idx="334">
                  <c:v>40</c:v>
                </c:pt>
                <c:pt idx="335">
                  <c:v>40</c:v>
                </c:pt>
                <c:pt idx="336">
                  <c:v>40</c:v>
                </c:pt>
                <c:pt idx="337">
                  <c:v>40</c:v>
                </c:pt>
                <c:pt idx="338">
                  <c:v>40</c:v>
                </c:pt>
                <c:pt idx="339">
                  <c:v>40</c:v>
                </c:pt>
                <c:pt idx="340">
                  <c:v>40</c:v>
                </c:pt>
                <c:pt idx="341">
                  <c:v>40</c:v>
                </c:pt>
                <c:pt idx="342">
                  <c:v>40</c:v>
                </c:pt>
                <c:pt idx="343">
                  <c:v>40</c:v>
                </c:pt>
                <c:pt idx="344">
                  <c:v>40</c:v>
                </c:pt>
                <c:pt idx="345">
                  <c:v>40</c:v>
                </c:pt>
                <c:pt idx="346">
                  <c:v>40</c:v>
                </c:pt>
                <c:pt idx="347">
                  <c:v>40</c:v>
                </c:pt>
                <c:pt idx="348">
                  <c:v>40</c:v>
                </c:pt>
                <c:pt idx="349">
                  <c:v>40</c:v>
                </c:pt>
                <c:pt idx="350">
                  <c:v>40</c:v>
                </c:pt>
                <c:pt idx="351">
                  <c:v>40</c:v>
                </c:pt>
                <c:pt idx="352">
                  <c:v>40</c:v>
                </c:pt>
                <c:pt idx="353">
                  <c:v>40</c:v>
                </c:pt>
                <c:pt idx="354">
                  <c:v>40</c:v>
                </c:pt>
                <c:pt idx="355">
                  <c:v>40</c:v>
                </c:pt>
                <c:pt idx="356">
                  <c:v>40</c:v>
                </c:pt>
                <c:pt idx="357">
                  <c:v>40</c:v>
                </c:pt>
                <c:pt idx="358">
                  <c:v>40</c:v>
                </c:pt>
                <c:pt idx="359">
                  <c:v>40</c:v>
                </c:pt>
                <c:pt idx="360">
                  <c:v>40</c:v>
                </c:pt>
                <c:pt idx="361">
                  <c:v>40</c:v>
                </c:pt>
                <c:pt idx="362">
                  <c:v>40</c:v>
                </c:pt>
                <c:pt idx="363">
                  <c:v>40</c:v>
                </c:pt>
                <c:pt idx="364">
                  <c:v>40</c:v>
                </c:pt>
                <c:pt idx="365">
                  <c:v>40</c:v>
                </c:pt>
                <c:pt idx="366">
                  <c:v>40</c:v>
                </c:pt>
                <c:pt idx="367">
                  <c:v>40</c:v>
                </c:pt>
                <c:pt idx="368">
                  <c:v>40</c:v>
                </c:pt>
                <c:pt idx="369">
                  <c:v>40</c:v>
                </c:pt>
                <c:pt idx="370">
                  <c:v>40</c:v>
                </c:pt>
                <c:pt idx="371">
                  <c:v>40</c:v>
                </c:pt>
                <c:pt idx="372">
                  <c:v>40</c:v>
                </c:pt>
                <c:pt idx="373">
                  <c:v>40</c:v>
                </c:pt>
                <c:pt idx="374">
                  <c:v>40</c:v>
                </c:pt>
                <c:pt idx="375">
                  <c:v>40</c:v>
                </c:pt>
                <c:pt idx="376">
                  <c:v>40</c:v>
                </c:pt>
                <c:pt idx="377">
                  <c:v>40</c:v>
                </c:pt>
                <c:pt idx="378">
                  <c:v>40</c:v>
                </c:pt>
                <c:pt idx="379">
                  <c:v>40</c:v>
                </c:pt>
                <c:pt idx="380">
                  <c:v>40</c:v>
                </c:pt>
                <c:pt idx="381">
                  <c:v>40</c:v>
                </c:pt>
                <c:pt idx="382">
                  <c:v>40</c:v>
                </c:pt>
                <c:pt idx="383">
                  <c:v>40</c:v>
                </c:pt>
                <c:pt idx="384">
                  <c:v>40</c:v>
                </c:pt>
                <c:pt idx="385">
                  <c:v>40</c:v>
                </c:pt>
                <c:pt idx="386">
                  <c:v>40</c:v>
                </c:pt>
                <c:pt idx="387">
                  <c:v>40</c:v>
                </c:pt>
                <c:pt idx="388">
                  <c:v>40</c:v>
                </c:pt>
                <c:pt idx="389">
                  <c:v>40</c:v>
                </c:pt>
                <c:pt idx="390">
                  <c:v>40</c:v>
                </c:pt>
                <c:pt idx="391">
                  <c:v>40</c:v>
                </c:pt>
                <c:pt idx="392">
                  <c:v>40</c:v>
                </c:pt>
                <c:pt idx="393">
                  <c:v>40</c:v>
                </c:pt>
                <c:pt idx="394">
                  <c:v>40</c:v>
                </c:pt>
                <c:pt idx="395">
                  <c:v>40</c:v>
                </c:pt>
                <c:pt idx="396">
                  <c:v>40</c:v>
                </c:pt>
                <c:pt idx="397">
                  <c:v>40</c:v>
                </c:pt>
                <c:pt idx="398">
                  <c:v>40</c:v>
                </c:pt>
                <c:pt idx="399">
                  <c:v>40</c:v>
                </c:pt>
                <c:pt idx="400">
                  <c:v>40</c:v>
                </c:pt>
                <c:pt idx="401">
                  <c:v>40</c:v>
                </c:pt>
                <c:pt idx="402">
                  <c:v>40</c:v>
                </c:pt>
                <c:pt idx="403">
                  <c:v>40</c:v>
                </c:pt>
                <c:pt idx="404">
                  <c:v>40</c:v>
                </c:pt>
                <c:pt idx="405">
                  <c:v>40</c:v>
                </c:pt>
                <c:pt idx="406">
                  <c:v>40</c:v>
                </c:pt>
                <c:pt idx="407">
                  <c:v>40</c:v>
                </c:pt>
                <c:pt idx="408">
                  <c:v>40</c:v>
                </c:pt>
                <c:pt idx="409">
                  <c:v>40</c:v>
                </c:pt>
                <c:pt idx="410">
                  <c:v>40</c:v>
                </c:pt>
                <c:pt idx="411">
                  <c:v>40</c:v>
                </c:pt>
                <c:pt idx="412">
                  <c:v>40</c:v>
                </c:pt>
                <c:pt idx="413">
                  <c:v>40</c:v>
                </c:pt>
                <c:pt idx="414">
                  <c:v>40</c:v>
                </c:pt>
                <c:pt idx="415">
                  <c:v>40</c:v>
                </c:pt>
                <c:pt idx="416">
                  <c:v>40</c:v>
                </c:pt>
                <c:pt idx="417">
                  <c:v>40</c:v>
                </c:pt>
                <c:pt idx="418">
                  <c:v>40</c:v>
                </c:pt>
                <c:pt idx="419">
                  <c:v>40</c:v>
                </c:pt>
                <c:pt idx="420">
                  <c:v>40</c:v>
                </c:pt>
                <c:pt idx="421">
                  <c:v>40</c:v>
                </c:pt>
                <c:pt idx="422">
                  <c:v>40</c:v>
                </c:pt>
                <c:pt idx="423">
                  <c:v>40</c:v>
                </c:pt>
                <c:pt idx="424">
                  <c:v>40</c:v>
                </c:pt>
                <c:pt idx="425">
                  <c:v>40</c:v>
                </c:pt>
                <c:pt idx="426">
                  <c:v>40</c:v>
                </c:pt>
                <c:pt idx="427">
                  <c:v>40</c:v>
                </c:pt>
                <c:pt idx="428">
                  <c:v>40</c:v>
                </c:pt>
                <c:pt idx="429">
                  <c:v>40</c:v>
                </c:pt>
                <c:pt idx="430">
                  <c:v>40</c:v>
                </c:pt>
                <c:pt idx="431">
                  <c:v>40</c:v>
                </c:pt>
                <c:pt idx="432">
                  <c:v>40</c:v>
                </c:pt>
                <c:pt idx="433">
                  <c:v>40</c:v>
                </c:pt>
                <c:pt idx="434">
                  <c:v>40</c:v>
                </c:pt>
                <c:pt idx="435">
                  <c:v>40</c:v>
                </c:pt>
                <c:pt idx="436">
                  <c:v>40</c:v>
                </c:pt>
                <c:pt idx="437">
                  <c:v>40</c:v>
                </c:pt>
                <c:pt idx="438">
                  <c:v>40</c:v>
                </c:pt>
                <c:pt idx="439">
                  <c:v>40</c:v>
                </c:pt>
                <c:pt idx="440">
                  <c:v>40</c:v>
                </c:pt>
                <c:pt idx="441">
                  <c:v>40</c:v>
                </c:pt>
                <c:pt idx="442">
                  <c:v>40</c:v>
                </c:pt>
                <c:pt idx="443">
                  <c:v>40</c:v>
                </c:pt>
                <c:pt idx="444">
                  <c:v>40</c:v>
                </c:pt>
                <c:pt idx="445">
                  <c:v>40</c:v>
                </c:pt>
                <c:pt idx="446">
                  <c:v>40</c:v>
                </c:pt>
                <c:pt idx="447">
                  <c:v>40</c:v>
                </c:pt>
                <c:pt idx="448">
                  <c:v>40</c:v>
                </c:pt>
                <c:pt idx="449">
                  <c:v>40</c:v>
                </c:pt>
                <c:pt idx="450">
                  <c:v>40</c:v>
                </c:pt>
                <c:pt idx="451">
                  <c:v>40</c:v>
                </c:pt>
                <c:pt idx="452">
                  <c:v>40</c:v>
                </c:pt>
                <c:pt idx="453">
                  <c:v>40</c:v>
                </c:pt>
                <c:pt idx="454">
                  <c:v>40</c:v>
                </c:pt>
                <c:pt idx="455">
                  <c:v>40</c:v>
                </c:pt>
                <c:pt idx="456">
                  <c:v>40</c:v>
                </c:pt>
                <c:pt idx="457">
                  <c:v>40</c:v>
                </c:pt>
                <c:pt idx="458">
                  <c:v>40</c:v>
                </c:pt>
                <c:pt idx="459">
                  <c:v>40</c:v>
                </c:pt>
                <c:pt idx="460">
                  <c:v>40</c:v>
                </c:pt>
                <c:pt idx="461">
                  <c:v>40</c:v>
                </c:pt>
                <c:pt idx="462">
                  <c:v>40</c:v>
                </c:pt>
                <c:pt idx="463">
                  <c:v>40</c:v>
                </c:pt>
                <c:pt idx="464">
                  <c:v>40</c:v>
                </c:pt>
                <c:pt idx="465">
                  <c:v>40</c:v>
                </c:pt>
                <c:pt idx="466">
                  <c:v>40</c:v>
                </c:pt>
                <c:pt idx="467">
                  <c:v>40</c:v>
                </c:pt>
                <c:pt idx="468">
                  <c:v>40</c:v>
                </c:pt>
                <c:pt idx="469">
                  <c:v>40</c:v>
                </c:pt>
                <c:pt idx="470">
                  <c:v>40</c:v>
                </c:pt>
                <c:pt idx="471">
                  <c:v>40</c:v>
                </c:pt>
                <c:pt idx="472">
                  <c:v>40</c:v>
                </c:pt>
                <c:pt idx="473">
                  <c:v>40</c:v>
                </c:pt>
                <c:pt idx="474">
                  <c:v>40</c:v>
                </c:pt>
                <c:pt idx="475">
                  <c:v>40</c:v>
                </c:pt>
                <c:pt idx="476">
                  <c:v>40</c:v>
                </c:pt>
                <c:pt idx="477">
                  <c:v>40</c:v>
                </c:pt>
                <c:pt idx="478">
                  <c:v>40</c:v>
                </c:pt>
                <c:pt idx="479">
                  <c:v>40</c:v>
                </c:pt>
                <c:pt idx="480">
                  <c:v>40</c:v>
                </c:pt>
                <c:pt idx="481">
                  <c:v>40</c:v>
                </c:pt>
                <c:pt idx="482">
                  <c:v>40</c:v>
                </c:pt>
                <c:pt idx="483">
                  <c:v>40</c:v>
                </c:pt>
                <c:pt idx="484">
                  <c:v>40</c:v>
                </c:pt>
                <c:pt idx="485">
                  <c:v>40</c:v>
                </c:pt>
                <c:pt idx="486">
                  <c:v>40</c:v>
                </c:pt>
                <c:pt idx="487">
                  <c:v>40</c:v>
                </c:pt>
                <c:pt idx="488">
                  <c:v>40</c:v>
                </c:pt>
                <c:pt idx="489">
                  <c:v>40</c:v>
                </c:pt>
                <c:pt idx="490">
                  <c:v>40</c:v>
                </c:pt>
                <c:pt idx="491">
                  <c:v>40</c:v>
                </c:pt>
                <c:pt idx="492">
                  <c:v>40</c:v>
                </c:pt>
                <c:pt idx="493">
                  <c:v>40</c:v>
                </c:pt>
                <c:pt idx="494">
                  <c:v>40</c:v>
                </c:pt>
                <c:pt idx="495">
                  <c:v>40</c:v>
                </c:pt>
                <c:pt idx="496">
                  <c:v>40</c:v>
                </c:pt>
                <c:pt idx="497">
                  <c:v>40</c:v>
                </c:pt>
                <c:pt idx="498">
                  <c:v>40</c:v>
                </c:pt>
                <c:pt idx="499">
                  <c:v>40</c:v>
                </c:pt>
                <c:pt idx="500">
                  <c:v>40</c:v>
                </c:pt>
                <c:pt idx="501">
                  <c:v>40</c:v>
                </c:pt>
                <c:pt idx="502">
                  <c:v>40</c:v>
                </c:pt>
                <c:pt idx="503">
                  <c:v>40</c:v>
                </c:pt>
                <c:pt idx="504">
                  <c:v>40</c:v>
                </c:pt>
                <c:pt idx="505">
                  <c:v>40</c:v>
                </c:pt>
                <c:pt idx="506">
                  <c:v>40</c:v>
                </c:pt>
                <c:pt idx="507">
                  <c:v>40</c:v>
                </c:pt>
                <c:pt idx="508">
                  <c:v>40</c:v>
                </c:pt>
                <c:pt idx="509">
                  <c:v>40</c:v>
                </c:pt>
                <c:pt idx="510">
                  <c:v>40</c:v>
                </c:pt>
                <c:pt idx="511">
                  <c:v>40</c:v>
                </c:pt>
                <c:pt idx="512">
                  <c:v>40</c:v>
                </c:pt>
                <c:pt idx="513">
                  <c:v>40</c:v>
                </c:pt>
                <c:pt idx="514">
                  <c:v>40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40</c:v>
                </c:pt>
                <c:pt idx="521">
                  <c:v>40</c:v>
                </c:pt>
                <c:pt idx="522">
                  <c:v>40</c:v>
                </c:pt>
                <c:pt idx="523">
                  <c:v>40</c:v>
                </c:pt>
                <c:pt idx="524">
                  <c:v>40</c:v>
                </c:pt>
                <c:pt idx="525">
                  <c:v>40</c:v>
                </c:pt>
                <c:pt idx="526">
                  <c:v>40</c:v>
                </c:pt>
                <c:pt idx="527">
                  <c:v>40</c:v>
                </c:pt>
                <c:pt idx="528">
                  <c:v>40</c:v>
                </c:pt>
                <c:pt idx="529">
                  <c:v>40</c:v>
                </c:pt>
                <c:pt idx="530">
                  <c:v>40</c:v>
                </c:pt>
                <c:pt idx="531">
                  <c:v>40</c:v>
                </c:pt>
                <c:pt idx="532">
                  <c:v>40</c:v>
                </c:pt>
                <c:pt idx="533">
                  <c:v>40</c:v>
                </c:pt>
                <c:pt idx="534">
                  <c:v>40</c:v>
                </c:pt>
                <c:pt idx="535">
                  <c:v>40</c:v>
                </c:pt>
                <c:pt idx="536">
                  <c:v>40</c:v>
                </c:pt>
                <c:pt idx="537">
                  <c:v>40</c:v>
                </c:pt>
                <c:pt idx="538">
                  <c:v>40</c:v>
                </c:pt>
                <c:pt idx="539">
                  <c:v>40</c:v>
                </c:pt>
                <c:pt idx="540">
                  <c:v>40</c:v>
                </c:pt>
                <c:pt idx="541">
                  <c:v>40</c:v>
                </c:pt>
                <c:pt idx="542">
                  <c:v>40</c:v>
                </c:pt>
                <c:pt idx="543">
                  <c:v>40</c:v>
                </c:pt>
                <c:pt idx="544">
                  <c:v>40</c:v>
                </c:pt>
                <c:pt idx="545">
                  <c:v>40</c:v>
                </c:pt>
                <c:pt idx="546">
                  <c:v>40</c:v>
                </c:pt>
                <c:pt idx="547">
                  <c:v>40</c:v>
                </c:pt>
                <c:pt idx="548">
                  <c:v>40</c:v>
                </c:pt>
                <c:pt idx="549">
                  <c:v>40</c:v>
                </c:pt>
                <c:pt idx="550">
                  <c:v>40</c:v>
                </c:pt>
                <c:pt idx="551">
                  <c:v>40</c:v>
                </c:pt>
                <c:pt idx="552">
                  <c:v>40</c:v>
                </c:pt>
                <c:pt idx="553">
                  <c:v>40</c:v>
                </c:pt>
                <c:pt idx="554">
                  <c:v>40</c:v>
                </c:pt>
                <c:pt idx="555">
                  <c:v>40</c:v>
                </c:pt>
                <c:pt idx="556">
                  <c:v>40</c:v>
                </c:pt>
                <c:pt idx="557">
                  <c:v>40</c:v>
                </c:pt>
                <c:pt idx="558">
                  <c:v>40</c:v>
                </c:pt>
                <c:pt idx="559">
                  <c:v>40</c:v>
                </c:pt>
                <c:pt idx="560">
                  <c:v>40</c:v>
                </c:pt>
                <c:pt idx="561">
                  <c:v>40</c:v>
                </c:pt>
                <c:pt idx="562">
                  <c:v>40</c:v>
                </c:pt>
                <c:pt idx="563">
                  <c:v>40</c:v>
                </c:pt>
                <c:pt idx="564">
                  <c:v>40</c:v>
                </c:pt>
                <c:pt idx="565">
                  <c:v>40</c:v>
                </c:pt>
                <c:pt idx="566">
                  <c:v>40</c:v>
                </c:pt>
                <c:pt idx="567">
                  <c:v>40</c:v>
                </c:pt>
                <c:pt idx="568">
                  <c:v>40</c:v>
                </c:pt>
                <c:pt idx="569">
                  <c:v>40</c:v>
                </c:pt>
                <c:pt idx="570">
                  <c:v>40</c:v>
                </c:pt>
                <c:pt idx="571">
                  <c:v>40</c:v>
                </c:pt>
                <c:pt idx="572">
                  <c:v>40</c:v>
                </c:pt>
                <c:pt idx="573">
                  <c:v>40</c:v>
                </c:pt>
                <c:pt idx="574">
                  <c:v>40</c:v>
                </c:pt>
                <c:pt idx="575">
                  <c:v>40</c:v>
                </c:pt>
                <c:pt idx="576">
                  <c:v>40</c:v>
                </c:pt>
                <c:pt idx="577">
                  <c:v>40</c:v>
                </c:pt>
                <c:pt idx="578">
                  <c:v>40</c:v>
                </c:pt>
                <c:pt idx="579">
                  <c:v>40</c:v>
                </c:pt>
                <c:pt idx="580">
                  <c:v>40</c:v>
                </c:pt>
                <c:pt idx="581">
                  <c:v>40</c:v>
                </c:pt>
                <c:pt idx="582">
                  <c:v>40</c:v>
                </c:pt>
                <c:pt idx="583">
                  <c:v>40</c:v>
                </c:pt>
                <c:pt idx="584">
                  <c:v>40</c:v>
                </c:pt>
                <c:pt idx="585">
                  <c:v>40</c:v>
                </c:pt>
                <c:pt idx="586">
                  <c:v>40</c:v>
                </c:pt>
                <c:pt idx="587">
                  <c:v>40</c:v>
                </c:pt>
                <c:pt idx="588">
                  <c:v>40</c:v>
                </c:pt>
                <c:pt idx="589">
                  <c:v>40</c:v>
                </c:pt>
                <c:pt idx="590">
                  <c:v>40</c:v>
                </c:pt>
                <c:pt idx="591">
                  <c:v>40</c:v>
                </c:pt>
                <c:pt idx="592">
                  <c:v>40</c:v>
                </c:pt>
                <c:pt idx="593">
                  <c:v>40</c:v>
                </c:pt>
                <c:pt idx="594">
                  <c:v>40</c:v>
                </c:pt>
                <c:pt idx="595">
                  <c:v>40</c:v>
                </c:pt>
                <c:pt idx="596">
                  <c:v>40</c:v>
                </c:pt>
                <c:pt idx="597">
                  <c:v>40</c:v>
                </c:pt>
                <c:pt idx="598">
                  <c:v>40</c:v>
                </c:pt>
                <c:pt idx="599">
                  <c:v>40</c:v>
                </c:pt>
                <c:pt idx="600">
                  <c:v>40</c:v>
                </c:pt>
                <c:pt idx="601">
                  <c:v>40</c:v>
                </c:pt>
                <c:pt idx="602">
                  <c:v>40</c:v>
                </c:pt>
                <c:pt idx="603">
                  <c:v>40</c:v>
                </c:pt>
                <c:pt idx="604">
                  <c:v>40</c:v>
                </c:pt>
                <c:pt idx="605">
                  <c:v>40</c:v>
                </c:pt>
                <c:pt idx="606">
                  <c:v>40</c:v>
                </c:pt>
                <c:pt idx="607">
                  <c:v>40</c:v>
                </c:pt>
                <c:pt idx="608">
                  <c:v>40</c:v>
                </c:pt>
                <c:pt idx="609">
                  <c:v>40</c:v>
                </c:pt>
                <c:pt idx="610">
                  <c:v>40</c:v>
                </c:pt>
                <c:pt idx="611">
                  <c:v>40</c:v>
                </c:pt>
                <c:pt idx="612">
                  <c:v>40</c:v>
                </c:pt>
                <c:pt idx="613">
                  <c:v>40</c:v>
                </c:pt>
                <c:pt idx="614">
                  <c:v>40</c:v>
                </c:pt>
                <c:pt idx="615">
                  <c:v>40</c:v>
                </c:pt>
                <c:pt idx="616">
                  <c:v>40</c:v>
                </c:pt>
                <c:pt idx="617">
                  <c:v>40</c:v>
                </c:pt>
                <c:pt idx="618">
                  <c:v>40</c:v>
                </c:pt>
                <c:pt idx="619">
                  <c:v>40</c:v>
                </c:pt>
                <c:pt idx="620">
                  <c:v>40</c:v>
                </c:pt>
                <c:pt idx="621">
                  <c:v>40</c:v>
                </c:pt>
                <c:pt idx="622">
                  <c:v>40</c:v>
                </c:pt>
                <c:pt idx="623">
                  <c:v>40</c:v>
                </c:pt>
                <c:pt idx="624">
                  <c:v>40</c:v>
                </c:pt>
                <c:pt idx="625">
                  <c:v>40</c:v>
                </c:pt>
                <c:pt idx="626">
                  <c:v>40</c:v>
                </c:pt>
                <c:pt idx="627">
                  <c:v>40</c:v>
                </c:pt>
                <c:pt idx="628">
                  <c:v>40</c:v>
                </c:pt>
                <c:pt idx="629">
                  <c:v>40</c:v>
                </c:pt>
                <c:pt idx="630">
                  <c:v>40</c:v>
                </c:pt>
                <c:pt idx="631">
                  <c:v>40</c:v>
                </c:pt>
                <c:pt idx="632">
                  <c:v>40</c:v>
                </c:pt>
                <c:pt idx="633">
                  <c:v>40</c:v>
                </c:pt>
                <c:pt idx="634">
                  <c:v>40</c:v>
                </c:pt>
                <c:pt idx="635">
                  <c:v>40</c:v>
                </c:pt>
                <c:pt idx="636">
                  <c:v>40</c:v>
                </c:pt>
                <c:pt idx="637">
                  <c:v>40</c:v>
                </c:pt>
                <c:pt idx="638">
                  <c:v>40</c:v>
                </c:pt>
                <c:pt idx="639">
                  <c:v>40</c:v>
                </c:pt>
                <c:pt idx="640">
                  <c:v>40</c:v>
                </c:pt>
                <c:pt idx="641">
                  <c:v>40</c:v>
                </c:pt>
                <c:pt idx="642">
                  <c:v>40</c:v>
                </c:pt>
                <c:pt idx="643">
                  <c:v>40</c:v>
                </c:pt>
                <c:pt idx="644">
                  <c:v>40</c:v>
                </c:pt>
                <c:pt idx="645">
                  <c:v>40</c:v>
                </c:pt>
                <c:pt idx="646">
                  <c:v>40</c:v>
                </c:pt>
                <c:pt idx="647">
                  <c:v>40</c:v>
                </c:pt>
                <c:pt idx="648">
                  <c:v>40</c:v>
                </c:pt>
                <c:pt idx="649">
                  <c:v>40</c:v>
                </c:pt>
                <c:pt idx="650">
                  <c:v>40</c:v>
                </c:pt>
                <c:pt idx="651">
                  <c:v>40</c:v>
                </c:pt>
                <c:pt idx="652">
                  <c:v>40</c:v>
                </c:pt>
                <c:pt idx="653">
                  <c:v>40</c:v>
                </c:pt>
                <c:pt idx="654">
                  <c:v>40</c:v>
                </c:pt>
                <c:pt idx="655">
                  <c:v>40</c:v>
                </c:pt>
                <c:pt idx="656">
                  <c:v>40</c:v>
                </c:pt>
                <c:pt idx="657">
                  <c:v>40</c:v>
                </c:pt>
                <c:pt idx="658">
                  <c:v>40</c:v>
                </c:pt>
                <c:pt idx="659">
                  <c:v>40</c:v>
                </c:pt>
                <c:pt idx="660">
                  <c:v>40</c:v>
                </c:pt>
                <c:pt idx="661">
                  <c:v>40</c:v>
                </c:pt>
                <c:pt idx="662">
                  <c:v>40</c:v>
                </c:pt>
                <c:pt idx="663">
                  <c:v>40</c:v>
                </c:pt>
                <c:pt idx="664">
                  <c:v>40</c:v>
                </c:pt>
                <c:pt idx="665">
                  <c:v>40</c:v>
                </c:pt>
                <c:pt idx="666">
                  <c:v>40</c:v>
                </c:pt>
                <c:pt idx="667">
                  <c:v>40</c:v>
                </c:pt>
                <c:pt idx="668">
                  <c:v>40</c:v>
                </c:pt>
                <c:pt idx="669">
                  <c:v>40</c:v>
                </c:pt>
                <c:pt idx="670">
                  <c:v>40</c:v>
                </c:pt>
                <c:pt idx="671">
                  <c:v>40</c:v>
                </c:pt>
                <c:pt idx="672">
                  <c:v>40</c:v>
                </c:pt>
                <c:pt idx="673">
                  <c:v>40</c:v>
                </c:pt>
                <c:pt idx="674">
                  <c:v>40</c:v>
                </c:pt>
                <c:pt idx="675">
                  <c:v>40</c:v>
                </c:pt>
                <c:pt idx="676">
                  <c:v>40</c:v>
                </c:pt>
                <c:pt idx="677">
                  <c:v>40</c:v>
                </c:pt>
                <c:pt idx="678">
                  <c:v>40</c:v>
                </c:pt>
                <c:pt idx="679">
                  <c:v>40</c:v>
                </c:pt>
                <c:pt idx="680">
                  <c:v>40</c:v>
                </c:pt>
                <c:pt idx="681">
                  <c:v>40</c:v>
                </c:pt>
                <c:pt idx="682">
                  <c:v>40</c:v>
                </c:pt>
                <c:pt idx="683">
                  <c:v>40</c:v>
                </c:pt>
                <c:pt idx="684">
                  <c:v>40</c:v>
                </c:pt>
                <c:pt idx="685">
                  <c:v>40</c:v>
                </c:pt>
                <c:pt idx="686">
                  <c:v>40</c:v>
                </c:pt>
                <c:pt idx="687">
                  <c:v>40</c:v>
                </c:pt>
                <c:pt idx="688">
                  <c:v>40</c:v>
                </c:pt>
                <c:pt idx="689">
                  <c:v>40</c:v>
                </c:pt>
                <c:pt idx="690">
                  <c:v>40</c:v>
                </c:pt>
                <c:pt idx="691">
                  <c:v>40</c:v>
                </c:pt>
                <c:pt idx="692">
                  <c:v>40</c:v>
                </c:pt>
                <c:pt idx="693">
                  <c:v>40</c:v>
                </c:pt>
                <c:pt idx="694">
                  <c:v>40</c:v>
                </c:pt>
                <c:pt idx="695">
                  <c:v>40</c:v>
                </c:pt>
                <c:pt idx="696">
                  <c:v>40</c:v>
                </c:pt>
                <c:pt idx="697">
                  <c:v>40</c:v>
                </c:pt>
                <c:pt idx="698">
                  <c:v>40</c:v>
                </c:pt>
                <c:pt idx="699">
                  <c:v>40</c:v>
                </c:pt>
                <c:pt idx="700">
                  <c:v>40</c:v>
                </c:pt>
                <c:pt idx="701">
                  <c:v>40</c:v>
                </c:pt>
                <c:pt idx="702">
                  <c:v>40</c:v>
                </c:pt>
                <c:pt idx="703">
                  <c:v>40</c:v>
                </c:pt>
                <c:pt idx="704">
                  <c:v>40</c:v>
                </c:pt>
                <c:pt idx="705">
                  <c:v>40</c:v>
                </c:pt>
                <c:pt idx="706">
                  <c:v>40</c:v>
                </c:pt>
                <c:pt idx="707">
                  <c:v>40</c:v>
                </c:pt>
                <c:pt idx="708">
                  <c:v>40</c:v>
                </c:pt>
                <c:pt idx="709">
                  <c:v>40</c:v>
                </c:pt>
                <c:pt idx="710">
                  <c:v>40</c:v>
                </c:pt>
                <c:pt idx="711">
                  <c:v>40</c:v>
                </c:pt>
                <c:pt idx="712">
                  <c:v>40</c:v>
                </c:pt>
                <c:pt idx="713">
                  <c:v>40</c:v>
                </c:pt>
                <c:pt idx="714">
                  <c:v>40</c:v>
                </c:pt>
                <c:pt idx="715">
                  <c:v>40</c:v>
                </c:pt>
                <c:pt idx="716">
                  <c:v>40</c:v>
                </c:pt>
                <c:pt idx="717">
                  <c:v>40</c:v>
                </c:pt>
                <c:pt idx="718">
                  <c:v>40</c:v>
                </c:pt>
                <c:pt idx="719">
                  <c:v>40</c:v>
                </c:pt>
                <c:pt idx="720">
                  <c:v>40</c:v>
                </c:pt>
                <c:pt idx="721">
                  <c:v>40</c:v>
                </c:pt>
                <c:pt idx="722">
                  <c:v>40</c:v>
                </c:pt>
                <c:pt idx="723">
                  <c:v>40</c:v>
                </c:pt>
                <c:pt idx="724">
                  <c:v>40</c:v>
                </c:pt>
                <c:pt idx="725">
                  <c:v>40</c:v>
                </c:pt>
                <c:pt idx="726">
                  <c:v>40</c:v>
                </c:pt>
                <c:pt idx="727">
                  <c:v>40</c:v>
                </c:pt>
                <c:pt idx="728">
                  <c:v>40</c:v>
                </c:pt>
                <c:pt idx="729">
                  <c:v>40</c:v>
                </c:pt>
                <c:pt idx="730">
                  <c:v>40</c:v>
                </c:pt>
                <c:pt idx="731">
                  <c:v>40</c:v>
                </c:pt>
                <c:pt idx="732">
                  <c:v>40</c:v>
                </c:pt>
                <c:pt idx="733">
                  <c:v>40</c:v>
                </c:pt>
                <c:pt idx="734">
                  <c:v>40</c:v>
                </c:pt>
                <c:pt idx="735">
                  <c:v>40</c:v>
                </c:pt>
                <c:pt idx="736">
                  <c:v>40</c:v>
                </c:pt>
                <c:pt idx="737">
                  <c:v>40</c:v>
                </c:pt>
                <c:pt idx="738">
                  <c:v>40</c:v>
                </c:pt>
                <c:pt idx="739">
                  <c:v>40</c:v>
                </c:pt>
                <c:pt idx="740">
                  <c:v>40</c:v>
                </c:pt>
                <c:pt idx="741">
                  <c:v>40</c:v>
                </c:pt>
                <c:pt idx="742">
                  <c:v>40</c:v>
                </c:pt>
                <c:pt idx="743">
                  <c:v>40</c:v>
                </c:pt>
                <c:pt idx="744">
                  <c:v>40</c:v>
                </c:pt>
                <c:pt idx="745">
                  <c:v>40</c:v>
                </c:pt>
                <c:pt idx="746">
                  <c:v>40</c:v>
                </c:pt>
                <c:pt idx="747">
                  <c:v>40</c:v>
                </c:pt>
                <c:pt idx="748">
                  <c:v>40</c:v>
                </c:pt>
                <c:pt idx="749">
                  <c:v>40</c:v>
                </c:pt>
                <c:pt idx="750">
                  <c:v>40</c:v>
                </c:pt>
                <c:pt idx="751">
                  <c:v>40</c:v>
                </c:pt>
                <c:pt idx="752">
                  <c:v>40</c:v>
                </c:pt>
                <c:pt idx="753">
                  <c:v>40</c:v>
                </c:pt>
                <c:pt idx="754">
                  <c:v>40</c:v>
                </c:pt>
                <c:pt idx="755">
                  <c:v>40</c:v>
                </c:pt>
                <c:pt idx="756">
                  <c:v>40</c:v>
                </c:pt>
                <c:pt idx="757">
                  <c:v>40</c:v>
                </c:pt>
                <c:pt idx="758">
                  <c:v>40</c:v>
                </c:pt>
                <c:pt idx="759">
                  <c:v>40</c:v>
                </c:pt>
                <c:pt idx="760">
                  <c:v>40</c:v>
                </c:pt>
                <c:pt idx="761">
                  <c:v>40</c:v>
                </c:pt>
                <c:pt idx="762">
                  <c:v>40</c:v>
                </c:pt>
                <c:pt idx="763">
                  <c:v>40</c:v>
                </c:pt>
                <c:pt idx="764">
                  <c:v>40</c:v>
                </c:pt>
                <c:pt idx="765">
                  <c:v>40</c:v>
                </c:pt>
                <c:pt idx="766">
                  <c:v>40</c:v>
                </c:pt>
                <c:pt idx="767">
                  <c:v>40</c:v>
                </c:pt>
                <c:pt idx="768">
                  <c:v>40</c:v>
                </c:pt>
                <c:pt idx="769">
                  <c:v>40</c:v>
                </c:pt>
                <c:pt idx="770">
                  <c:v>40</c:v>
                </c:pt>
                <c:pt idx="771">
                  <c:v>40</c:v>
                </c:pt>
                <c:pt idx="772">
                  <c:v>40</c:v>
                </c:pt>
                <c:pt idx="773">
                  <c:v>40</c:v>
                </c:pt>
                <c:pt idx="774">
                  <c:v>40</c:v>
                </c:pt>
                <c:pt idx="775">
                  <c:v>40</c:v>
                </c:pt>
                <c:pt idx="776">
                  <c:v>40</c:v>
                </c:pt>
                <c:pt idx="777">
                  <c:v>40</c:v>
                </c:pt>
                <c:pt idx="778">
                  <c:v>40</c:v>
                </c:pt>
                <c:pt idx="779">
                  <c:v>40</c:v>
                </c:pt>
                <c:pt idx="780">
                  <c:v>40</c:v>
                </c:pt>
                <c:pt idx="781">
                  <c:v>40</c:v>
                </c:pt>
                <c:pt idx="782">
                  <c:v>40</c:v>
                </c:pt>
                <c:pt idx="783">
                  <c:v>40</c:v>
                </c:pt>
                <c:pt idx="784">
                  <c:v>40</c:v>
                </c:pt>
                <c:pt idx="785">
                  <c:v>40</c:v>
                </c:pt>
                <c:pt idx="786">
                  <c:v>40</c:v>
                </c:pt>
                <c:pt idx="787">
                  <c:v>40</c:v>
                </c:pt>
                <c:pt idx="788">
                  <c:v>40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40</c:v>
                </c:pt>
                <c:pt idx="794">
                  <c:v>40</c:v>
                </c:pt>
                <c:pt idx="795">
                  <c:v>40</c:v>
                </c:pt>
                <c:pt idx="796">
                  <c:v>40</c:v>
                </c:pt>
                <c:pt idx="797">
                  <c:v>40</c:v>
                </c:pt>
                <c:pt idx="798">
                  <c:v>40</c:v>
                </c:pt>
                <c:pt idx="799">
                  <c:v>40</c:v>
                </c:pt>
                <c:pt idx="800">
                  <c:v>40</c:v>
                </c:pt>
                <c:pt idx="801">
                  <c:v>40</c:v>
                </c:pt>
                <c:pt idx="802">
                  <c:v>40</c:v>
                </c:pt>
                <c:pt idx="803">
                  <c:v>40</c:v>
                </c:pt>
                <c:pt idx="804">
                  <c:v>40</c:v>
                </c:pt>
                <c:pt idx="805">
                  <c:v>40</c:v>
                </c:pt>
                <c:pt idx="806">
                  <c:v>40</c:v>
                </c:pt>
                <c:pt idx="807">
                  <c:v>40</c:v>
                </c:pt>
                <c:pt idx="808">
                  <c:v>40</c:v>
                </c:pt>
                <c:pt idx="809">
                  <c:v>40</c:v>
                </c:pt>
                <c:pt idx="810">
                  <c:v>40</c:v>
                </c:pt>
                <c:pt idx="811">
                  <c:v>40</c:v>
                </c:pt>
                <c:pt idx="812">
                  <c:v>40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40</c:v>
                </c:pt>
                <c:pt idx="817">
                  <c:v>40</c:v>
                </c:pt>
                <c:pt idx="818">
                  <c:v>40</c:v>
                </c:pt>
                <c:pt idx="819">
                  <c:v>40</c:v>
                </c:pt>
                <c:pt idx="820">
                  <c:v>40</c:v>
                </c:pt>
                <c:pt idx="821">
                  <c:v>40</c:v>
                </c:pt>
                <c:pt idx="822">
                  <c:v>40</c:v>
                </c:pt>
                <c:pt idx="823">
                  <c:v>40</c:v>
                </c:pt>
                <c:pt idx="824">
                  <c:v>40</c:v>
                </c:pt>
                <c:pt idx="825">
                  <c:v>40</c:v>
                </c:pt>
                <c:pt idx="826">
                  <c:v>40</c:v>
                </c:pt>
                <c:pt idx="827">
                  <c:v>40</c:v>
                </c:pt>
                <c:pt idx="828">
                  <c:v>40</c:v>
                </c:pt>
                <c:pt idx="829">
                  <c:v>40</c:v>
                </c:pt>
                <c:pt idx="830">
                  <c:v>40</c:v>
                </c:pt>
                <c:pt idx="831">
                  <c:v>40</c:v>
                </c:pt>
                <c:pt idx="832">
                  <c:v>40</c:v>
                </c:pt>
                <c:pt idx="833">
                  <c:v>40</c:v>
                </c:pt>
                <c:pt idx="834">
                  <c:v>40</c:v>
                </c:pt>
                <c:pt idx="835">
                  <c:v>40</c:v>
                </c:pt>
                <c:pt idx="836">
                  <c:v>40</c:v>
                </c:pt>
                <c:pt idx="837">
                  <c:v>40</c:v>
                </c:pt>
                <c:pt idx="838">
                  <c:v>40</c:v>
                </c:pt>
                <c:pt idx="839">
                  <c:v>40</c:v>
                </c:pt>
                <c:pt idx="840">
                  <c:v>40</c:v>
                </c:pt>
                <c:pt idx="841">
                  <c:v>40</c:v>
                </c:pt>
                <c:pt idx="842">
                  <c:v>40</c:v>
                </c:pt>
                <c:pt idx="843">
                  <c:v>40</c:v>
                </c:pt>
                <c:pt idx="844">
                  <c:v>40</c:v>
                </c:pt>
                <c:pt idx="845">
                  <c:v>40</c:v>
                </c:pt>
                <c:pt idx="846">
                  <c:v>40</c:v>
                </c:pt>
                <c:pt idx="847">
                  <c:v>40</c:v>
                </c:pt>
                <c:pt idx="848">
                  <c:v>40</c:v>
                </c:pt>
                <c:pt idx="849">
                  <c:v>40</c:v>
                </c:pt>
                <c:pt idx="850">
                  <c:v>40</c:v>
                </c:pt>
                <c:pt idx="851">
                  <c:v>40</c:v>
                </c:pt>
                <c:pt idx="852">
                  <c:v>40</c:v>
                </c:pt>
                <c:pt idx="853">
                  <c:v>40</c:v>
                </c:pt>
                <c:pt idx="854">
                  <c:v>40</c:v>
                </c:pt>
                <c:pt idx="855">
                  <c:v>40</c:v>
                </c:pt>
                <c:pt idx="856">
                  <c:v>40</c:v>
                </c:pt>
                <c:pt idx="857">
                  <c:v>40</c:v>
                </c:pt>
                <c:pt idx="858">
                  <c:v>40</c:v>
                </c:pt>
                <c:pt idx="859">
                  <c:v>40</c:v>
                </c:pt>
                <c:pt idx="860">
                  <c:v>40</c:v>
                </c:pt>
                <c:pt idx="861">
                  <c:v>40</c:v>
                </c:pt>
                <c:pt idx="862">
                  <c:v>40</c:v>
                </c:pt>
                <c:pt idx="863">
                  <c:v>40</c:v>
                </c:pt>
                <c:pt idx="864">
                  <c:v>40</c:v>
                </c:pt>
                <c:pt idx="865">
                  <c:v>40</c:v>
                </c:pt>
                <c:pt idx="866">
                  <c:v>40</c:v>
                </c:pt>
                <c:pt idx="867">
                  <c:v>40</c:v>
                </c:pt>
                <c:pt idx="868">
                  <c:v>40</c:v>
                </c:pt>
                <c:pt idx="869">
                  <c:v>40</c:v>
                </c:pt>
                <c:pt idx="870">
                  <c:v>40</c:v>
                </c:pt>
                <c:pt idx="871">
                  <c:v>40</c:v>
                </c:pt>
                <c:pt idx="872">
                  <c:v>40</c:v>
                </c:pt>
                <c:pt idx="873">
                  <c:v>40</c:v>
                </c:pt>
                <c:pt idx="874">
                  <c:v>40</c:v>
                </c:pt>
                <c:pt idx="875">
                  <c:v>40</c:v>
                </c:pt>
                <c:pt idx="876">
                  <c:v>40</c:v>
                </c:pt>
                <c:pt idx="877">
                  <c:v>40</c:v>
                </c:pt>
                <c:pt idx="878">
                  <c:v>40</c:v>
                </c:pt>
                <c:pt idx="879">
                  <c:v>40</c:v>
                </c:pt>
                <c:pt idx="880">
                  <c:v>40</c:v>
                </c:pt>
                <c:pt idx="881">
                  <c:v>40</c:v>
                </c:pt>
                <c:pt idx="882">
                  <c:v>40</c:v>
                </c:pt>
                <c:pt idx="883">
                  <c:v>40</c:v>
                </c:pt>
                <c:pt idx="884">
                  <c:v>40</c:v>
                </c:pt>
                <c:pt idx="885">
                  <c:v>40</c:v>
                </c:pt>
                <c:pt idx="886">
                  <c:v>40</c:v>
                </c:pt>
                <c:pt idx="887">
                  <c:v>40</c:v>
                </c:pt>
                <c:pt idx="888">
                  <c:v>40</c:v>
                </c:pt>
                <c:pt idx="889">
                  <c:v>40</c:v>
                </c:pt>
                <c:pt idx="890">
                  <c:v>40</c:v>
                </c:pt>
                <c:pt idx="891">
                  <c:v>40</c:v>
                </c:pt>
                <c:pt idx="892">
                  <c:v>40</c:v>
                </c:pt>
                <c:pt idx="893">
                  <c:v>40</c:v>
                </c:pt>
                <c:pt idx="894">
                  <c:v>40</c:v>
                </c:pt>
                <c:pt idx="895">
                  <c:v>40</c:v>
                </c:pt>
                <c:pt idx="896">
                  <c:v>40</c:v>
                </c:pt>
                <c:pt idx="897">
                  <c:v>40</c:v>
                </c:pt>
                <c:pt idx="898">
                  <c:v>40</c:v>
                </c:pt>
                <c:pt idx="899">
                  <c:v>40</c:v>
                </c:pt>
                <c:pt idx="900">
                  <c:v>40</c:v>
                </c:pt>
                <c:pt idx="901">
                  <c:v>40</c:v>
                </c:pt>
                <c:pt idx="902">
                  <c:v>40</c:v>
                </c:pt>
                <c:pt idx="903">
                  <c:v>40</c:v>
                </c:pt>
                <c:pt idx="904">
                  <c:v>40</c:v>
                </c:pt>
                <c:pt idx="905">
                  <c:v>40</c:v>
                </c:pt>
                <c:pt idx="906">
                  <c:v>40</c:v>
                </c:pt>
                <c:pt idx="907">
                  <c:v>40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40</c:v>
                </c:pt>
                <c:pt idx="916">
                  <c:v>40</c:v>
                </c:pt>
                <c:pt idx="917">
                  <c:v>40</c:v>
                </c:pt>
                <c:pt idx="918">
                  <c:v>40</c:v>
                </c:pt>
                <c:pt idx="919">
                  <c:v>40</c:v>
                </c:pt>
                <c:pt idx="920">
                  <c:v>40</c:v>
                </c:pt>
                <c:pt idx="921">
                  <c:v>40</c:v>
                </c:pt>
                <c:pt idx="922">
                  <c:v>40</c:v>
                </c:pt>
                <c:pt idx="923">
                  <c:v>40</c:v>
                </c:pt>
                <c:pt idx="924">
                  <c:v>40</c:v>
                </c:pt>
                <c:pt idx="925">
                  <c:v>40</c:v>
                </c:pt>
                <c:pt idx="926">
                  <c:v>40</c:v>
                </c:pt>
                <c:pt idx="927">
                  <c:v>40</c:v>
                </c:pt>
                <c:pt idx="928">
                  <c:v>40</c:v>
                </c:pt>
                <c:pt idx="929">
                  <c:v>40</c:v>
                </c:pt>
                <c:pt idx="930">
                  <c:v>40</c:v>
                </c:pt>
                <c:pt idx="931">
                  <c:v>40</c:v>
                </c:pt>
                <c:pt idx="932">
                  <c:v>40</c:v>
                </c:pt>
                <c:pt idx="933">
                  <c:v>40</c:v>
                </c:pt>
                <c:pt idx="934">
                  <c:v>40</c:v>
                </c:pt>
                <c:pt idx="935">
                  <c:v>40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40</c:v>
                </c:pt>
                <c:pt idx="940">
                  <c:v>40</c:v>
                </c:pt>
                <c:pt idx="941">
                  <c:v>40</c:v>
                </c:pt>
                <c:pt idx="942">
                  <c:v>40</c:v>
                </c:pt>
                <c:pt idx="943">
                  <c:v>40</c:v>
                </c:pt>
                <c:pt idx="944">
                  <c:v>40</c:v>
                </c:pt>
                <c:pt idx="945">
                  <c:v>40</c:v>
                </c:pt>
                <c:pt idx="946">
                  <c:v>40</c:v>
                </c:pt>
                <c:pt idx="947">
                  <c:v>40</c:v>
                </c:pt>
                <c:pt idx="948">
                  <c:v>40</c:v>
                </c:pt>
                <c:pt idx="949">
                  <c:v>40</c:v>
                </c:pt>
                <c:pt idx="950">
                  <c:v>40</c:v>
                </c:pt>
                <c:pt idx="951">
                  <c:v>40</c:v>
                </c:pt>
                <c:pt idx="952">
                  <c:v>40</c:v>
                </c:pt>
                <c:pt idx="953">
                  <c:v>40</c:v>
                </c:pt>
                <c:pt idx="954">
                  <c:v>40</c:v>
                </c:pt>
                <c:pt idx="955">
                  <c:v>40</c:v>
                </c:pt>
                <c:pt idx="956">
                  <c:v>40</c:v>
                </c:pt>
                <c:pt idx="957">
                  <c:v>40</c:v>
                </c:pt>
                <c:pt idx="958">
                  <c:v>40</c:v>
                </c:pt>
                <c:pt idx="959">
                  <c:v>40</c:v>
                </c:pt>
                <c:pt idx="960">
                  <c:v>40</c:v>
                </c:pt>
                <c:pt idx="961">
                  <c:v>40</c:v>
                </c:pt>
                <c:pt idx="962">
                  <c:v>40</c:v>
                </c:pt>
                <c:pt idx="963">
                  <c:v>40</c:v>
                </c:pt>
                <c:pt idx="964">
                  <c:v>40</c:v>
                </c:pt>
                <c:pt idx="965">
                  <c:v>40</c:v>
                </c:pt>
                <c:pt idx="966">
                  <c:v>40</c:v>
                </c:pt>
                <c:pt idx="967">
                  <c:v>40</c:v>
                </c:pt>
                <c:pt idx="968">
                  <c:v>40</c:v>
                </c:pt>
                <c:pt idx="969">
                  <c:v>40</c:v>
                </c:pt>
                <c:pt idx="970">
                  <c:v>40</c:v>
                </c:pt>
                <c:pt idx="971">
                  <c:v>40</c:v>
                </c:pt>
                <c:pt idx="972">
                  <c:v>40</c:v>
                </c:pt>
                <c:pt idx="973">
                  <c:v>40</c:v>
                </c:pt>
                <c:pt idx="974">
                  <c:v>40</c:v>
                </c:pt>
                <c:pt idx="975">
                  <c:v>40</c:v>
                </c:pt>
                <c:pt idx="976">
                  <c:v>40</c:v>
                </c:pt>
                <c:pt idx="977">
                  <c:v>40</c:v>
                </c:pt>
                <c:pt idx="978">
                  <c:v>40</c:v>
                </c:pt>
                <c:pt idx="979">
                  <c:v>40</c:v>
                </c:pt>
                <c:pt idx="980">
                  <c:v>40</c:v>
                </c:pt>
                <c:pt idx="981">
                  <c:v>40</c:v>
                </c:pt>
                <c:pt idx="982">
                  <c:v>40</c:v>
                </c:pt>
                <c:pt idx="983">
                  <c:v>40</c:v>
                </c:pt>
                <c:pt idx="984">
                  <c:v>40</c:v>
                </c:pt>
                <c:pt idx="985">
                  <c:v>40</c:v>
                </c:pt>
                <c:pt idx="986">
                  <c:v>40</c:v>
                </c:pt>
                <c:pt idx="987">
                  <c:v>40</c:v>
                </c:pt>
                <c:pt idx="988">
                  <c:v>40</c:v>
                </c:pt>
                <c:pt idx="989">
                  <c:v>40</c:v>
                </c:pt>
                <c:pt idx="990">
                  <c:v>40</c:v>
                </c:pt>
                <c:pt idx="991">
                  <c:v>40</c:v>
                </c:pt>
                <c:pt idx="992">
                  <c:v>40</c:v>
                </c:pt>
                <c:pt idx="993">
                  <c:v>40</c:v>
                </c:pt>
                <c:pt idx="994">
                  <c:v>40</c:v>
                </c:pt>
                <c:pt idx="995">
                  <c:v>40</c:v>
                </c:pt>
                <c:pt idx="996">
                  <c:v>40</c:v>
                </c:pt>
                <c:pt idx="997">
                  <c:v>40</c:v>
                </c:pt>
                <c:pt idx="998">
                  <c:v>40</c:v>
                </c:pt>
                <c:pt idx="999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A1-4B32-883F-CD7839FD1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78656"/>
        <c:axId val="113080192"/>
      </c:lineChart>
      <c:catAx>
        <c:axId val="11307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3080192"/>
        <c:crosses val="autoZero"/>
        <c:auto val="1"/>
        <c:lblAlgn val="ctr"/>
        <c:lblOffset val="100"/>
        <c:noMultiLvlLbl val="0"/>
      </c:catAx>
      <c:valAx>
        <c:axId val="113080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07865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ru-RU" sz="14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r>
              <a:rPr lang="ru-RU" sz="14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rPr>
              <a:t>Динамика потока обслуживаемых заявок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rgbClr val="00B050"/>
              </a:fgClr>
              <a:bgClr>
                <a:schemeClr val="bg1"/>
              </a:bgClr>
            </a:pattFill>
          </c:spPr>
          <c:invertIfNegative val="0"/>
          <c:val>
            <c:numRef>
              <c:f>Лист2!$N$526:$N$1525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12</c:v>
                </c:pt>
                <c:pt idx="22">
                  <c:v>11</c:v>
                </c:pt>
                <c:pt idx="23">
                  <c:v>12</c:v>
                </c:pt>
                <c:pt idx="24">
                  <c:v>13</c:v>
                </c:pt>
                <c:pt idx="25">
                  <c:v>14</c:v>
                </c:pt>
                <c:pt idx="26">
                  <c:v>15</c:v>
                </c:pt>
                <c:pt idx="27">
                  <c:v>16</c:v>
                </c:pt>
                <c:pt idx="28">
                  <c:v>17</c:v>
                </c:pt>
                <c:pt idx="29">
                  <c:v>18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28</c:v>
                </c:pt>
                <c:pt idx="40">
                  <c:v>29</c:v>
                </c:pt>
                <c:pt idx="41">
                  <c:v>30</c:v>
                </c:pt>
                <c:pt idx="42">
                  <c:v>31</c:v>
                </c:pt>
                <c:pt idx="43">
                  <c:v>32</c:v>
                </c:pt>
                <c:pt idx="44">
                  <c:v>33</c:v>
                </c:pt>
                <c:pt idx="45">
                  <c:v>34</c:v>
                </c:pt>
                <c:pt idx="46">
                  <c:v>35</c:v>
                </c:pt>
                <c:pt idx="47">
                  <c:v>36</c:v>
                </c:pt>
                <c:pt idx="48">
                  <c:v>37</c:v>
                </c:pt>
                <c:pt idx="49">
                  <c:v>38</c:v>
                </c:pt>
                <c:pt idx="50">
                  <c:v>39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39</c:v>
                </c:pt>
                <c:pt idx="59">
                  <c:v>38</c:v>
                </c:pt>
                <c:pt idx="60">
                  <c:v>37</c:v>
                </c:pt>
                <c:pt idx="61">
                  <c:v>36</c:v>
                </c:pt>
                <c:pt idx="62">
                  <c:v>35</c:v>
                </c:pt>
                <c:pt idx="63">
                  <c:v>36</c:v>
                </c:pt>
                <c:pt idx="64">
                  <c:v>37</c:v>
                </c:pt>
                <c:pt idx="65">
                  <c:v>36</c:v>
                </c:pt>
                <c:pt idx="66">
                  <c:v>35</c:v>
                </c:pt>
                <c:pt idx="67">
                  <c:v>36</c:v>
                </c:pt>
                <c:pt idx="68">
                  <c:v>35</c:v>
                </c:pt>
                <c:pt idx="69">
                  <c:v>36</c:v>
                </c:pt>
                <c:pt idx="70">
                  <c:v>35</c:v>
                </c:pt>
                <c:pt idx="71">
                  <c:v>34</c:v>
                </c:pt>
                <c:pt idx="72">
                  <c:v>35</c:v>
                </c:pt>
                <c:pt idx="73">
                  <c:v>36</c:v>
                </c:pt>
                <c:pt idx="74">
                  <c:v>37</c:v>
                </c:pt>
                <c:pt idx="75">
                  <c:v>38</c:v>
                </c:pt>
                <c:pt idx="76">
                  <c:v>37</c:v>
                </c:pt>
                <c:pt idx="77">
                  <c:v>38</c:v>
                </c:pt>
                <c:pt idx="78">
                  <c:v>39</c:v>
                </c:pt>
                <c:pt idx="79">
                  <c:v>40</c:v>
                </c:pt>
                <c:pt idx="80">
                  <c:v>40</c:v>
                </c:pt>
                <c:pt idx="81">
                  <c:v>39</c:v>
                </c:pt>
                <c:pt idx="82">
                  <c:v>40</c:v>
                </c:pt>
                <c:pt idx="83">
                  <c:v>40</c:v>
                </c:pt>
                <c:pt idx="84">
                  <c:v>39</c:v>
                </c:pt>
                <c:pt idx="85">
                  <c:v>38</c:v>
                </c:pt>
                <c:pt idx="86">
                  <c:v>39</c:v>
                </c:pt>
                <c:pt idx="87">
                  <c:v>38</c:v>
                </c:pt>
                <c:pt idx="88">
                  <c:v>39</c:v>
                </c:pt>
                <c:pt idx="89">
                  <c:v>38</c:v>
                </c:pt>
                <c:pt idx="90">
                  <c:v>39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39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39</c:v>
                </c:pt>
                <c:pt idx="99">
                  <c:v>40</c:v>
                </c:pt>
                <c:pt idx="100">
                  <c:v>40</c:v>
                </c:pt>
                <c:pt idx="101">
                  <c:v>39</c:v>
                </c:pt>
                <c:pt idx="102">
                  <c:v>38</c:v>
                </c:pt>
                <c:pt idx="103">
                  <c:v>39</c:v>
                </c:pt>
                <c:pt idx="104">
                  <c:v>38</c:v>
                </c:pt>
                <c:pt idx="105">
                  <c:v>39</c:v>
                </c:pt>
                <c:pt idx="106">
                  <c:v>40</c:v>
                </c:pt>
                <c:pt idx="107">
                  <c:v>39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39</c:v>
                </c:pt>
                <c:pt idx="113">
                  <c:v>40</c:v>
                </c:pt>
                <c:pt idx="114">
                  <c:v>40</c:v>
                </c:pt>
                <c:pt idx="115">
                  <c:v>39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39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39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39</c:v>
                </c:pt>
                <c:pt idx="137">
                  <c:v>40</c:v>
                </c:pt>
                <c:pt idx="138">
                  <c:v>39</c:v>
                </c:pt>
                <c:pt idx="139">
                  <c:v>38</c:v>
                </c:pt>
                <c:pt idx="140">
                  <c:v>39</c:v>
                </c:pt>
                <c:pt idx="141">
                  <c:v>38</c:v>
                </c:pt>
                <c:pt idx="142">
                  <c:v>39</c:v>
                </c:pt>
                <c:pt idx="143">
                  <c:v>38</c:v>
                </c:pt>
                <c:pt idx="144">
                  <c:v>39</c:v>
                </c:pt>
                <c:pt idx="145">
                  <c:v>38</c:v>
                </c:pt>
                <c:pt idx="146">
                  <c:v>37</c:v>
                </c:pt>
                <c:pt idx="147">
                  <c:v>36</c:v>
                </c:pt>
                <c:pt idx="148">
                  <c:v>37</c:v>
                </c:pt>
                <c:pt idx="149">
                  <c:v>36</c:v>
                </c:pt>
                <c:pt idx="150">
                  <c:v>37</c:v>
                </c:pt>
                <c:pt idx="151">
                  <c:v>36</c:v>
                </c:pt>
                <c:pt idx="152">
                  <c:v>37</c:v>
                </c:pt>
                <c:pt idx="153">
                  <c:v>36</c:v>
                </c:pt>
                <c:pt idx="154">
                  <c:v>35</c:v>
                </c:pt>
                <c:pt idx="155">
                  <c:v>36</c:v>
                </c:pt>
                <c:pt idx="156">
                  <c:v>37</c:v>
                </c:pt>
                <c:pt idx="157">
                  <c:v>38</c:v>
                </c:pt>
                <c:pt idx="158">
                  <c:v>37</c:v>
                </c:pt>
                <c:pt idx="159">
                  <c:v>38</c:v>
                </c:pt>
                <c:pt idx="160">
                  <c:v>39</c:v>
                </c:pt>
                <c:pt idx="161">
                  <c:v>38</c:v>
                </c:pt>
                <c:pt idx="162">
                  <c:v>39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40</c:v>
                </c:pt>
                <c:pt idx="177">
                  <c:v>40</c:v>
                </c:pt>
                <c:pt idx="178">
                  <c:v>40</c:v>
                </c:pt>
                <c:pt idx="179">
                  <c:v>40</c:v>
                </c:pt>
                <c:pt idx="180">
                  <c:v>40</c:v>
                </c:pt>
                <c:pt idx="181">
                  <c:v>40</c:v>
                </c:pt>
                <c:pt idx="182">
                  <c:v>40</c:v>
                </c:pt>
                <c:pt idx="183">
                  <c:v>40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39</c:v>
                </c:pt>
                <c:pt idx="188">
                  <c:v>38</c:v>
                </c:pt>
                <c:pt idx="189">
                  <c:v>39</c:v>
                </c:pt>
                <c:pt idx="190">
                  <c:v>40</c:v>
                </c:pt>
                <c:pt idx="191">
                  <c:v>40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39</c:v>
                </c:pt>
                <c:pt idx="196">
                  <c:v>38</c:v>
                </c:pt>
                <c:pt idx="197">
                  <c:v>37</c:v>
                </c:pt>
                <c:pt idx="198">
                  <c:v>36</c:v>
                </c:pt>
                <c:pt idx="199">
                  <c:v>37</c:v>
                </c:pt>
                <c:pt idx="200">
                  <c:v>38</c:v>
                </c:pt>
                <c:pt idx="201">
                  <c:v>39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40</c:v>
                </c:pt>
                <c:pt idx="206">
                  <c:v>39</c:v>
                </c:pt>
                <c:pt idx="207">
                  <c:v>40</c:v>
                </c:pt>
                <c:pt idx="208">
                  <c:v>39</c:v>
                </c:pt>
                <c:pt idx="209">
                  <c:v>38</c:v>
                </c:pt>
                <c:pt idx="210">
                  <c:v>37</c:v>
                </c:pt>
                <c:pt idx="211">
                  <c:v>36</c:v>
                </c:pt>
                <c:pt idx="212">
                  <c:v>37</c:v>
                </c:pt>
                <c:pt idx="213">
                  <c:v>38</c:v>
                </c:pt>
                <c:pt idx="214">
                  <c:v>38</c:v>
                </c:pt>
                <c:pt idx="215">
                  <c:v>39</c:v>
                </c:pt>
                <c:pt idx="216">
                  <c:v>38</c:v>
                </c:pt>
                <c:pt idx="217">
                  <c:v>39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39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39</c:v>
                </c:pt>
                <c:pt idx="243">
                  <c:v>40</c:v>
                </c:pt>
                <c:pt idx="244">
                  <c:v>39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40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39</c:v>
                </c:pt>
                <c:pt idx="254">
                  <c:v>40</c:v>
                </c:pt>
                <c:pt idx="255">
                  <c:v>40</c:v>
                </c:pt>
                <c:pt idx="256">
                  <c:v>40</c:v>
                </c:pt>
                <c:pt idx="257">
                  <c:v>40</c:v>
                </c:pt>
                <c:pt idx="258">
                  <c:v>40</c:v>
                </c:pt>
                <c:pt idx="259">
                  <c:v>40</c:v>
                </c:pt>
                <c:pt idx="260">
                  <c:v>39</c:v>
                </c:pt>
                <c:pt idx="261">
                  <c:v>40</c:v>
                </c:pt>
                <c:pt idx="262">
                  <c:v>40</c:v>
                </c:pt>
                <c:pt idx="263">
                  <c:v>40</c:v>
                </c:pt>
                <c:pt idx="264">
                  <c:v>40</c:v>
                </c:pt>
                <c:pt idx="265">
                  <c:v>40</c:v>
                </c:pt>
                <c:pt idx="266">
                  <c:v>40</c:v>
                </c:pt>
                <c:pt idx="267">
                  <c:v>40</c:v>
                </c:pt>
                <c:pt idx="268">
                  <c:v>39</c:v>
                </c:pt>
                <c:pt idx="269">
                  <c:v>39</c:v>
                </c:pt>
                <c:pt idx="270">
                  <c:v>40</c:v>
                </c:pt>
                <c:pt idx="271">
                  <c:v>40</c:v>
                </c:pt>
                <c:pt idx="272">
                  <c:v>40</c:v>
                </c:pt>
                <c:pt idx="273">
                  <c:v>40</c:v>
                </c:pt>
                <c:pt idx="274">
                  <c:v>40</c:v>
                </c:pt>
                <c:pt idx="275">
                  <c:v>40</c:v>
                </c:pt>
                <c:pt idx="276">
                  <c:v>40</c:v>
                </c:pt>
                <c:pt idx="277">
                  <c:v>40</c:v>
                </c:pt>
                <c:pt idx="278">
                  <c:v>40</c:v>
                </c:pt>
                <c:pt idx="279">
                  <c:v>40</c:v>
                </c:pt>
                <c:pt idx="280">
                  <c:v>40</c:v>
                </c:pt>
                <c:pt idx="281">
                  <c:v>39</c:v>
                </c:pt>
                <c:pt idx="282">
                  <c:v>40</c:v>
                </c:pt>
                <c:pt idx="283">
                  <c:v>40</c:v>
                </c:pt>
                <c:pt idx="284">
                  <c:v>40</c:v>
                </c:pt>
                <c:pt idx="285">
                  <c:v>39</c:v>
                </c:pt>
                <c:pt idx="286">
                  <c:v>40</c:v>
                </c:pt>
                <c:pt idx="287">
                  <c:v>40</c:v>
                </c:pt>
                <c:pt idx="288">
                  <c:v>40</c:v>
                </c:pt>
                <c:pt idx="289">
                  <c:v>40</c:v>
                </c:pt>
                <c:pt idx="290">
                  <c:v>39</c:v>
                </c:pt>
                <c:pt idx="291">
                  <c:v>40</c:v>
                </c:pt>
                <c:pt idx="292">
                  <c:v>40</c:v>
                </c:pt>
                <c:pt idx="293">
                  <c:v>40</c:v>
                </c:pt>
                <c:pt idx="294">
                  <c:v>40</c:v>
                </c:pt>
                <c:pt idx="295">
                  <c:v>40</c:v>
                </c:pt>
                <c:pt idx="296">
                  <c:v>40</c:v>
                </c:pt>
                <c:pt idx="297">
                  <c:v>40</c:v>
                </c:pt>
                <c:pt idx="298">
                  <c:v>40</c:v>
                </c:pt>
                <c:pt idx="299">
                  <c:v>39</c:v>
                </c:pt>
                <c:pt idx="300">
                  <c:v>40</c:v>
                </c:pt>
                <c:pt idx="301">
                  <c:v>40</c:v>
                </c:pt>
                <c:pt idx="302">
                  <c:v>40</c:v>
                </c:pt>
                <c:pt idx="303">
                  <c:v>40</c:v>
                </c:pt>
                <c:pt idx="304">
                  <c:v>40</c:v>
                </c:pt>
                <c:pt idx="305">
                  <c:v>40</c:v>
                </c:pt>
                <c:pt idx="306">
                  <c:v>40</c:v>
                </c:pt>
                <c:pt idx="307">
                  <c:v>40</c:v>
                </c:pt>
                <c:pt idx="308">
                  <c:v>40</c:v>
                </c:pt>
                <c:pt idx="309">
                  <c:v>40</c:v>
                </c:pt>
                <c:pt idx="310">
                  <c:v>40</c:v>
                </c:pt>
                <c:pt idx="311">
                  <c:v>40</c:v>
                </c:pt>
                <c:pt idx="312">
                  <c:v>39</c:v>
                </c:pt>
                <c:pt idx="313">
                  <c:v>40</c:v>
                </c:pt>
                <c:pt idx="314">
                  <c:v>40</c:v>
                </c:pt>
                <c:pt idx="315">
                  <c:v>40</c:v>
                </c:pt>
                <c:pt idx="316">
                  <c:v>40</c:v>
                </c:pt>
                <c:pt idx="317">
                  <c:v>40</c:v>
                </c:pt>
                <c:pt idx="318">
                  <c:v>40</c:v>
                </c:pt>
                <c:pt idx="319">
                  <c:v>40</c:v>
                </c:pt>
                <c:pt idx="320">
                  <c:v>40</c:v>
                </c:pt>
                <c:pt idx="321">
                  <c:v>40</c:v>
                </c:pt>
                <c:pt idx="322">
                  <c:v>40</c:v>
                </c:pt>
                <c:pt idx="323">
                  <c:v>40</c:v>
                </c:pt>
                <c:pt idx="324">
                  <c:v>40</c:v>
                </c:pt>
                <c:pt idx="325">
                  <c:v>40</c:v>
                </c:pt>
                <c:pt idx="326">
                  <c:v>39</c:v>
                </c:pt>
                <c:pt idx="327">
                  <c:v>39</c:v>
                </c:pt>
                <c:pt idx="328">
                  <c:v>40</c:v>
                </c:pt>
                <c:pt idx="329">
                  <c:v>40</c:v>
                </c:pt>
                <c:pt idx="330">
                  <c:v>40</c:v>
                </c:pt>
                <c:pt idx="331">
                  <c:v>40</c:v>
                </c:pt>
                <c:pt idx="332">
                  <c:v>40</c:v>
                </c:pt>
                <c:pt idx="333">
                  <c:v>40</c:v>
                </c:pt>
                <c:pt idx="334">
                  <c:v>40</c:v>
                </c:pt>
                <c:pt idx="335">
                  <c:v>40</c:v>
                </c:pt>
                <c:pt idx="336">
                  <c:v>40</c:v>
                </c:pt>
                <c:pt idx="337">
                  <c:v>40</c:v>
                </c:pt>
                <c:pt idx="338">
                  <c:v>40</c:v>
                </c:pt>
                <c:pt idx="339">
                  <c:v>40</c:v>
                </c:pt>
                <c:pt idx="340">
                  <c:v>40</c:v>
                </c:pt>
                <c:pt idx="341">
                  <c:v>40</c:v>
                </c:pt>
                <c:pt idx="342">
                  <c:v>40</c:v>
                </c:pt>
                <c:pt idx="343">
                  <c:v>40</c:v>
                </c:pt>
                <c:pt idx="344">
                  <c:v>40</c:v>
                </c:pt>
                <c:pt idx="345">
                  <c:v>40</c:v>
                </c:pt>
                <c:pt idx="346">
                  <c:v>40</c:v>
                </c:pt>
                <c:pt idx="347">
                  <c:v>40</c:v>
                </c:pt>
                <c:pt idx="348">
                  <c:v>40</c:v>
                </c:pt>
                <c:pt idx="349">
                  <c:v>40</c:v>
                </c:pt>
                <c:pt idx="350">
                  <c:v>40</c:v>
                </c:pt>
                <c:pt idx="351">
                  <c:v>40</c:v>
                </c:pt>
                <c:pt idx="352">
                  <c:v>40</c:v>
                </c:pt>
                <c:pt idx="353">
                  <c:v>39</c:v>
                </c:pt>
                <c:pt idx="354">
                  <c:v>40</c:v>
                </c:pt>
                <c:pt idx="355">
                  <c:v>40</c:v>
                </c:pt>
                <c:pt idx="356">
                  <c:v>40</c:v>
                </c:pt>
                <c:pt idx="357">
                  <c:v>40</c:v>
                </c:pt>
                <c:pt idx="358">
                  <c:v>40</c:v>
                </c:pt>
                <c:pt idx="359">
                  <c:v>40</c:v>
                </c:pt>
                <c:pt idx="360">
                  <c:v>40</c:v>
                </c:pt>
                <c:pt idx="361">
                  <c:v>40</c:v>
                </c:pt>
                <c:pt idx="362">
                  <c:v>40</c:v>
                </c:pt>
                <c:pt idx="363">
                  <c:v>40</c:v>
                </c:pt>
                <c:pt idx="364">
                  <c:v>40</c:v>
                </c:pt>
                <c:pt idx="365">
                  <c:v>40</c:v>
                </c:pt>
                <c:pt idx="366">
                  <c:v>40</c:v>
                </c:pt>
                <c:pt idx="367">
                  <c:v>40</c:v>
                </c:pt>
                <c:pt idx="368">
                  <c:v>40</c:v>
                </c:pt>
                <c:pt idx="369">
                  <c:v>40</c:v>
                </c:pt>
                <c:pt idx="370">
                  <c:v>40</c:v>
                </c:pt>
                <c:pt idx="371">
                  <c:v>40</c:v>
                </c:pt>
                <c:pt idx="372">
                  <c:v>40</c:v>
                </c:pt>
                <c:pt idx="373">
                  <c:v>40</c:v>
                </c:pt>
                <c:pt idx="374">
                  <c:v>40</c:v>
                </c:pt>
                <c:pt idx="375">
                  <c:v>40</c:v>
                </c:pt>
                <c:pt idx="376">
                  <c:v>39</c:v>
                </c:pt>
                <c:pt idx="377">
                  <c:v>40</c:v>
                </c:pt>
                <c:pt idx="378">
                  <c:v>40</c:v>
                </c:pt>
                <c:pt idx="379">
                  <c:v>40</c:v>
                </c:pt>
                <c:pt idx="380">
                  <c:v>40</c:v>
                </c:pt>
                <c:pt idx="381">
                  <c:v>40</c:v>
                </c:pt>
                <c:pt idx="382">
                  <c:v>40</c:v>
                </c:pt>
                <c:pt idx="383">
                  <c:v>40</c:v>
                </c:pt>
                <c:pt idx="384">
                  <c:v>40</c:v>
                </c:pt>
                <c:pt idx="385">
                  <c:v>40</c:v>
                </c:pt>
                <c:pt idx="386">
                  <c:v>40</c:v>
                </c:pt>
                <c:pt idx="387">
                  <c:v>40</c:v>
                </c:pt>
                <c:pt idx="388">
                  <c:v>40</c:v>
                </c:pt>
                <c:pt idx="389">
                  <c:v>40</c:v>
                </c:pt>
                <c:pt idx="390">
                  <c:v>40</c:v>
                </c:pt>
                <c:pt idx="391">
                  <c:v>40</c:v>
                </c:pt>
                <c:pt idx="392">
                  <c:v>40</c:v>
                </c:pt>
                <c:pt idx="393">
                  <c:v>40</c:v>
                </c:pt>
                <c:pt idx="394">
                  <c:v>40</c:v>
                </c:pt>
                <c:pt idx="395">
                  <c:v>40</c:v>
                </c:pt>
                <c:pt idx="396">
                  <c:v>40</c:v>
                </c:pt>
                <c:pt idx="397">
                  <c:v>40</c:v>
                </c:pt>
                <c:pt idx="398">
                  <c:v>40</c:v>
                </c:pt>
                <c:pt idx="399">
                  <c:v>40</c:v>
                </c:pt>
                <c:pt idx="400">
                  <c:v>40</c:v>
                </c:pt>
                <c:pt idx="401">
                  <c:v>39</c:v>
                </c:pt>
                <c:pt idx="402">
                  <c:v>40</c:v>
                </c:pt>
                <c:pt idx="403">
                  <c:v>40</c:v>
                </c:pt>
                <c:pt idx="404">
                  <c:v>40</c:v>
                </c:pt>
                <c:pt idx="405">
                  <c:v>40</c:v>
                </c:pt>
                <c:pt idx="406">
                  <c:v>40</c:v>
                </c:pt>
                <c:pt idx="407">
                  <c:v>40</c:v>
                </c:pt>
                <c:pt idx="408">
                  <c:v>40</c:v>
                </c:pt>
                <c:pt idx="409">
                  <c:v>40</c:v>
                </c:pt>
                <c:pt idx="410">
                  <c:v>40</c:v>
                </c:pt>
                <c:pt idx="411">
                  <c:v>40</c:v>
                </c:pt>
                <c:pt idx="412">
                  <c:v>40</c:v>
                </c:pt>
                <c:pt idx="413">
                  <c:v>39</c:v>
                </c:pt>
                <c:pt idx="414">
                  <c:v>38</c:v>
                </c:pt>
                <c:pt idx="415">
                  <c:v>37</c:v>
                </c:pt>
                <c:pt idx="416">
                  <c:v>38</c:v>
                </c:pt>
                <c:pt idx="417">
                  <c:v>39</c:v>
                </c:pt>
                <c:pt idx="418">
                  <c:v>38</c:v>
                </c:pt>
                <c:pt idx="419">
                  <c:v>39</c:v>
                </c:pt>
                <c:pt idx="420">
                  <c:v>40</c:v>
                </c:pt>
                <c:pt idx="421">
                  <c:v>39</c:v>
                </c:pt>
                <c:pt idx="422">
                  <c:v>38</c:v>
                </c:pt>
                <c:pt idx="423">
                  <c:v>39</c:v>
                </c:pt>
                <c:pt idx="424">
                  <c:v>40</c:v>
                </c:pt>
                <c:pt idx="425">
                  <c:v>39</c:v>
                </c:pt>
                <c:pt idx="426">
                  <c:v>40</c:v>
                </c:pt>
                <c:pt idx="427">
                  <c:v>40</c:v>
                </c:pt>
                <c:pt idx="428">
                  <c:v>40</c:v>
                </c:pt>
                <c:pt idx="429">
                  <c:v>40</c:v>
                </c:pt>
                <c:pt idx="430">
                  <c:v>40</c:v>
                </c:pt>
                <c:pt idx="431">
                  <c:v>40</c:v>
                </c:pt>
                <c:pt idx="432">
                  <c:v>40</c:v>
                </c:pt>
                <c:pt idx="433">
                  <c:v>40</c:v>
                </c:pt>
                <c:pt idx="434">
                  <c:v>40</c:v>
                </c:pt>
                <c:pt idx="435">
                  <c:v>39</c:v>
                </c:pt>
                <c:pt idx="436">
                  <c:v>40</c:v>
                </c:pt>
                <c:pt idx="437">
                  <c:v>39</c:v>
                </c:pt>
                <c:pt idx="438">
                  <c:v>38</c:v>
                </c:pt>
                <c:pt idx="439">
                  <c:v>39</c:v>
                </c:pt>
                <c:pt idx="440">
                  <c:v>40</c:v>
                </c:pt>
                <c:pt idx="441">
                  <c:v>40</c:v>
                </c:pt>
                <c:pt idx="442">
                  <c:v>40</c:v>
                </c:pt>
                <c:pt idx="443">
                  <c:v>40</c:v>
                </c:pt>
                <c:pt idx="444">
                  <c:v>39</c:v>
                </c:pt>
                <c:pt idx="445">
                  <c:v>40</c:v>
                </c:pt>
                <c:pt idx="446">
                  <c:v>40</c:v>
                </c:pt>
                <c:pt idx="447">
                  <c:v>40</c:v>
                </c:pt>
                <c:pt idx="448">
                  <c:v>40</c:v>
                </c:pt>
                <c:pt idx="449">
                  <c:v>40</c:v>
                </c:pt>
                <c:pt idx="450">
                  <c:v>39</c:v>
                </c:pt>
                <c:pt idx="451">
                  <c:v>38</c:v>
                </c:pt>
                <c:pt idx="452">
                  <c:v>39</c:v>
                </c:pt>
                <c:pt idx="453">
                  <c:v>40</c:v>
                </c:pt>
                <c:pt idx="454">
                  <c:v>40</c:v>
                </c:pt>
                <c:pt idx="455">
                  <c:v>40</c:v>
                </c:pt>
                <c:pt idx="456">
                  <c:v>40</c:v>
                </c:pt>
                <c:pt idx="457">
                  <c:v>40</c:v>
                </c:pt>
                <c:pt idx="458">
                  <c:v>40</c:v>
                </c:pt>
                <c:pt idx="459">
                  <c:v>40</c:v>
                </c:pt>
                <c:pt idx="460">
                  <c:v>40</c:v>
                </c:pt>
                <c:pt idx="461">
                  <c:v>40</c:v>
                </c:pt>
                <c:pt idx="462">
                  <c:v>40</c:v>
                </c:pt>
                <c:pt idx="463">
                  <c:v>40</c:v>
                </c:pt>
                <c:pt idx="464">
                  <c:v>40</c:v>
                </c:pt>
                <c:pt idx="465">
                  <c:v>40</c:v>
                </c:pt>
                <c:pt idx="466">
                  <c:v>40</c:v>
                </c:pt>
                <c:pt idx="467">
                  <c:v>40</c:v>
                </c:pt>
                <c:pt idx="468">
                  <c:v>40</c:v>
                </c:pt>
                <c:pt idx="469">
                  <c:v>40</c:v>
                </c:pt>
                <c:pt idx="470">
                  <c:v>40</c:v>
                </c:pt>
                <c:pt idx="471">
                  <c:v>40</c:v>
                </c:pt>
                <c:pt idx="472">
                  <c:v>40</c:v>
                </c:pt>
                <c:pt idx="473">
                  <c:v>40</c:v>
                </c:pt>
                <c:pt idx="474">
                  <c:v>40</c:v>
                </c:pt>
                <c:pt idx="475">
                  <c:v>40</c:v>
                </c:pt>
                <c:pt idx="476">
                  <c:v>40</c:v>
                </c:pt>
                <c:pt idx="477">
                  <c:v>40</c:v>
                </c:pt>
                <c:pt idx="478">
                  <c:v>40</c:v>
                </c:pt>
                <c:pt idx="479">
                  <c:v>40</c:v>
                </c:pt>
                <c:pt idx="480">
                  <c:v>40</c:v>
                </c:pt>
                <c:pt idx="481">
                  <c:v>40</c:v>
                </c:pt>
                <c:pt idx="482">
                  <c:v>40</c:v>
                </c:pt>
                <c:pt idx="483">
                  <c:v>40</c:v>
                </c:pt>
                <c:pt idx="484">
                  <c:v>40</c:v>
                </c:pt>
                <c:pt idx="485">
                  <c:v>40</c:v>
                </c:pt>
                <c:pt idx="486">
                  <c:v>40</c:v>
                </c:pt>
                <c:pt idx="487">
                  <c:v>40</c:v>
                </c:pt>
                <c:pt idx="488">
                  <c:v>40</c:v>
                </c:pt>
                <c:pt idx="489">
                  <c:v>40</c:v>
                </c:pt>
                <c:pt idx="490">
                  <c:v>40</c:v>
                </c:pt>
                <c:pt idx="491">
                  <c:v>40</c:v>
                </c:pt>
                <c:pt idx="492">
                  <c:v>40</c:v>
                </c:pt>
                <c:pt idx="493">
                  <c:v>40</c:v>
                </c:pt>
                <c:pt idx="494">
                  <c:v>40</c:v>
                </c:pt>
                <c:pt idx="495">
                  <c:v>40</c:v>
                </c:pt>
                <c:pt idx="496">
                  <c:v>40</c:v>
                </c:pt>
                <c:pt idx="497">
                  <c:v>40</c:v>
                </c:pt>
                <c:pt idx="498">
                  <c:v>40</c:v>
                </c:pt>
                <c:pt idx="499">
                  <c:v>40</c:v>
                </c:pt>
                <c:pt idx="500">
                  <c:v>40</c:v>
                </c:pt>
                <c:pt idx="501">
                  <c:v>40</c:v>
                </c:pt>
                <c:pt idx="502">
                  <c:v>40</c:v>
                </c:pt>
                <c:pt idx="503">
                  <c:v>40</c:v>
                </c:pt>
                <c:pt idx="504">
                  <c:v>40</c:v>
                </c:pt>
                <c:pt idx="505">
                  <c:v>40</c:v>
                </c:pt>
                <c:pt idx="506">
                  <c:v>40</c:v>
                </c:pt>
                <c:pt idx="507">
                  <c:v>40</c:v>
                </c:pt>
                <c:pt idx="508">
                  <c:v>40</c:v>
                </c:pt>
                <c:pt idx="509">
                  <c:v>40</c:v>
                </c:pt>
                <c:pt idx="510">
                  <c:v>40</c:v>
                </c:pt>
                <c:pt idx="511">
                  <c:v>40</c:v>
                </c:pt>
                <c:pt idx="512">
                  <c:v>40</c:v>
                </c:pt>
                <c:pt idx="513">
                  <c:v>40</c:v>
                </c:pt>
                <c:pt idx="514">
                  <c:v>40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40</c:v>
                </c:pt>
                <c:pt idx="521">
                  <c:v>40</c:v>
                </c:pt>
                <c:pt idx="522">
                  <c:v>40</c:v>
                </c:pt>
                <c:pt idx="523">
                  <c:v>40</c:v>
                </c:pt>
                <c:pt idx="524">
                  <c:v>40</c:v>
                </c:pt>
                <c:pt idx="525">
                  <c:v>40</c:v>
                </c:pt>
                <c:pt idx="526">
                  <c:v>40</c:v>
                </c:pt>
                <c:pt idx="527">
                  <c:v>40</c:v>
                </c:pt>
                <c:pt idx="528">
                  <c:v>40</c:v>
                </c:pt>
                <c:pt idx="529">
                  <c:v>40</c:v>
                </c:pt>
                <c:pt idx="530">
                  <c:v>40</c:v>
                </c:pt>
                <c:pt idx="531">
                  <c:v>40</c:v>
                </c:pt>
                <c:pt idx="532">
                  <c:v>39</c:v>
                </c:pt>
                <c:pt idx="533">
                  <c:v>38</c:v>
                </c:pt>
                <c:pt idx="534">
                  <c:v>39</c:v>
                </c:pt>
                <c:pt idx="535">
                  <c:v>40</c:v>
                </c:pt>
                <c:pt idx="536">
                  <c:v>40</c:v>
                </c:pt>
                <c:pt idx="537">
                  <c:v>40</c:v>
                </c:pt>
                <c:pt idx="538">
                  <c:v>40</c:v>
                </c:pt>
                <c:pt idx="539">
                  <c:v>40</c:v>
                </c:pt>
                <c:pt idx="540">
                  <c:v>40</c:v>
                </c:pt>
                <c:pt idx="541">
                  <c:v>40</c:v>
                </c:pt>
                <c:pt idx="542">
                  <c:v>40</c:v>
                </c:pt>
                <c:pt idx="543">
                  <c:v>40</c:v>
                </c:pt>
                <c:pt idx="544">
                  <c:v>40</c:v>
                </c:pt>
                <c:pt idx="545">
                  <c:v>40</c:v>
                </c:pt>
                <c:pt idx="546">
                  <c:v>40</c:v>
                </c:pt>
                <c:pt idx="547">
                  <c:v>40</c:v>
                </c:pt>
                <c:pt idx="548">
                  <c:v>40</c:v>
                </c:pt>
                <c:pt idx="549">
                  <c:v>40</c:v>
                </c:pt>
                <c:pt idx="550">
                  <c:v>40</c:v>
                </c:pt>
                <c:pt idx="551">
                  <c:v>39</c:v>
                </c:pt>
                <c:pt idx="552">
                  <c:v>40</c:v>
                </c:pt>
                <c:pt idx="553">
                  <c:v>40</c:v>
                </c:pt>
                <c:pt idx="554">
                  <c:v>40</c:v>
                </c:pt>
                <c:pt idx="555">
                  <c:v>40</c:v>
                </c:pt>
                <c:pt idx="556">
                  <c:v>40</c:v>
                </c:pt>
                <c:pt idx="557">
                  <c:v>39</c:v>
                </c:pt>
                <c:pt idx="558">
                  <c:v>38</c:v>
                </c:pt>
                <c:pt idx="559">
                  <c:v>37</c:v>
                </c:pt>
                <c:pt idx="560">
                  <c:v>38</c:v>
                </c:pt>
                <c:pt idx="561">
                  <c:v>38</c:v>
                </c:pt>
                <c:pt idx="562">
                  <c:v>38</c:v>
                </c:pt>
                <c:pt idx="563">
                  <c:v>39</c:v>
                </c:pt>
                <c:pt idx="564">
                  <c:v>39</c:v>
                </c:pt>
                <c:pt idx="565">
                  <c:v>40</c:v>
                </c:pt>
                <c:pt idx="566">
                  <c:v>40</c:v>
                </c:pt>
                <c:pt idx="567">
                  <c:v>40</c:v>
                </c:pt>
                <c:pt idx="568">
                  <c:v>39</c:v>
                </c:pt>
                <c:pt idx="569">
                  <c:v>40</c:v>
                </c:pt>
                <c:pt idx="570">
                  <c:v>39</c:v>
                </c:pt>
                <c:pt idx="571">
                  <c:v>40</c:v>
                </c:pt>
                <c:pt idx="572">
                  <c:v>40</c:v>
                </c:pt>
                <c:pt idx="573">
                  <c:v>39</c:v>
                </c:pt>
                <c:pt idx="574">
                  <c:v>38</c:v>
                </c:pt>
                <c:pt idx="575">
                  <c:v>39</c:v>
                </c:pt>
                <c:pt idx="576">
                  <c:v>40</c:v>
                </c:pt>
                <c:pt idx="577">
                  <c:v>40</c:v>
                </c:pt>
                <c:pt idx="578">
                  <c:v>39</c:v>
                </c:pt>
                <c:pt idx="579">
                  <c:v>40</c:v>
                </c:pt>
                <c:pt idx="580">
                  <c:v>39</c:v>
                </c:pt>
                <c:pt idx="581">
                  <c:v>40</c:v>
                </c:pt>
                <c:pt idx="582">
                  <c:v>40</c:v>
                </c:pt>
                <c:pt idx="583">
                  <c:v>40</c:v>
                </c:pt>
                <c:pt idx="584">
                  <c:v>40</c:v>
                </c:pt>
                <c:pt idx="585">
                  <c:v>40</c:v>
                </c:pt>
                <c:pt idx="586">
                  <c:v>40</c:v>
                </c:pt>
                <c:pt idx="587">
                  <c:v>40</c:v>
                </c:pt>
                <c:pt idx="588">
                  <c:v>40</c:v>
                </c:pt>
                <c:pt idx="589">
                  <c:v>40</c:v>
                </c:pt>
                <c:pt idx="590">
                  <c:v>40</c:v>
                </c:pt>
                <c:pt idx="591">
                  <c:v>40</c:v>
                </c:pt>
                <c:pt idx="592">
                  <c:v>40</c:v>
                </c:pt>
                <c:pt idx="593">
                  <c:v>40</c:v>
                </c:pt>
                <c:pt idx="594">
                  <c:v>40</c:v>
                </c:pt>
                <c:pt idx="595">
                  <c:v>40</c:v>
                </c:pt>
                <c:pt idx="596">
                  <c:v>40</c:v>
                </c:pt>
                <c:pt idx="597">
                  <c:v>40</c:v>
                </c:pt>
                <c:pt idx="598">
                  <c:v>40</c:v>
                </c:pt>
                <c:pt idx="599">
                  <c:v>40</c:v>
                </c:pt>
                <c:pt idx="600">
                  <c:v>40</c:v>
                </c:pt>
                <c:pt idx="601">
                  <c:v>40</c:v>
                </c:pt>
                <c:pt idx="602">
                  <c:v>40</c:v>
                </c:pt>
                <c:pt idx="603">
                  <c:v>40</c:v>
                </c:pt>
                <c:pt idx="604">
                  <c:v>40</c:v>
                </c:pt>
                <c:pt idx="605">
                  <c:v>40</c:v>
                </c:pt>
                <c:pt idx="606">
                  <c:v>40</c:v>
                </c:pt>
                <c:pt idx="607">
                  <c:v>40</c:v>
                </c:pt>
                <c:pt idx="608">
                  <c:v>40</c:v>
                </c:pt>
                <c:pt idx="609">
                  <c:v>40</c:v>
                </c:pt>
                <c:pt idx="610">
                  <c:v>40</c:v>
                </c:pt>
                <c:pt idx="611">
                  <c:v>40</c:v>
                </c:pt>
                <c:pt idx="612">
                  <c:v>40</c:v>
                </c:pt>
                <c:pt idx="613">
                  <c:v>40</c:v>
                </c:pt>
                <c:pt idx="614">
                  <c:v>40</c:v>
                </c:pt>
                <c:pt idx="615">
                  <c:v>40</c:v>
                </c:pt>
                <c:pt idx="616">
                  <c:v>40</c:v>
                </c:pt>
                <c:pt idx="617">
                  <c:v>40</c:v>
                </c:pt>
                <c:pt idx="618">
                  <c:v>40</c:v>
                </c:pt>
                <c:pt idx="619">
                  <c:v>40</c:v>
                </c:pt>
                <c:pt idx="620">
                  <c:v>40</c:v>
                </c:pt>
                <c:pt idx="621">
                  <c:v>40</c:v>
                </c:pt>
                <c:pt idx="622">
                  <c:v>40</c:v>
                </c:pt>
                <c:pt idx="623">
                  <c:v>40</c:v>
                </c:pt>
                <c:pt idx="624">
                  <c:v>40</c:v>
                </c:pt>
                <c:pt idx="625">
                  <c:v>40</c:v>
                </c:pt>
                <c:pt idx="626">
                  <c:v>40</c:v>
                </c:pt>
                <c:pt idx="627">
                  <c:v>40</c:v>
                </c:pt>
                <c:pt idx="628">
                  <c:v>40</c:v>
                </c:pt>
                <c:pt idx="629">
                  <c:v>40</c:v>
                </c:pt>
                <c:pt idx="630">
                  <c:v>40</c:v>
                </c:pt>
                <c:pt idx="631">
                  <c:v>40</c:v>
                </c:pt>
                <c:pt idx="632">
                  <c:v>40</c:v>
                </c:pt>
                <c:pt idx="633">
                  <c:v>40</c:v>
                </c:pt>
                <c:pt idx="634">
                  <c:v>40</c:v>
                </c:pt>
                <c:pt idx="635">
                  <c:v>40</c:v>
                </c:pt>
                <c:pt idx="636">
                  <c:v>40</c:v>
                </c:pt>
                <c:pt idx="637">
                  <c:v>40</c:v>
                </c:pt>
                <c:pt idx="638">
                  <c:v>40</c:v>
                </c:pt>
                <c:pt idx="639">
                  <c:v>40</c:v>
                </c:pt>
                <c:pt idx="640">
                  <c:v>40</c:v>
                </c:pt>
                <c:pt idx="641">
                  <c:v>40</c:v>
                </c:pt>
                <c:pt idx="642">
                  <c:v>40</c:v>
                </c:pt>
                <c:pt idx="643">
                  <c:v>40</c:v>
                </c:pt>
                <c:pt idx="644">
                  <c:v>40</c:v>
                </c:pt>
                <c:pt idx="645">
                  <c:v>40</c:v>
                </c:pt>
                <c:pt idx="646">
                  <c:v>40</c:v>
                </c:pt>
                <c:pt idx="647">
                  <c:v>40</c:v>
                </c:pt>
                <c:pt idx="648">
                  <c:v>40</c:v>
                </c:pt>
                <c:pt idx="649">
                  <c:v>40</c:v>
                </c:pt>
                <c:pt idx="650">
                  <c:v>40</c:v>
                </c:pt>
                <c:pt idx="651">
                  <c:v>40</c:v>
                </c:pt>
                <c:pt idx="652">
                  <c:v>40</c:v>
                </c:pt>
                <c:pt idx="653">
                  <c:v>40</c:v>
                </c:pt>
                <c:pt idx="654">
                  <c:v>40</c:v>
                </c:pt>
                <c:pt idx="655">
                  <c:v>40</c:v>
                </c:pt>
                <c:pt idx="656">
                  <c:v>40</c:v>
                </c:pt>
                <c:pt idx="657">
                  <c:v>39</c:v>
                </c:pt>
                <c:pt idx="658">
                  <c:v>40</c:v>
                </c:pt>
                <c:pt idx="659">
                  <c:v>40</c:v>
                </c:pt>
                <c:pt idx="660">
                  <c:v>40</c:v>
                </c:pt>
                <c:pt idx="661">
                  <c:v>40</c:v>
                </c:pt>
                <c:pt idx="662">
                  <c:v>40</c:v>
                </c:pt>
                <c:pt idx="663">
                  <c:v>40</c:v>
                </c:pt>
                <c:pt idx="664">
                  <c:v>40</c:v>
                </c:pt>
                <c:pt idx="665">
                  <c:v>40</c:v>
                </c:pt>
                <c:pt idx="666">
                  <c:v>40</c:v>
                </c:pt>
                <c:pt idx="667">
                  <c:v>40</c:v>
                </c:pt>
                <c:pt idx="668">
                  <c:v>40</c:v>
                </c:pt>
                <c:pt idx="669">
                  <c:v>40</c:v>
                </c:pt>
                <c:pt idx="670">
                  <c:v>40</c:v>
                </c:pt>
                <c:pt idx="671">
                  <c:v>40</c:v>
                </c:pt>
                <c:pt idx="672">
                  <c:v>40</c:v>
                </c:pt>
                <c:pt idx="673">
                  <c:v>40</c:v>
                </c:pt>
                <c:pt idx="674">
                  <c:v>40</c:v>
                </c:pt>
                <c:pt idx="675">
                  <c:v>39</c:v>
                </c:pt>
                <c:pt idx="676">
                  <c:v>38</c:v>
                </c:pt>
                <c:pt idx="677">
                  <c:v>38</c:v>
                </c:pt>
                <c:pt idx="678">
                  <c:v>38</c:v>
                </c:pt>
                <c:pt idx="679">
                  <c:v>38</c:v>
                </c:pt>
                <c:pt idx="680">
                  <c:v>38</c:v>
                </c:pt>
                <c:pt idx="681">
                  <c:v>38</c:v>
                </c:pt>
                <c:pt idx="682">
                  <c:v>38</c:v>
                </c:pt>
                <c:pt idx="683">
                  <c:v>38</c:v>
                </c:pt>
                <c:pt idx="684">
                  <c:v>37</c:v>
                </c:pt>
                <c:pt idx="685">
                  <c:v>37</c:v>
                </c:pt>
                <c:pt idx="686">
                  <c:v>37</c:v>
                </c:pt>
                <c:pt idx="687">
                  <c:v>37</c:v>
                </c:pt>
                <c:pt idx="688">
                  <c:v>36</c:v>
                </c:pt>
                <c:pt idx="689">
                  <c:v>36</c:v>
                </c:pt>
                <c:pt idx="690">
                  <c:v>36</c:v>
                </c:pt>
                <c:pt idx="691">
                  <c:v>36</c:v>
                </c:pt>
                <c:pt idx="692">
                  <c:v>36</c:v>
                </c:pt>
                <c:pt idx="693">
                  <c:v>35</c:v>
                </c:pt>
                <c:pt idx="694">
                  <c:v>35</c:v>
                </c:pt>
                <c:pt idx="695">
                  <c:v>35</c:v>
                </c:pt>
                <c:pt idx="696">
                  <c:v>35</c:v>
                </c:pt>
                <c:pt idx="697">
                  <c:v>35</c:v>
                </c:pt>
                <c:pt idx="698">
                  <c:v>35</c:v>
                </c:pt>
                <c:pt idx="699">
                  <c:v>35</c:v>
                </c:pt>
                <c:pt idx="700">
                  <c:v>35</c:v>
                </c:pt>
                <c:pt idx="701">
                  <c:v>35</c:v>
                </c:pt>
                <c:pt idx="702">
                  <c:v>35</c:v>
                </c:pt>
                <c:pt idx="703">
                  <c:v>35</c:v>
                </c:pt>
                <c:pt idx="704">
                  <c:v>34</c:v>
                </c:pt>
                <c:pt idx="705">
                  <c:v>34</c:v>
                </c:pt>
                <c:pt idx="706">
                  <c:v>34</c:v>
                </c:pt>
                <c:pt idx="707">
                  <c:v>33</c:v>
                </c:pt>
                <c:pt idx="708">
                  <c:v>33</c:v>
                </c:pt>
                <c:pt idx="709">
                  <c:v>33</c:v>
                </c:pt>
                <c:pt idx="710">
                  <c:v>33</c:v>
                </c:pt>
                <c:pt idx="711">
                  <c:v>32</c:v>
                </c:pt>
                <c:pt idx="712">
                  <c:v>32</c:v>
                </c:pt>
                <c:pt idx="713">
                  <c:v>32</c:v>
                </c:pt>
                <c:pt idx="714">
                  <c:v>32</c:v>
                </c:pt>
                <c:pt idx="715">
                  <c:v>32</c:v>
                </c:pt>
                <c:pt idx="716">
                  <c:v>32</c:v>
                </c:pt>
                <c:pt idx="717">
                  <c:v>32</c:v>
                </c:pt>
                <c:pt idx="718">
                  <c:v>32</c:v>
                </c:pt>
                <c:pt idx="719">
                  <c:v>31</c:v>
                </c:pt>
                <c:pt idx="720">
                  <c:v>31</c:v>
                </c:pt>
                <c:pt idx="721">
                  <c:v>31</c:v>
                </c:pt>
                <c:pt idx="722">
                  <c:v>31</c:v>
                </c:pt>
                <c:pt idx="723">
                  <c:v>31</c:v>
                </c:pt>
                <c:pt idx="724">
                  <c:v>31</c:v>
                </c:pt>
                <c:pt idx="725">
                  <c:v>31</c:v>
                </c:pt>
                <c:pt idx="726">
                  <c:v>31</c:v>
                </c:pt>
                <c:pt idx="727">
                  <c:v>31</c:v>
                </c:pt>
                <c:pt idx="728">
                  <c:v>30</c:v>
                </c:pt>
                <c:pt idx="729">
                  <c:v>30</c:v>
                </c:pt>
                <c:pt idx="730">
                  <c:v>30</c:v>
                </c:pt>
                <c:pt idx="731">
                  <c:v>30</c:v>
                </c:pt>
                <c:pt idx="732">
                  <c:v>30</c:v>
                </c:pt>
                <c:pt idx="733">
                  <c:v>30</c:v>
                </c:pt>
                <c:pt idx="734">
                  <c:v>30</c:v>
                </c:pt>
                <c:pt idx="735">
                  <c:v>30</c:v>
                </c:pt>
                <c:pt idx="736">
                  <c:v>30</c:v>
                </c:pt>
                <c:pt idx="737">
                  <c:v>30</c:v>
                </c:pt>
                <c:pt idx="738">
                  <c:v>30</c:v>
                </c:pt>
                <c:pt idx="739">
                  <c:v>30</c:v>
                </c:pt>
                <c:pt idx="740">
                  <c:v>29</c:v>
                </c:pt>
                <c:pt idx="741">
                  <c:v>29</c:v>
                </c:pt>
                <c:pt idx="742">
                  <c:v>29</c:v>
                </c:pt>
                <c:pt idx="743">
                  <c:v>29</c:v>
                </c:pt>
                <c:pt idx="744">
                  <c:v>29</c:v>
                </c:pt>
                <c:pt idx="745">
                  <c:v>29</c:v>
                </c:pt>
                <c:pt idx="746">
                  <c:v>29</c:v>
                </c:pt>
                <c:pt idx="747">
                  <c:v>29</c:v>
                </c:pt>
                <c:pt idx="748">
                  <c:v>29</c:v>
                </c:pt>
                <c:pt idx="749">
                  <c:v>29</c:v>
                </c:pt>
                <c:pt idx="750">
                  <c:v>29</c:v>
                </c:pt>
                <c:pt idx="751">
                  <c:v>29</c:v>
                </c:pt>
                <c:pt idx="752">
                  <c:v>29</c:v>
                </c:pt>
                <c:pt idx="753">
                  <c:v>29</c:v>
                </c:pt>
                <c:pt idx="754">
                  <c:v>29</c:v>
                </c:pt>
                <c:pt idx="755">
                  <c:v>29</c:v>
                </c:pt>
                <c:pt idx="756">
                  <c:v>29</c:v>
                </c:pt>
                <c:pt idx="757">
                  <c:v>29</c:v>
                </c:pt>
                <c:pt idx="758">
                  <c:v>29</c:v>
                </c:pt>
                <c:pt idx="759">
                  <c:v>29</c:v>
                </c:pt>
                <c:pt idx="760">
                  <c:v>29</c:v>
                </c:pt>
                <c:pt idx="761">
                  <c:v>28</c:v>
                </c:pt>
                <c:pt idx="762">
                  <c:v>28</c:v>
                </c:pt>
                <c:pt idx="763">
                  <c:v>28</c:v>
                </c:pt>
                <c:pt idx="764">
                  <c:v>28</c:v>
                </c:pt>
                <c:pt idx="765">
                  <c:v>28</c:v>
                </c:pt>
                <c:pt idx="766">
                  <c:v>28</c:v>
                </c:pt>
                <c:pt idx="767">
                  <c:v>28</c:v>
                </c:pt>
                <c:pt idx="768">
                  <c:v>28</c:v>
                </c:pt>
                <c:pt idx="769">
                  <c:v>28</c:v>
                </c:pt>
                <c:pt idx="770">
                  <c:v>28</c:v>
                </c:pt>
                <c:pt idx="771">
                  <c:v>28</c:v>
                </c:pt>
                <c:pt idx="772">
                  <c:v>28</c:v>
                </c:pt>
                <c:pt idx="773">
                  <c:v>28</c:v>
                </c:pt>
                <c:pt idx="774">
                  <c:v>28</c:v>
                </c:pt>
                <c:pt idx="775">
                  <c:v>28</c:v>
                </c:pt>
                <c:pt idx="776">
                  <c:v>28</c:v>
                </c:pt>
                <c:pt idx="777">
                  <c:v>27</c:v>
                </c:pt>
                <c:pt idx="778">
                  <c:v>27</c:v>
                </c:pt>
                <c:pt idx="779">
                  <c:v>27</c:v>
                </c:pt>
                <c:pt idx="780">
                  <c:v>27</c:v>
                </c:pt>
                <c:pt idx="781">
                  <c:v>27</c:v>
                </c:pt>
                <c:pt idx="782">
                  <c:v>27</c:v>
                </c:pt>
                <c:pt idx="783">
                  <c:v>27</c:v>
                </c:pt>
                <c:pt idx="784">
                  <c:v>27</c:v>
                </c:pt>
                <c:pt idx="785">
                  <c:v>27</c:v>
                </c:pt>
                <c:pt idx="786">
                  <c:v>27</c:v>
                </c:pt>
                <c:pt idx="787">
                  <c:v>27</c:v>
                </c:pt>
                <c:pt idx="788">
                  <c:v>27</c:v>
                </c:pt>
                <c:pt idx="789">
                  <c:v>27</c:v>
                </c:pt>
                <c:pt idx="790">
                  <c:v>27</c:v>
                </c:pt>
                <c:pt idx="791">
                  <c:v>27</c:v>
                </c:pt>
                <c:pt idx="792">
                  <c:v>27</c:v>
                </c:pt>
                <c:pt idx="793">
                  <c:v>27</c:v>
                </c:pt>
                <c:pt idx="794">
                  <c:v>27</c:v>
                </c:pt>
                <c:pt idx="795">
                  <c:v>27</c:v>
                </c:pt>
                <c:pt idx="796">
                  <c:v>27</c:v>
                </c:pt>
                <c:pt idx="797">
                  <c:v>26</c:v>
                </c:pt>
                <c:pt idx="798">
                  <c:v>26</c:v>
                </c:pt>
                <c:pt idx="799">
                  <c:v>26</c:v>
                </c:pt>
                <c:pt idx="800">
                  <c:v>26</c:v>
                </c:pt>
                <c:pt idx="801">
                  <c:v>26</c:v>
                </c:pt>
                <c:pt idx="802">
                  <c:v>26</c:v>
                </c:pt>
                <c:pt idx="803">
                  <c:v>26</c:v>
                </c:pt>
                <c:pt idx="804">
                  <c:v>26</c:v>
                </c:pt>
                <c:pt idx="805">
                  <c:v>26</c:v>
                </c:pt>
                <c:pt idx="806">
                  <c:v>26</c:v>
                </c:pt>
                <c:pt idx="807">
                  <c:v>26</c:v>
                </c:pt>
                <c:pt idx="808">
                  <c:v>25</c:v>
                </c:pt>
                <c:pt idx="809">
                  <c:v>24</c:v>
                </c:pt>
                <c:pt idx="810">
                  <c:v>23</c:v>
                </c:pt>
                <c:pt idx="811">
                  <c:v>22</c:v>
                </c:pt>
                <c:pt idx="812">
                  <c:v>21</c:v>
                </c:pt>
                <c:pt idx="813">
                  <c:v>20</c:v>
                </c:pt>
                <c:pt idx="814">
                  <c:v>19</c:v>
                </c:pt>
                <c:pt idx="815">
                  <c:v>19</c:v>
                </c:pt>
                <c:pt idx="816">
                  <c:v>19</c:v>
                </c:pt>
                <c:pt idx="817">
                  <c:v>19</c:v>
                </c:pt>
                <c:pt idx="818">
                  <c:v>19</c:v>
                </c:pt>
                <c:pt idx="819">
                  <c:v>19</c:v>
                </c:pt>
                <c:pt idx="820">
                  <c:v>19</c:v>
                </c:pt>
                <c:pt idx="821">
                  <c:v>19</c:v>
                </c:pt>
                <c:pt idx="822">
                  <c:v>19</c:v>
                </c:pt>
                <c:pt idx="823">
                  <c:v>18</c:v>
                </c:pt>
                <c:pt idx="824">
                  <c:v>17</c:v>
                </c:pt>
                <c:pt idx="825">
                  <c:v>16</c:v>
                </c:pt>
                <c:pt idx="826">
                  <c:v>16</c:v>
                </c:pt>
                <c:pt idx="827">
                  <c:v>16</c:v>
                </c:pt>
                <c:pt idx="828">
                  <c:v>16</c:v>
                </c:pt>
                <c:pt idx="829">
                  <c:v>15</c:v>
                </c:pt>
                <c:pt idx="830">
                  <c:v>15</c:v>
                </c:pt>
                <c:pt idx="831">
                  <c:v>15</c:v>
                </c:pt>
                <c:pt idx="832">
                  <c:v>15</c:v>
                </c:pt>
                <c:pt idx="833">
                  <c:v>15</c:v>
                </c:pt>
                <c:pt idx="834">
                  <c:v>14</c:v>
                </c:pt>
                <c:pt idx="835">
                  <c:v>13</c:v>
                </c:pt>
                <c:pt idx="836">
                  <c:v>13</c:v>
                </c:pt>
                <c:pt idx="837">
                  <c:v>13</c:v>
                </c:pt>
                <c:pt idx="838">
                  <c:v>13</c:v>
                </c:pt>
                <c:pt idx="839">
                  <c:v>13</c:v>
                </c:pt>
                <c:pt idx="840">
                  <c:v>13</c:v>
                </c:pt>
                <c:pt idx="841">
                  <c:v>13</c:v>
                </c:pt>
                <c:pt idx="842">
                  <c:v>13</c:v>
                </c:pt>
                <c:pt idx="843">
                  <c:v>13</c:v>
                </c:pt>
                <c:pt idx="844">
                  <c:v>13</c:v>
                </c:pt>
                <c:pt idx="845">
                  <c:v>13</c:v>
                </c:pt>
                <c:pt idx="846">
                  <c:v>13</c:v>
                </c:pt>
                <c:pt idx="847">
                  <c:v>13</c:v>
                </c:pt>
                <c:pt idx="848">
                  <c:v>13</c:v>
                </c:pt>
                <c:pt idx="849">
                  <c:v>13</c:v>
                </c:pt>
                <c:pt idx="850">
                  <c:v>13</c:v>
                </c:pt>
                <c:pt idx="851">
                  <c:v>13</c:v>
                </c:pt>
                <c:pt idx="852">
                  <c:v>13</c:v>
                </c:pt>
                <c:pt idx="853">
                  <c:v>13</c:v>
                </c:pt>
                <c:pt idx="854">
                  <c:v>13</c:v>
                </c:pt>
                <c:pt idx="855">
                  <c:v>13</c:v>
                </c:pt>
                <c:pt idx="856">
                  <c:v>13</c:v>
                </c:pt>
                <c:pt idx="857">
                  <c:v>13</c:v>
                </c:pt>
                <c:pt idx="858">
                  <c:v>13</c:v>
                </c:pt>
                <c:pt idx="859">
                  <c:v>13</c:v>
                </c:pt>
                <c:pt idx="860">
                  <c:v>13</c:v>
                </c:pt>
                <c:pt idx="861">
                  <c:v>13</c:v>
                </c:pt>
                <c:pt idx="862">
                  <c:v>13</c:v>
                </c:pt>
                <c:pt idx="863">
                  <c:v>13</c:v>
                </c:pt>
                <c:pt idx="864">
                  <c:v>13</c:v>
                </c:pt>
                <c:pt idx="865">
                  <c:v>13</c:v>
                </c:pt>
                <c:pt idx="866">
                  <c:v>13</c:v>
                </c:pt>
                <c:pt idx="867">
                  <c:v>13</c:v>
                </c:pt>
                <c:pt idx="868">
                  <c:v>13</c:v>
                </c:pt>
                <c:pt idx="869">
                  <c:v>13</c:v>
                </c:pt>
                <c:pt idx="870">
                  <c:v>13</c:v>
                </c:pt>
                <c:pt idx="871">
                  <c:v>13</c:v>
                </c:pt>
                <c:pt idx="872">
                  <c:v>13</c:v>
                </c:pt>
                <c:pt idx="873">
                  <c:v>13</c:v>
                </c:pt>
                <c:pt idx="874">
                  <c:v>13</c:v>
                </c:pt>
                <c:pt idx="875">
                  <c:v>13</c:v>
                </c:pt>
                <c:pt idx="876">
                  <c:v>13</c:v>
                </c:pt>
                <c:pt idx="877">
                  <c:v>13</c:v>
                </c:pt>
                <c:pt idx="878">
                  <c:v>13</c:v>
                </c:pt>
                <c:pt idx="879">
                  <c:v>13</c:v>
                </c:pt>
                <c:pt idx="880">
                  <c:v>13</c:v>
                </c:pt>
                <c:pt idx="881">
                  <c:v>13</c:v>
                </c:pt>
                <c:pt idx="882">
                  <c:v>13</c:v>
                </c:pt>
                <c:pt idx="883">
                  <c:v>13</c:v>
                </c:pt>
                <c:pt idx="884">
                  <c:v>13</c:v>
                </c:pt>
                <c:pt idx="885">
                  <c:v>13</c:v>
                </c:pt>
                <c:pt idx="886">
                  <c:v>13</c:v>
                </c:pt>
                <c:pt idx="887">
                  <c:v>13</c:v>
                </c:pt>
                <c:pt idx="888">
                  <c:v>13</c:v>
                </c:pt>
                <c:pt idx="889">
                  <c:v>13</c:v>
                </c:pt>
                <c:pt idx="890">
                  <c:v>13</c:v>
                </c:pt>
                <c:pt idx="891">
                  <c:v>13</c:v>
                </c:pt>
                <c:pt idx="892">
                  <c:v>13</c:v>
                </c:pt>
                <c:pt idx="893">
                  <c:v>13</c:v>
                </c:pt>
                <c:pt idx="894">
                  <c:v>13</c:v>
                </c:pt>
                <c:pt idx="895">
                  <c:v>13</c:v>
                </c:pt>
                <c:pt idx="896">
                  <c:v>13</c:v>
                </c:pt>
                <c:pt idx="897">
                  <c:v>12</c:v>
                </c:pt>
                <c:pt idx="898">
                  <c:v>11</c:v>
                </c:pt>
                <c:pt idx="899">
                  <c:v>11</c:v>
                </c:pt>
                <c:pt idx="900">
                  <c:v>11</c:v>
                </c:pt>
                <c:pt idx="901">
                  <c:v>11</c:v>
                </c:pt>
                <c:pt idx="902">
                  <c:v>11</c:v>
                </c:pt>
                <c:pt idx="903">
                  <c:v>11</c:v>
                </c:pt>
                <c:pt idx="904">
                  <c:v>11</c:v>
                </c:pt>
                <c:pt idx="905">
                  <c:v>11</c:v>
                </c:pt>
                <c:pt idx="906">
                  <c:v>11</c:v>
                </c:pt>
                <c:pt idx="907">
                  <c:v>11</c:v>
                </c:pt>
                <c:pt idx="908">
                  <c:v>11</c:v>
                </c:pt>
                <c:pt idx="909">
                  <c:v>11</c:v>
                </c:pt>
                <c:pt idx="910">
                  <c:v>10</c:v>
                </c:pt>
                <c:pt idx="911">
                  <c:v>10</c:v>
                </c:pt>
                <c:pt idx="912">
                  <c:v>10</c:v>
                </c:pt>
                <c:pt idx="913">
                  <c:v>10</c:v>
                </c:pt>
                <c:pt idx="914">
                  <c:v>10</c:v>
                </c:pt>
                <c:pt idx="915">
                  <c:v>9</c:v>
                </c:pt>
                <c:pt idx="916">
                  <c:v>8</c:v>
                </c:pt>
                <c:pt idx="917">
                  <c:v>7</c:v>
                </c:pt>
                <c:pt idx="918">
                  <c:v>7</c:v>
                </c:pt>
                <c:pt idx="919">
                  <c:v>7</c:v>
                </c:pt>
                <c:pt idx="920">
                  <c:v>6</c:v>
                </c:pt>
                <c:pt idx="921">
                  <c:v>5</c:v>
                </c:pt>
                <c:pt idx="922">
                  <c:v>5</c:v>
                </c:pt>
                <c:pt idx="923">
                  <c:v>4</c:v>
                </c:pt>
                <c:pt idx="924">
                  <c:v>3</c:v>
                </c:pt>
                <c:pt idx="925">
                  <c:v>3</c:v>
                </c:pt>
                <c:pt idx="926">
                  <c:v>2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165-A8FE-69E14E4CE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109632"/>
        <c:axId val="149881216"/>
      </c:barChart>
      <c:lineChart>
        <c:grouping val="standard"/>
        <c:varyColors val="0"/>
        <c:ser>
          <c:idx val="1"/>
          <c:order val="1"/>
          <c:tx>
            <c:v>Ряд2</c:v>
          </c:tx>
          <c:marker>
            <c:symbol val="none"/>
          </c:marker>
          <c:val>
            <c:numRef>
              <c:f>Лист2!$M$526:$M$1525</c:f>
              <c:numCache>
                <c:formatCode>General</c:formatCode>
                <c:ptCount val="1000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40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40</c:v>
                </c:pt>
                <c:pt idx="33">
                  <c:v>40</c:v>
                </c:pt>
                <c:pt idx="34">
                  <c:v>40</c:v>
                </c:pt>
                <c:pt idx="35">
                  <c:v>40</c:v>
                </c:pt>
                <c:pt idx="36">
                  <c:v>40</c:v>
                </c:pt>
                <c:pt idx="37">
                  <c:v>40</c:v>
                </c:pt>
                <c:pt idx="38">
                  <c:v>40</c:v>
                </c:pt>
                <c:pt idx="39">
                  <c:v>40</c:v>
                </c:pt>
                <c:pt idx="40">
                  <c:v>40</c:v>
                </c:pt>
                <c:pt idx="41">
                  <c:v>40</c:v>
                </c:pt>
                <c:pt idx="42">
                  <c:v>40</c:v>
                </c:pt>
                <c:pt idx="43">
                  <c:v>40</c:v>
                </c:pt>
                <c:pt idx="44">
                  <c:v>40</c:v>
                </c:pt>
                <c:pt idx="45">
                  <c:v>40</c:v>
                </c:pt>
                <c:pt idx="46">
                  <c:v>40</c:v>
                </c:pt>
                <c:pt idx="47">
                  <c:v>40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40</c:v>
                </c:pt>
                <c:pt idx="59">
                  <c:v>40</c:v>
                </c:pt>
                <c:pt idx="60">
                  <c:v>40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40</c:v>
                </c:pt>
                <c:pt idx="70">
                  <c:v>40</c:v>
                </c:pt>
                <c:pt idx="71">
                  <c:v>40</c:v>
                </c:pt>
                <c:pt idx="72">
                  <c:v>40</c:v>
                </c:pt>
                <c:pt idx="73">
                  <c:v>40</c:v>
                </c:pt>
                <c:pt idx="74">
                  <c:v>40</c:v>
                </c:pt>
                <c:pt idx="75">
                  <c:v>40</c:v>
                </c:pt>
                <c:pt idx="76">
                  <c:v>40</c:v>
                </c:pt>
                <c:pt idx="77">
                  <c:v>40</c:v>
                </c:pt>
                <c:pt idx="78">
                  <c:v>40</c:v>
                </c:pt>
                <c:pt idx="79">
                  <c:v>40</c:v>
                </c:pt>
                <c:pt idx="80">
                  <c:v>40</c:v>
                </c:pt>
                <c:pt idx="81">
                  <c:v>40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40</c:v>
                </c:pt>
                <c:pt idx="177">
                  <c:v>40</c:v>
                </c:pt>
                <c:pt idx="178">
                  <c:v>40</c:v>
                </c:pt>
                <c:pt idx="179">
                  <c:v>40</c:v>
                </c:pt>
                <c:pt idx="180">
                  <c:v>40</c:v>
                </c:pt>
                <c:pt idx="181">
                  <c:v>40</c:v>
                </c:pt>
                <c:pt idx="182">
                  <c:v>40</c:v>
                </c:pt>
                <c:pt idx="183">
                  <c:v>40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40</c:v>
                </c:pt>
                <c:pt idx="189">
                  <c:v>40</c:v>
                </c:pt>
                <c:pt idx="190">
                  <c:v>40</c:v>
                </c:pt>
                <c:pt idx="191">
                  <c:v>40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40</c:v>
                </c:pt>
                <c:pt idx="243">
                  <c:v>40</c:v>
                </c:pt>
                <c:pt idx="244">
                  <c:v>40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40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40</c:v>
                </c:pt>
                <c:pt idx="254">
                  <c:v>40</c:v>
                </c:pt>
                <c:pt idx="255">
                  <c:v>40</c:v>
                </c:pt>
                <c:pt idx="256">
                  <c:v>40</c:v>
                </c:pt>
                <c:pt idx="257">
                  <c:v>40</c:v>
                </c:pt>
                <c:pt idx="258">
                  <c:v>40</c:v>
                </c:pt>
                <c:pt idx="259">
                  <c:v>40</c:v>
                </c:pt>
                <c:pt idx="260">
                  <c:v>40</c:v>
                </c:pt>
                <c:pt idx="261">
                  <c:v>40</c:v>
                </c:pt>
                <c:pt idx="262">
                  <c:v>40</c:v>
                </c:pt>
                <c:pt idx="263">
                  <c:v>40</c:v>
                </c:pt>
                <c:pt idx="264">
                  <c:v>40</c:v>
                </c:pt>
                <c:pt idx="265">
                  <c:v>40</c:v>
                </c:pt>
                <c:pt idx="266">
                  <c:v>40</c:v>
                </c:pt>
                <c:pt idx="267">
                  <c:v>40</c:v>
                </c:pt>
                <c:pt idx="268">
                  <c:v>40</c:v>
                </c:pt>
                <c:pt idx="269">
                  <c:v>40</c:v>
                </c:pt>
                <c:pt idx="270">
                  <c:v>40</c:v>
                </c:pt>
                <c:pt idx="271">
                  <c:v>40</c:v>
                </c:pt>
                <c:pt idx="272">
                  <c:v>40</c:v>
                </c:pt>
                <c:pt idx="273">
                  <c:v>40</c:v>
                </c:pt>
                <c:pt idx="274">
                  <c:v>40</c:v>
                </c:pt>
                <c:pt idx="275">
                  <c:v>40</c:v>
                </c:pt>
                <c:pt idx="276">
                  <c:v>40</c:v>
                </c:pt>
                <c:pt idx="277">
                  <c:v>40</c:v>
                </c:pt>
                <c:pt idx="278">
                  <c:v>40</c:v>
                </c:pt>
                <c:pt idx="279">
                  <c:v>40</c:v>
                </c:pt>
                <c:pt idx="280">
                  <c:v>40</c:v>
                </c:pt>
                <c:pt idx="281">
                  <c:v>40</c:v>
                </c:pt>
                <c:pt idx="282">
                  <c:v>40</c:v>
                </c:pt>
                <c:pt idx="283">
                  <c:v>40</c:v>
                </c:pt>
                <c:pt idx="284">
                  <c:v>40</c:v>
                </c:pt>
                <c:pt idx="285">
                  <c:v>40</c:v>
                </c:pt>
                <c:pt idx="286">
                  <c:v>40</c:v>
                </c:pt>
                <c:pt idx="287">
                  <c:v>40</c:v>
                </c:pt>
                <c:pt idx="288">
                  <c:v>40</c:v>
                </c:pt>
                <c:pt idx="289">
                  <c:v>40</c:v>
                </c:pt>
                <c:pt idx="290">
                  <c:v>40</c:v>
                </c:pt>
                <c:pt idx="291">
                  <c:v>40</c:v>
                </c:pt>
                <c:pt idx="292">
                  <c:v>40</c:v>
                </c:pt>
                <c:pt idx="293">
                  <c:v>40</c:v>
                </c:pt>
                <c:pt idx="294">
                  <c:v>40</c:v>
                </c:pt>
                <c:pt idx="295">
                  <c:v>40</c:v>
                </c:pt>
                <c:pt idx="296">
                  <c:v>40</c:v>
                </c:pt>
                <c:pt idx="297">
                  <c:v>40</c:v>
                </c:pt>
                <c:pt idx="298">
                  <c:v>40</c:v>
                </c:pt>
                <c:pt idx="299">
                  <c:v>40</c:v>
                </c:pt>
                <c:pt idx="300">
                  <c:v>40</c:v>
                </c:pt>
                <c:pt idx="301">
                  <c:v>40</c:v>
                </c:pt>
                <c:pt idx="302">
                  <c:v>40</c:v>
                </c:pt>
                <c:pt idx="303">
                  <c:v>40</c:v>
                </c:pt>
                <c:pt idx="304">
                  <c:v>40</c:v>
                </c:pt>
                <c:pt idx="305">
                  <c:v>40</c:v>
                </c:pt>
                <c:pt idx="306">
                  <c:v>40</c:v>
                </c:pt>
                <c:pt idx="307">
                  <c:v>40</c:v>
                </c:pt>
                <c:pt idx="308">
                  <c:v>40</c:v>
                </c:pt>
                <c:pt idx="309">
                  <c:v>40</c:v>
                </c:pt>
                <c:pt idx="310">
                  <c:v>40</c:v>
                </c:pt>
                <c:pt idx="311">
                  <c:v>40</c:v>
                </c:pt>
                <c:pt idx="312">
                  <c:v>40</c:v>
                </c:pt>
                <c:pt idx="313">
                  <c:v>40</c:v>
                </c:pt>
                <c:pt idx="314">
                  <c:v>40</c:v>
                </c:pt>
                <c:pt idx="315">
                  <c:v>40</c:v>
                </c:pt>
                <c:pt idx="316">
                  <c:v>40</c:v>
                </c:pt>
                <c:pt idx="317">
                  <c:v>40</c:v>
                </c:pt>
                <c:pt idx="318">
                  <c:v>40</c:v>
                </c:pt>
                <c:pt idx="319">
                  <c:v>40</c:v>
                </c:pt>
                <c:pt idx="320">
                  <c:v>40</c:v>
                </c:pt>
                <c:pt idx="321">
                  <c:v>40</c:v>
                </c:pt>
                <c:pt idx="322">
                  <c:v>40</c:v>
                </c:pt>
                <c:pt idx="323">
                  <c:v>40</c:v>
                </c:pt>
                <c:pt idx="324">
                  <c:v>40</c:v>
                </c:pt>
                <c:pt idx="325">
                  <c:v>40</c:v>
                </c:pt>
                <c:pt idx="326">
                  <c:v>40</c:v>
                </c:pt>
                <c:pt idx="327">
                  <c:v>40</c:v>
                </c:pt>
                <c:pt idx="328">
                  <c:v>40</c:v>
                </c:pt>
                <c:pt idx="329">
                  <c:v>40</c:v>
                </c:pt>
                <c:pt idx="330">
                  <c:v>40</c:v>
                </c:pt>
                <c:pt idx="331">
                  <c:v>40</c:v>
                </c:pt>
                <c:pt idx="332">
                  <c:v>40</c:v>
                </c:pt>
                <c:pt idx="333">
                  <c:v>40</c:v>
                </c:pt>
                <c:pt idx="334">
                  <c:v>40</c:v>
                </c:pt>
                <c:pt idx="335">
                  <c:v>40</c:v>
                </c:pt>
                <c:pt idx="336">
                  <c:v>40</c:v>
                </c:pt>
                <c:pt idx="337">
                  <c:v>40</c:v>
                </c:pt>
                <c:pt idx="338">
                  <c:v>40</c:v>
                </c:pt>
                <c:pt idx="339">
                  <c:v>40</c:v>
                </c:pt>
                <c:pt idx="340">
                  <c:v>40</c:v>
                </c:pt>
                <c:pt idx="341">
                  <c:v>40</c:v>
                </c:pt>
                <c:pt idx="342">
                  <c:v>40</c:v>
                </c:pt>
                <c:pt idx="343">
                  <c:v>40</c:v>
                </c:pt>
                <c:pt idx="344">
                  <c:v>40</c:v>
                </c:pt>
                <c:pt idx="345">
                  <c:v>40</c:v>
                </c:pt>
                <c:pt idx="346">
                  <c:v>40</c:v>
                </c:pt>
                <c:pt idx="347">
                  <c:v>40</c:v>
                </c:pt>
                <c:pt idx="348">
                  <c:v>40</c:v>
                </c:pt>
                <c:pt idx="349">
                  <c:v>40</c:v>
                </c:pt>
                <c:pt idx="350">
                  <c:v>40</c:v>
                </c:pt>
                <c:pt idx="351">
                  <c:v>40</c:v>
                </c:pt>
                <c:pt idx="352">
                  <c:v>40</c:v>
                </c:pt>
                <c:pt idx="353">
                  <c:v>40</c:v>
                </c:pt>
                <c:pt idx="354">
                  <c:v>40</c:v>
                </c:pt>
                <c:pt idx="355">
                  <c:v>40</c:v>
                </c:pt>
                <c:pt idx="356">
                  <c:v>40</c:v>
                </c:pt>
                <c:pt idx="357">
                  <c:v>40</c:v>
                </c:pt>
                <c:pt idx="358">
                  <c:v>40</c:v>
                </c:pt>
                <c:pt idx="359">
                  <c:v>40</c:v>
                </c:pt>
                <c:pt idx="360">
                  <c:v>40</c:v>
                </c:pt>
                <c:pt idx="361">
                  <c:v>40</c:v>
                </c:pt>
                <c:pt idx="362">
                  <c:v>40</c:v>
                </c:pt>
                <c:pt idx="363">
                  <c:v>40</c:v>
                </c:pt>
                <c:pt idx="364">
                  <c:v>40</c:v>
                </c:pt>
                <c:pt idx="365">
                  <c:v>40</c:v>
                </c:pt>
                <c:pt idx="366">
                  <c:v>40</c:v>
                </c:pt>
                <c:pt idx="367">
                  <c:v>40</c:v>
                </c:pt>
                <c:pt idx="368">
                  <c:v>40</c:v>
                </c:pt>
                <c:pt idx="369">
                  <c:v>40</c:v>
                </c:pt>
                <c:pt idx="370">
                  <c:v>40</c:v>
                </c:pt>
                <c:pt idx="371">
                  <c:v>40</c:v>
                </c:pt>
                <c:pt idx="372">
                  <c:v>40</c:v>
                </c:pt>
                <c:pt idx="373">
                  <c:v>40</c:v>
                </c:pt>
                <c:pt idx="374">
                  <c:v>40</c:v>
                </c:pt>
                <c:pt idx="375">
                  <c:v>40</c:v>
                </c:pt>
                <c:pt idx="376">
                  <c:v>40</c:v>
                </c:pt>
                <c:pt idx="377">
                  <c:v>40</c:v>
                </c:pt>
                <c:pt idx="378">
                  <c:v>40</c:v>
                </c:pt>
                <c:pt idx="379">
                  <c:v>40</c:v>
                </c:pt>
                <c:pt idx="380">
                  <c:v>40</c:v>
                </c:pt>
                <c:pt idx="381">
                  <c:v>40</c:v>
                </c:pt>
                <c:pt idx="382">
                  <c:v>40</c:v>
                </c:pt>
                <c:pt idx="383">
                  <c:v>40</c:v>
                </c:pt>
                <c:pt idx="384">
                  <c:v>40</c:v>
                </c:pt>
                <c:pt idx="385">
                  <c:v>40</c:v>
                </c:pt>
                <c:pt idx="386">
                  <c:v>40</c:v>
                </c:pt>
                <c:pt idx="387">
                  <c:v>40</c:v>
                </c:pt>
                <c:pt idx="388">
                  <c:v>40</c:v>
                </c:pt>
                <c:pt idx="389">
                  <c:v>40</c:v>
                </c:pt>
                <c:pt idx="390">
                  <c:v>40</c:v>
                </c:pt>
                <c:pt idx="391">
                  <c:v>40</c:v>
                </c:pt>
                <c:pt idx="392">
                  <c:v>40</c:v>
                </c:pt>
                <c:pt idx="393">
                  <c:v>40</c:v>
                </c:pt>
                <c:pt idx="394">
                  <c:v>40</c:v>
                </c:pt>
                <c:pt idx="395">
                  <c:v>40</c:v>
                </c:pt>
                <c:pt idx="396">
                  <c:v>40</c:v>
                </c:pt>
                <c:pt idx="397">
                  <c:v>40</c:v>
                </c:pt>
                <c:pt idx="398">
                  <c:v>40</c:v>
                </c:pt>
                <c:pt idx="399">
                  <c:v>40</c:v>
                </c:pt>
                <c:pt idx="400">
                  <c:v>40</c:v>
                </c:pt>
                <c:pt idx="401">
                  <c:v>40</c:v>
                </c:pt>
                <c:pt idx="402">
                  <c:v>40</c:v>
                </c:pt>
                <c:pt idx="403">
                  <c:v>40</c:v>
                </c:pt>
                <c:pt idx="404">
                  <c:v>40</c:v>
                </c:pt>
                <c:pt idx="405">
                  <c:v>40</c:v>
                </c:pt>
                <c:pt idx="406">
                  <c:v>40</c:v>
                </c:pt>
                <c:pt idx="407">
                  <c:v>40</c:v>
                </c:pt>
                <c:pt idx="408">
                  <c:v>40</c:v>
                </c:pt>
                <c:pt idx="409">
                  <c:v>40</c:v>
                </c:pt>
                <c:pt idx="410">
                  <c:v>40</c:v>
                </c:pt>
                <c:pt idx="411">
                  <c:v>40</c:v>
                </c:pt>
                <c:pt idx="412">
                  <c:v>40</c:v>
                </c:pt>
                <c:pt idx="413">
                  <c:v>40</c:v>
                </c:pt>
                <c:pt idx="414">
                  <c:v>40</c:v>
                </c:pt>
                <c:pt idx="415">
                  <c:v>40</c:v>
                </c:pt>
                <c:pt idx="416">
                  <c:v>40</c:v>
                </c:pt>
                <c:pt idx="417">
                  <c:v>40</c:v>
                </c:pt>
                <c:pt idx="418">
                  <c:v>40</c:v>
                </c:pt>
                <c:pt idx="419">
                  <c:v>40</c:v>
                </c:pt>
                <c:pt idx="420">
                  <c:v>40</c:v>
                </c:pt>
                <c:pt idx="421">
                  <c:v>40</c:v>
                </c:pt>
                <c:pt idx="422">
                  <c:v>40</c:v>
                </c:pt>
                <c:pt idx="423">
                  <c:v>40</c:v>
                </c:pt>
                <c:pt idx="424">
                  <c:v>40</c:v>
                </c:pt>
                <c:pt idx="425">
                  <c:v>40</c:v>
                </c:pt>
                <c:pt idx="426">
                  <c:v>40</c:v>
                </c:pt>
                <c:pt idx="427">
                  <c:v>40</c:v>
                </c:pt>
                <c:pt idx="428">
                  <c:v>40</c:v>
                </c:pt>
                <c:pt idx="429">
                  <c:v>40</c:v>
                </c:pt>
                <c:pt idx="430">
                  <c:v>40</c:v>
                </c:pt>
                <c:pt idx="431">
                  <c:v>40</c:v>
                </c:pt>
                <c:pt idx="432">
                  <c:v>40</c:v>
                </c:pt>
                <c:pt idx="433">
                  <c:v>40</c:v>
                </c:pt>
                <c:pt idx="434">
                  <c:v>40</c:v>
                </c:pt>
                <c:pt idx="435">
                  <c:v>40</c:v>
                </c:pt>
                <c:pt idx="436">
                  <c:v>40</c:v>
                </c:pt>
                <c:pt idx="437">
                  <c:v>40</c:v>
                </c:pt>
                <c:pt idx="438">
                  <c:v>40</c:v>
                </c:pt>
                <c:pt idx="439">
                  <c:v>40</c:v>
                </c:pt>
                <c:pt idx="440">
                  <c:v>40</c:v>
                </c:pt>
                <c:pt idx="441">
                  <c:v>40</c:v>
                </c:pt>
                <c:pt idx="442">
                  <c:v>40</c:v>
                </c:pt>
                <c:pt idx="443">
                  <c:v>40</c:v>
                </c:pt>
                <c:pt idx="444">
                  <c:v>40</c:v>
                </c:pt>
                <c:pt idx="445">
                  <c:v>40</c:v>
                </c:pt>
                <c:pt idx="446">
                  <c:v>40</c:v>
                </c:pt>
                <c:pt idx="447">
                  <c:v>40</c:v>
                </c:pt>
                <c:pt idx="448">
                  <c:v>40</c:v>
                </c:pt>
                <c:pt idx="449">
                  <c:v>40</c:v>
                </c:pt>
                <c:pt idx="450">
                  <c:v>40</c:v>
                </c:pt>
                <c:pt idx="451">
                  <c:v>40</c:v>
                </c:pt>
                <c:pt idx="452">
                  <c:v>40</c:v>
                </c:pt>
                <c:pt idx="453">
                  <c:v>40</c:v>
                </c:pt>
                <c:pt idx="454">
                  <c:v>40</c:v>
                </c:pt>
                <c:pt idx="455">
                  <c:v>40</c:v>
                </c:pt>
                <c:pt idx="456">
                  <c:v>40</c:v>
                </c:pt>
                <c:pt idx="457">
                  <c:v>40</c:v>
                </c:pt>
                <c:pt idx="458">
                  <c:v>40</c:v>
                </c:pt>
                <c:pt idx="459">
                  <c:v>40</c:v>
                </c:pt>
                <c:pt idx="460">
                  <c:v>40</c:v>
                </c:pt>
                <c:pt idx="461">
                  <c:v>40</c:v>
                </c:pt>
                <c:pt idx="462">
                  <c:v>40</c:v>
                </c:pt>
                <c:pt idx="463">
                  <c:v>40</c:v>
                </c:pt>
                <c:pt idx="464">
                  <c:v>40</c:v>
                </c:pt>
                <c:pt idx="465">
                  <c:v>40</c:v>
                </c:pt>
                <c:pt idx="466">
                  <c:v>40</c:v>
                </c:pt>
                <c:pt idx="467">
                  <c:v>40</c:v>
                </c:pt>
                <c:pt idx="468">
                  <c:v>40</c:v>
                </c:pt>
                <c:pt idx="469">
                  <c:v>40</c:v>
                </c:pt>
                <c:pt idx="470">
                  <c:v>40</c:v>
                </c:pt>
                <c:pt idx="471">
                  <c:v>40</c:v>
                </c:pt>
                <c:pt idx="472">
                  <c:v>40</c:v>
                </c:pt>
                <c:pt idx="473">
                  <c:v>40</c:v>
                </c:pt>
                <c:pt idx="474">
                  <c:v>40</c:v>
                </c:pt>
                <c:pt idx="475">
                  <c:v>40</c:v>
                </c:pt>
                <c:pt idx="476">
                  <c:v>40</c:v>
                </c:pt>
                <c:pt idx="477">
                  <c:v>40</c:v>
                </c:pt>
                <c:pt idx="478">
                  <c:v>40</c:v>
                </c:pt>
                <c:pt idx="479">
                  <c:v>40</c:v>
                </c:pt>
                <c:pt idx="480">
                  <c:v>40</c:v>
                </c:pt>
                <c:pt idx="481">
                  <c:v>40</c:v>
                </c:pt>
                <c:pt idx="482">
                  <c:v>40</c:v>
                </c:pt>
                <c:pt idx="483">
                  <c:v>40</c:v>
                </c:pt>
                <c:pt idx="484">
                  <c:v>40</c:v>
                </c:pt>
                <c:pt idx="485">
                  <c:v>40</c:v>
                </c:pt>
                <c:pt idx="486">
                  <c:v>40</c:v>
                </c:pt>
                <c:pt idx="487">
                  <c:v>40</c:v>
                </c:pt>
                <c:pt idx="488">
                  <c:v>40</c:v>
                </c:pt>
                <c:pt idx="489">
                  <c:v>40</c:v>
                </c:pt>
                <c:pt idx="490">
                  <c:v>40</c:v>
                </c:pt>
                <c:pt idx="491">
                  <c:v>40</c:v>
                </c:pt>
                <c:pt idx="492">
                  <c:v>40</c:v>
                </c:pt>
                <c:pt idx="493">
                  <c:v>40</c:v>
                </c:pt>
                <c:pt idx="494">
                  <c:v>40</c:v>
                </c:pt>
                <c:pt idx="495">
                  <c:v>40</c:v>
                </c:pt>
                <c:pt idx="496">
                  <c:v>40</c:v>
                </c:pt>
                <c:pt idx="497">
                  <c:v>40</c:v>
                </c:pt>
                <c:pt idx="498">
                  <c:v>40</c:v>
                </c:pt>
                <c:pt idx="499">
                  <c:v>40</c:v>
                </c:pt>
                <c:pt idx="500">
                  <c:v>40</c:v>
                </c:pt>
                <c:pt idx="501">
                  <c:v>40</c:v>
                </c:pt>
                <c:pt idx="502">
                  <c:v>40</c:v>
                </c:pt>
                <c:pt idx="503">
                  <c:v>40</c:v>
                </c:pt>
                <c:pt idx="504">
                  <c:v>40</c:v>
                </c:pt>
                <c:pt idx="505">
                  <c:v>40</c:v>
                </c:pt>
                <c:pt idx="506">
                  <c:v>40</c:v>
                </c:pt>
                <c:pt idx="507">
                  <c:v>40</c:v>
                </c:pt>
                <c:pt idx="508">
                  <c:v>40</c:v>
                </c:pt>
                <c:pt idx="509">
                  <c:v>40</c:v>
                </c:pt>
                <c:pt idx="510">
                  <c:v>40</c:v>
                </c:pt>
                <c:pt idx="511">
                  <c:v>40</c:v>
                </c:pt>
                <c:pt idx="512">
                  <c:v>40</c:v>
                </c:pt>
                <c:pt idx="513">
                  <c:v>40</c:v>
                </c:pt>
                <c:pt idx="514">
                  <c:v>40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40</c:v>
                </c:pt>
                <c:pt idx="521">
                  <c:v>40</c:v>
                </c:pt>
                <c:pt idx="522">
                  <c:v>40</c:v>
                </c:pt>
                <c:pt idx="523">
                  <c:v>40</c:v>
                </c:pt>
                <c:pt idx="524">
                  <c:v>40</c:v>
                </c:pt>
                <c:pt idx="525">
                  <c:v>40</c:v>
                </c:pt>
                <c:pt idx="526">
                  <c:v>40</c:v>
                </c:pt>
                <c:pt idx="527">
                  <c:v>40</c:v>
                </c:pt>
                <c:pt idx="528">
                  <c:v>40</c:v>
                </c:pt>
                <c:pt idx="529">
                  <c:v>40</c:v>
                </c:pt>
                <c:pt idx="530">
                  <c:v>40</c:v>
                </c:pt>
                <c:pt idx="531">
                  <c:v>40</c:v>
                </c:pt>
                <c:pt idx="532">
                  <c:v>40</c:v>
                </c:pt>
                <c:pt idx="533">
                  <c:v>40</c:v>
                </c:pt>
                <c:pt idx="534">
                  <c:v>40</c:v>
                </c:pt>
                <c:pt idx="535">
                  <c:v>40</c:v>
                </c:pt>
                <c:pt idx="536">
                  <c:v>40</c:v>
                </c:pt>
                <c:pt idx="537">
                  <c:v>40</c:v>
                </c:pt>
                <c:pt idx="538">
                  <c:v>40</c:v>
                </c:pt>
                <c:pt idx="539">
                  <c:v>40</c:v>
                </c:pt>
                <c:pt idx="540">
                  <c:v>40</c:v>
                </c:pt>
                <c:pt idx="541">
                  <c:v>40</c:v>
                </c:pt>
                <c:pt idx="542">
                  <c:v>40</c:v>
                </c:pt>
                <c:pt idx="543">
                  <c:v>40</c:v>
                </c:pt>
                <c:pt idx="544">
                  <c:v>40</c:v>
                </c:pt>
                <c:pt idx="545">
                  <c:v>40</c:v>
                </c:pt>
                <c:pt idx="546">
                  <c:v>40</c:v>
                </c:pt>
                <c:pt idx="547">
                  <c:v>40</c:v>
                </c:pt>
                <c:pt idx="548">
                  <c:v>40</c:v>
                </c:pt>
                <c:pt idx="549">
                  <c:v>40</c:v>
                </c:pt>
                <c:pt idx="550">
                  <c:v>40</c:v>
                </c:pt>
                <c:pt idx="551">
                  <c:v>40</c:v>
                </c:pt>
                <c:pt idx="552">
                  <c:v>40</c:v>
                </c:pt>
                <c:pt idx="553">
                  <c:v>40</c:v>
                </c:pt>
                <c:pt idx="554">
                  <c:v>40</c:v>
                </c:pt>
                <c:pt idx="555">
                  <c:v>40</c:v>
                </c:pt>
                <c:pt idx="556">
                  <c:v>40</c:v>
                </c:pt>
                <c:pt idx="557">
                  <c:v>40</c:v>
                </c:pt>
                <c:pt idx="558">
                  <c:v>40</c:v>
                </c:pt>
                <c:pt idx="559">
                  <c:v>40</c:v>
                </c:pt>
                <c:pt idx="560">
                  <c:v>40</c:v>
                </c:pt>
                <c:pt idx="561">
                  <c:v>40</c:v>
                </c:pt>
                <c:pt idx="562">
                  <c:v>40</c:v>
                </c:pt>
                <c:pt idx="563">
                  <c:v>40</c:v>
                </c:pt>
                <c:pt idx="564">
                  <c:v>40</c:v>
                </c:pt>
                <c:pt idx="565">
                  <c:v>40</c:v>
                </c:pt>
                <c:pt idx="566">
                  <c:v>40</c:v>
                </c:pt>
                <c:pt idx="567">
                  <c:v>40</c:v>
                </c:pt>
                <c:pt idx="568">
                  <c:v>40</c:v>
                </c:pt>
                <c:pt idx="569">
                  <c:v>40</c:v>
                </c:pt>
                <c:pt idx="570">
                  <c:v>40</c:v>
                </c:pt>
                <c:pt idx="571">
                  <c:v>40</c:v>
                </c:pt>
                <c:pt idx="572">
                  <c:v>40</c:v>
                </c:pt>
                <c:pt idx="573">
                  <c:v>40</c:v>
                </c:pt>
                <c:pt idx="574">
                  <c:v>40</c:v>
                </c:pt>
                <c:pt idx="575">
                  <c:v>40</c:v>
                </c:pt>
                <c:pt idx="576">
                  <c:v>40</c:v>
                </c:pt>
                <c:pt idx="577">
                  <c:v>40</c:v>
                </c:pt>
                <c:pt idx="578">
                  <c:v>40</c:v>
                </c:pt>
                <c:pt idx="579">
                  <c:v>40</c:v>
                </c:pt>
                <c:pt idx="580">
                  <c:v>40</c:v>
                </c:pt>
                <c:pt idx="581">
                  <c:v>40</c:v>
                </c:pt>
                <c:pt idx="582">
                  <c:v>40</c:v>
                </c:pt>
                <c:pt idx="583">
                  <c:v>40</c:v>
                </c:pt>
                <c:pt idx="584">
                  <c:v>40</c:v>
                </c:pt>
                <c:pt idx="585">
                  <c:v>40</c:v>
                </c:pt>
                <c:pt idx="586">
                  <c:v>40</c:v>
                </c:pt>
                <c:pt idx="587">
                  <c:v>40</c:v>
                </c:pt>
                <c:pt idx="588">
                  <c:v>40</c:v>
                </c:pt>
                <c:pt idx="589">
                  <c:v>40</c:v>
                </c:pt>
                <c:pt idx="590">
                  <c:v>40</c:v>
                </c:pt>
                <c:pt idx="591">
                  <c:v>40</c:v>
                </c:pt>
                <c:pt idx="592">
                  <c:v>40</c:v>
                </c:pt>
                <c:pt idx="593">
                  <c:v>40</c:v>
                </c:pt>
                <c:pt idx="594">
                  <c:v>40</c:v>
                </c:pt>
                <c:pt idx="595">
                  <c:v>40</c:v>
                </c:pt>
                <c:pt idx="596">
                  <c:v>40</c:v>
                </c:pt>
                <c:pt idx="597">
                  <c:v>40</c:v>
                </c:pt>
                <c:pt idx="598">
                  <c:v>40</c:v>
                </c:pt>
                <c:pt idx="599">
                  <c:v>40</c:v>
                </c:pt>
                <c:pt idx="600">
                  <c:v>40</c:v>
                </c:pt>
                <c:pt idx="601">
                  <c:v>40</c:v>
                </c:pt>
                <c:pt idx="602">
                  <c:v>40</c:v>
                </c:pt>
                <c:pt idx="603">
                  <c:v>40</c:v>
                </c:pt>
                <c:pt idx="604">
                  <c:v>40</c:v>
                </c:pt>
                <c:pt idx="605">
                  <c:v>40</c:v>
                </c:pt>
                <c:pt idx="606">
                  <c:v>40</c:v>
                </c:pt>
                <c:pt idx="607">
                  <c:v>40</c:v>
                </c:pt>
                <c:pt idx="608">
                  <c:v>40</c:v>
                </c:pt>
                <c:pt idx="609">
                  <c:v>40</c:v>
                </c:pt>
                <c:pt idx="610">
                  <c:v>40</c:v>
                </c:pt>
                <c:pt idx="611">
                  <c:v>40</c:v>
                </c:pt>
                <c:pt idx="612">
                  <c:v>40</c:v>
                </c:pt>
                <c:pt idx="613">
                  <c:v>40</c:v>
                </c:pt>
                <c:pt idx="614">
                  <c:v>40</c:v>
                </c:pt>
                <c:pt idx="615">
                  <c:v>40</c:v>
                </c:pt>
                <c:pt idx="616">
                  <c:v>40</c:v>
                </c:pt>
                <c:pt idx="617">
                  <c:v>40</c:v>
                </c:pt>
                <c:pt idx="618">
                  <c:v>40</c:v>
                </c:pt>
                <c:pt idx="619">
                  <c:v>40</c:v>
                </c:pt>
                <c:pt idx="620">
                  <c:v>40</c:v>
                </c:pt>
                <c:pt idx="621">
                  <c:v>40</c:v>
                </c:pt>
                <c:pt idx="622">
                  <c:v>40</c:v>
                </c:pt>
                <c:pt idx="623">
                  <c:v>40</c:v>
                </c:pt>
                <c:pt idx="624">
                  <c:v>40</c:v>
                </c:pt>
                <c:pt idx="625">
                  <c:v>40</c:v>
                </c:pt>
                <c:pt idx="626">
                  <c:v>40</c:v>
                </c:pt>
                <c:pt idx="627">
                  <c:v>40</c:v>
                </c:pt>
                <c:pt idx="628">
                  <c:v>40</c:v>
                </c:pt>
                <c:pt idx="629">
                  <c:v>40</c:v>
                </c:pt>
                <c:pt idx="630">
                  <c:v>40</c:v>
                </c:pt>
                <c:pt idx="631">
                  <c:v>40</c:v>
                </c:pt>
                <c:pt idx="632">
                  <c:v>40</c:v>
                </c:pt>
                <c:pt idx="633">
                  <c:v>40</c:v>
                </c:pt>
                <c:pt idx="634">
                  <c:v>40</c:v>
                </c:pt>
                <c:pt idx="635">
                  <c:v>40</c:v>
                </c:pt>
                <c:pt idx="636">
                  <c:v>40</c:v>
                </c:pt>
                <c:pt idx="637">
                  <c:v>40</c:v>
                </c:pt>
                <c:pt idx="638">
                  <c:v>40</c:v>
                </c:pt>
                <c:pt idx="639">
                  <c:v>40</c:v>
                </c:pt>
                <c:pt idx="640">
                  <c:v>40</c:v>
                </c:pt>
                <c:pt idx="641">
                  <c:v>40</c:v>
                </c:pt>
                <c:pt idx="642">
                  <c:v>40</c:v>
                </c:pt>
                <c:pt idx="643">
                  <c:v>40</c:v>
                </c:pt>
                <c:pt idx="644">
                  <c:v>40</c:v>
                </c:pt>
                <c:pt idx="645">
                  <c:v>40</c:v>
                </c:pt>
                <c:pt idx="646">
                  <c:v>40</c:v>
                </c:pt>
                <c:pt idx="647">
                  <c:v>40</c:v>
                </c:pt>
                <c:pt idx="648">
                  <c:v>40</c:v>
                </c:pt>
                <c:pt idx="649">
                  <c:v>40</c:v>
                </c:pt>
                <c:pt idx="650">
                  <c:v>40</c:v>
                </c:pt>
                <c:pt idx="651">
                  <c:v>40</c:v>
                </c:pt>
                <c:pt idx="652">
                  <c:v>40</c:v>
                </c:pt>
                <c:pt idx="653">
                  <c:v>40</c:v>
                </c:pt>
                <c:pt idx="654">
                  <c:v>40</c:v>
                </c:pt>
                <c:pt idx="655">
                  <c:v>40</c:v>
                </c:pt>
                <c:pt idx="656">
                  <c:v>40</c:v>
                </c:pt>
                <c:pt idx="657">
                  <c:v>40</c:v>
                </c:pt>
                <c:pt idx="658">
                  <c:v>40</c:v>
                </c:pt>
                <c:pt idx="659">
                  <c:v>40</c:v>
                </c:pt>
                <c:pt idx="660">
                  <c:v>40</c:v>
                </c:pt>
                <c:pt idx="661">
                  <c:v>40</c:v>
                </c:pt>
                <c:pt idx="662">
                  <c:v>40</c:v>
                </c:pt>
                <c:pt idx="663">
                  <c:v>40</c:v>
                </c:pt>
                <c:pt idx="664">
                  <c:v>40</c:v>
                </c:pt>
                <c:pt idx="665">
                  <c:v>40</c:v>
                </c:pt>
                <c:pt idx="666">
                  <c:v>40</c:v>
                </c:pt>
                <c:pt idx="667">
                  <c:v>40</c:v>
                </c:pt>
                <c:pt idx="668">
                  <c:v>40</c:v>
                </c:pt>
                <c:pt idx="669">
                  <c:v>40</c:v>
                </c:pt>
                <c:pt idx="670">
                  <c:v>40</c:v>
                </c:pt>
                <c:pt idx="671">
                  <c:v>40</c:v>
                </c:pt>
                <c:pt idx="672">
                  <c:v>40</c:v>
                </c:pt>
                <c:pt idx="673">
                  <c:v>40</c:v>
                </c:pt>
                <c:pt idx="674">
                  <c:v>40</c:v>
                </c:pt>
                <c:pt idx="675">
                  <c:v>40</c:v>
                </c:pt>
                <c:pt idx="676">
                  <c:v>40</c:v>
                </c:pt>
                <c:pt idx="677">
                  <c:v>40</c:v>
                </c:pt>
                <c:pt idx="678">
                  <c:v>40</c:v>
                </c:pt>
                <c:pt idx="679">
                  <c:v>40</c:v>
                </c:pt>
                <c:pt idx="680">
                  <c:v>40</c:v>
                </c:pt>
                <c:pt idx="681">
                  <c:v>40</c:v>
                </c:pt>
                <c:pt idx="682">
                  <c:v>40</c:v>
                </c:pt>
                <c:pt idx="683">
                  <c:v>40</c:v>
                </c:pt>
                <c:pt idx="684">
                  <c:v>40</c:v>
                </c:pt>
                <c:pt idx="685">
                  <c:v>40</c:v>
                </c:pt>
                <c:pt idx="686">
                  <c:v>40</c:v>
                </c:pt>
                <c:pt idx="687">
                  <c:v>40</c:v>
                </c:pt>
                <c:pt idx="688">
                  <c:v>40</c:v>
                </c:pt>
                <c:pt idx="689">
                  <c:v>40</c:v>
                </c:pt>
                <c:pt idx="690">
                  <c:v>40</c:v>
                </c:pt>
                <c:pt idx="691">
                  <c:v>40</c:v>
                </c:pt>
                <c:pt idx="692">
                  <c:v>40</c:v>
                </c:pt>
                <c:pt idx="693">
                  <c:v>40</c:v>
                </c:pt>
                <c:pt idx="694">
                  <c:v>40</c:v>
                </c:pt>
                <c:pt idx="695">
                  <c:v>40</c:v>
                </c:pt>
                <c:pt idx="696">
                  <c:v>40</c:v>
                </c:pt>
                <c:pt idx="697">
                  <c:v>40</c:v>
                </c:pt>
                <c:pt idx="698">
                  <c:v>40</c:v>
                </c:pt>
                <c:pt idx="699">
                  <c:v>40</c:v>
                </c:pt>
                <c:pt idx="700">
                  <c:v>40</c:v>
                </c:pt>
                <c:pt idx="701">
                  <c:v>40</c:v>
                </c:pt>
                <c:pt idx="702">
                  <c:v>40</c:v>
                </c:pt>
                <c:pt idx="703">
                  <c:v>40</c:v>
                </c:pt>
                <c:pt idx="704">
                  <c:v>40</c:v>
                </c:pt>
                <c:pt idx="705">
                  <c:v>40</c:v>
                </c:pt>
                <c:pt idx="706">
                  <c:v>40</c:v>
                </c:pt>
                <c:pt idx="707">
                  <c:v>40</c:v>
                </c:pt>
                <c:pt idx="708">
                  <c:v>40</c:v>
                </c:pt>
                <c:pt idx="709">
                  <c:v>40</c:v>
                </c:pt>
                <c:pt idx="710">
                  <c:v>40</c:v>
                </c:pt>
                <c:pt idx="711">
                  <c:v>40</c:v>
                </c:pt>
                <c:pt idx="712">
                  <c:v>40</c:v>
                </c:pt>
                <c:pt idx="713">
                  <c:v>40</c:v>
                </c:pt>
                <c:pt idx="714">
                  <c:v>40</c:v>
                </c:pt>
                <c:pt idx="715">
                  <c:v>40</c:v>
                </c:pt>
                <c:pt idx="716">
                  <c:v>40</c:v>
                </c:pt>
                <c:pt idx="717">
                  <c:v>40</c:v>
                </c:pt>
                <c:pt idx="718">
                  <c:v>40</c:v>
                </c:pt>
                <c:pt idx="719">
                  <c:v>40</c:v>
                </c:pt>
                <c:pt idx="720">
                  <c:v>40</c:v>
                </c:pt>
                <c:pt idx="721">
                  <c:v>40</c:v>
                </c:pt>
                <c:pt idx="722">
                  <c:v>40</c:v>
                </c:pt>
                <c:pt idx="723">
                  <c:v>40</c:v>
                </c:pt>
                <c:pt idx="724">
                  <c:v>40</c:v>
                </c:pt>
                <c:pt idx="725">
                  <c:v>40</c:v>
                </c:pt>
                <c:pt idx="726">
                  <c:v>40</c:v>
                </c:pt>
                <c:pt idx="727">
                  <c:v>40</c:v>
                </c:pt>
                <c:pt idx="728">
                  <c:v>40</c:v>
                </c:pt>
                <c:pt idx="729">
                  <c:v>40</c:v>
                </c:pt>
                <c:pt idx="730">
                  <c:v>40</c:v>
                </c:pt>
                <c:pt idx="731">
                  <c:v>40</c:v>
                </c:pt>
                <c:pt idx="732">
                  <c:v>40</c:v>
                </c:pt>
                <c:pt idx="733">
                  <c:v>40</c:v>
                </c:pt>
                <c:pt idx="734">
                  <c:v>40</c:v>
                </c:pt>
                <c:pt idx="735">
                  <c:v>40</c:v>
                </c:pt>
                <c:pt idx="736">
                  <c:v>40</c:v>
                </c:pt>
                <c:pt idx="737">
                  <c:v>40</c:v>
                </c:pt>
                <c:pt idx="738">
                  <c:v>40</c:v>
                </c:pt>
                <c:pt idx="739">
                  <c:v>40</c:v>
                </c:pt>
                <c:pt idx="740">
                  <c:v>40</c:v>
                </c:pt>
                <c:pt idx="741">
                  <c:v>40</c:v>
                </c:pt>
                <c:pt idx="742">
                  <c:v>40</c:v>
                </c:pt>
                <c:pt idx="743">
                  <c:v>40</c:v>
                </c:pt>
                <c:pt idx="744">
                  <c:v>40</c:v>
                </c:pt>
                <c:pt idx="745">
                  <c:v>40</c:v>
                </c:pt>
                <c:pt idx="746">
                  <c:v>40</c:v>
                </c:pt>
                <c:pt idx="747">
                  <c:v>40</c:v>
                </c:pt>
                <c:pt idx="748">
                  <c:v>40</c:v>
                </c:pt>
                <c:pt idx="749">
                  <c:v>40</c:v>
                </c:pt>
                <c:pt idx="750">
                  <c:v>40</c:v>
                </c:pt>
                <c:pt idx="751">
                  <c:v>40</c:v>
                </c:pt>
                <c:pt idx="752">
                  <c:v>40</c:v>
                </c:pt>
                <c:pt idx="753">
                  <c:v>40</c:v>
                </c:pt>
                <c:pt idx="754">
                  <c:v>40</c:v>
                </c:pt>
                <c:pt idx="755">
                  <c:v>40</c:v>
                </c:pt>
                <c:pt idx="756">
                  <c:v>40</c:v>
                </c:pt>
                <c:pt idx="757">
                  <c:v>40</c:v>
                </c:pt>
                <c:pt idx="758">
                  <c:v>40</c:v>
                </c:pt>
                <c:pt idx="759">
                  <c:v>40</c:v>
                </c:pt>
                <c:pt idx="760">
                  <c:v>40</c:v>
                </c:pt>
                <c:pt idx="761">
                  <c:v>40</c:v>
                </c:pt>
                <c:pt idx="762">
                  <c:v>40</c:v>
                </c:pt>
                <c:pt idx="763">
                  <c:v>40</c:v>
                </c:pt>
                <c:pt idx="764">
                  <c:v>40</c:v>
                </c:pt>
                <c:pt idx="765">
                  <c:v>40</c:v>
                </c:pt>
                <c:pt idx="766">
                  <c:v>40</c:v>
                </c:pt>
                <c:pt idx="767">
                  <c:v>40</c:v>
                </c:pt>
                <c:pt idx="768">
                  <c:v>40</c:v>
                </c:pt>
                <c:pt idx="769">
                  <c:v>40</c:v>
                </c:pt>
                <c:pt idx="770">
                  <c:v>40</c:v>
                </c:pt>
                <c:pt idx="771">
                  <c:v>40</c:v>
                </c:pt>
                <c:pt idx="772">
                  <c:v>40</c:v>
                </c:pt>
                <c:pt idx="773">
                  <c:v>40</c:v>
                </c:pt>
                <c:pt idx="774">
                  <c:v>40</c:v>
                </c:pt>
                <c:pt idx="775">
                  <c:v>40</c:v>
                </c:pt>
                <c:pt idx="776">
                  <c:v>40</c:v>
                </c:pt>
                <c:pt idx="777">
                  <c:v>40</c:v>
                </c:pt>
                <c:pt idx="778">
                  <c:v>40</c:v>
                </c:pt>
                <c:pt idx="779">
                  <c:v>40</c:v>
                </c:pt>
                <c:pt idx="780">
                  <c:v>40</c:v>
                </c:pt>
                <c:pt idx="781">
                  <c:v>40</c:v>
                </c:pt>
                <c:pt idx="782">
                  <c:v>40</c:v>
                </c:pt>
                <c:pt idx="783">
                  <c:v>40</c:v>
                </c:pt>
                <c:pt idx="784">
                  <c:v>40</c:v>
                </c:pt>
                <c:pt idx="785">
                  <c:v>40</c:v>
                </c:pt>
                <c:pt idx="786">
                  <c:v>40</c:v>
                </c:pt>
                <c:pt idx="787">
                  <c:v>40</c:v>
                </c:pt>
                <c:pt idx="788">
                  <c:v>40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40</c:v>
                </c:pt>
                <c:pt idx="794">
                  <c:v>40</c:v>
                </c:pt>
                <c:pt idx="795">
                  <c:v>40</c:v>
                </c:pt>
                <c:pt idx="796">
                  <c:v>40</c:v>
                </c:pt>
                <c:pt idx="797">
                  <c:v>40</c:v>
                </c:pt>
                <c:pt idx="798">
                  <c:v>40</c:v>
                </c:pt>
                <c:pt idx="799">
                  <c:v>40</c:v>
                </c:pt>
                <c:pt idx="800">
                  <c:v>40</c:v>
                </c:pt>
                <c:pt idx="801">
                  <c:v>40</c:v>
                </c:pt>
                <c:pt idx="802">
                  <c:v>40</c:v>
                </c:pt>
                <c:pt idx="803">
                  <c:v>40</c:v>
                </c:pt>
                <c:pt idx="804">
                  <c:v>40</c:v>
                </c:pt>
                <c:pt idx="805">
                  <c:v>40</c:v>
                </c:pt>
                <c:pt idx="806">
                  <c:v>40</c:v>
                </c:pt>
                <c:pt idx="807">
                  <c:v>40</c:v>
                </c:pt>
                <c:pt idx="808">
                  <c:v>40</c:v>
                </c:pt>
                <c:pt idx="809">
                  <c:v>40</c:v>
                </c:pt>
                <c:pt idx="810">
                  <c:v>40</c:v>
                </c:pt>
                <c:pt idx="811">
                  <c:v>40</c:v>
                </c:pt>
                <c:pt idx="812">
                  <c:v>40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40</c:v>
                </c:pt>
                <c:pt idx="817">
                  <c:v>40</c:v>
                </c:pt>
                <c:pt idx="818">
                  <c:v>40</c:v>
                </c:pt>
                <c:pt idx="819">
                  <c:v>40</c:v>
                </c:pt>
                <c:pt idx="820">
                  <c:v>40</c:v>
                </c:pt>
                <c:pt idx="821">
                  <c:v>40</c:v>
                </c:pt>
                <c:pt idx="822">
                  <c:v>40</c:v>
                </c:pt>
                <c:pt idx="823">
                  <c:v>40</c:v>
                </c:pt>
                <c:pt idx="824">
                  <c:v>40</c:v>
                </c:pt>
                <c:pt idx="825">
                  <c:v>40</c:v>
                </c:pt>
                <c:pt idx="826">
                  <c:v>40</c:v>
                </c:pt>
                <c:pt idx="827">
                  <c:v>40</c:v>
                </c:pt>
                <c:pt idx="828">
                  <c:v>40</c:v>
                </c:pt>
                <c:pt idx="829">
                  <c:v>40</c:v>
                </c:pt>
                <c:pt idx="830">
                  <c:v>40</c:v>
                </c:pt>
                <c:pt idx="831">
                  <c:v>40</c:v>
                </c:pt>
                <c:pt idx="832">
                  <c:v>40</c:v>
                </c:pt>
                <c:pt idx="833">
                  <c:v>40</c:v>
                </c:pt>
                <c:pt idx="834">
                  <c:v>40</c:v>
                </c:pt>
                <c:pt idx="835">
                  <c:v>40</c:v>
                </c:pt>
                <c:pt idx="836">
                  <c:v>40</c:v>
                </c:pt>
                <c:pt idx="837">
                  <c:v>40</c:v>
                </c:pt>
                <c:pt idx="838">
                  <c:v>40</c:v>
                </c:pt>
                <c:pt idx="839">
                  <c:v>40</c:v>
                </c:pt>
                <c:pt idx="840">
                  <c:v>40</c:v>
                </c:pt>
                <c:pt idx="841">
                  <c:v>40</c:v>
                </c:pt>
                <c:pt idx="842">
                  <c:v>40</c:v>
                </c:pt>
                <c:pt idx="843">
                  <c:v>40</c:v>
                </c:pt>
                <c:pt idx="844">
                  <c:v>40</c:v>
                </c:pt>
                <c:pt idx="845">
                  <c:v>40</c:v>
                </c:pt>
                <c:pt idx="846">
                  <c:v>40</c:v>
                </c:pt>
                <c:pt idx="847">
                  <c:v>40</c:v>
                </c:pt>
                <c:pt idx="848">
                  <c:v>40</c:v>
                </c:pt>
                <c:pt idx="849">
                  <c:v>40</c:v>
                </c:pt>
                <c:pt idx="850">
                  <c:v>40</c:v>
                </c:pt>
                <c:pt idx="851">
                  <c:v>40</c:v>
                </c:pt>
                <c:pt idx="852">
                  <c:v>40</c:v>
                </c:pt>
                <c:pt idx="853">
                  <c:v>40</c:v>
                </c:pt>
                <c:pt idx="854">
                  <c:v>40</c:v>
                </c:pt>
                <c:pt idx="855">
                  <c:v>40</c:v>
                </c:pt>
                <c:pt idx="856">
                  <c:v>40</c:v>
                </c:pt>
                <c:pt idx="857">
                  <c:v>40</c:v>
                </c:pt>
                <c:pt idx="858">
                  <c:v>40</c:v>
                </c:pt>
                <c:pt idx="859">
                  <c:v>40</c:v>
                </c:pt>
                <c:pt idx="860">
                  <c:v>40</c:v>
                </c:pt>
                <c:pt idx="861">
                  <c:v>40</c:v>
                </c:pt>
                <c:pt idx="862">
                  <c:v>40</c:v>
                </c:pt>
                <c:pt idx="863">
                  <c:v>40</c:v>
                </c:pt>
                <c:pt idx="864">
                  <c:v>40</c:v>
                </c:pt>
                <c:pt idx="865">
                  <c:v>40</c:v>
                </c:pt>
                <c:pt idx="866">
                  <c:v>40</c:v>
                </c:pt>
                <c:pt idx="867">
                  <c:v>40</c:v>
                </c:pt>
                <c:pt idx="868">
                  <c:v>40</c:v>
                </c:pt>
                <c:pt idx="869">
                  <c:v>40</c:v>
                </c:pt>
                <c:pt idx="870">
                  <c:v>40</c:v>
                </c:pt>
                <c:pt idx="871">
                  <c:v>40</c:v>
                </c:pt>
                <c:pt idx="872">
                  <c:v>40</c:v>
                </c:pt>
                <c:pt idx="873">
                  <c:v>40</c:v>
                </c:pt>
                <c:pt idx="874">
                  <c:v>40</c:v>
                </c:pt>
                <c:pt idx="875">
                  <c:v>40</c:v>
                </c:pt>
                <c:pt idx="876">
                  <c:v>40</c:v>
                </c:pt>
                <c:pt idx="877">
                  <c:v>40</c:v>
                </c:pt>
                <c:pt idx="878">
                  <c:v>40</c:v>
                </c:pt>
                <c:pt idx="879">
                  <c:v>40</c:v>
                </c:pt>
                <c:pt idx="880">
                  <c:v>40</c:v>
                </c:pt>
                <c:pt idx="881">
                  <c:v>40</c:v>
                </c:pt>
                <c:pt idx="882">
                  <c:v>40</c:v>
                </c:pt>
                <c:pt idx="883">
                  <c:v>40</c:v>
                </c:pt>
                <c:pt idx="884">
                  <c:v>40</c:v>
                </c:pt>
                <c:pt idx="885">
                  <c:v>40</c:v>
                </c:pt>
                <c:pt idx="886">
                  <c:v>40</c:v>
                </c:pt>
                <c:pt idx="887">
                  <c:v>40</c:v>
                </c:pt>
                <c:pt idx="888">
                  <c:v>40</c:v>
                </c:pt>
                <c:pt idx="889">
                  <c:v>40</c:v>
                </c:pt>
                <c:pt idx="890">
                  <c:v>40</c:v>
                </c:pt>
                <c:pt idx="891">
                  <c:v>40</c:v>
                </c:pt>
                <c:pt idx="892">
                  <c:v>40</c:v>
                </c:pt>
                <c:pt idx="893">
                  <c:v>40</c:v>
                </c:pt>
                <c:pt idx="894">
                  <c:v>40</c:v>
                </c:pt>
                <c:pt idx="895">
                  <c:v>40</c:v>
                </c:pt>
                <c:pt idx="896">
                  <c:v>40</c:v>
                </c:pt>
                <c:pt idx="897">
                  <c:v>40</c:v>
                </c:pt>
                <c:pt idx="898">
                  <c:v>40</c:v>
                </c:pt>
                <c:pt idx="899">
                  <c:v>40</c:v>
                </c:pt>
                <c:pt idx="900">
                  <c:v>40</c:v>
                </c:pt>
                <c:pt idx="901">
                  <c:v>40</c:v>
                </c:pt>
                <c:pt idx="902">
                  <c:v>40</c:v>
                </c:pt>
                <c:pt idx="903">
                  <c:v>40</c:v>
                </c:pt>
                <c:pt idx="904">
                  <c:v>40</c:v>
                </c:pt>
                <c:pt idx="905">
                  <c:v>40</c:v>
                </c:pt>
                <c:pt idx="906">
                  <c:v>40</c:v>
                </c:pt>
                <c:pt idx="907">
                  <c:v>40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40</c:v>
                </c:pt>
                <c:pt idx="916">
                  <c:v>40</c:v>
                </c:pt>
                <c:pt idx="917">
                  <c:v>40</c:v>
                </c:pt>
                <c:pt idx="918">
                  <c:v>40</c:v>
                </c:pt>
                <c:pt idx="919">
                  <c:v>40</c:v>
                </c:pt>
                <c:pt idx="920">
                  <c:v>40</c:v>
                </c:pt>
                <c:pt idx="921">
                  <c:v>40</c:v>
                </c:pt>
                <c:pt idx="922">
                  <c:v>40</c:v>
                </c:pt>
                <c:pt idx="923">
                  <c:v>40</c:v>
                </c:pt>
                <c:pt idx="924">
                  <c:v>40</c:v>
                </c:pt>
                <c:pt idx="925">
                  <c:v>40</c:v>
                </c:pt>
                <c:pt idx="926">
                  <c:v>40</c:v>
                </c:pt>
                <c:pt idx="927">
                  <c:v>40</c:v>
                </c:pt>
                <c:pt idx="928">
                  <c:v>40</c:v>
                </c:pt>
                <c:pt idx="929">
                  <c:v>40</c:v>
                </c:pt>
                <c:pt idx="930">
                  <c:v>40</c:v>
                </c:pt>
                <c:pt idx="931">
                  <c:v>40</c:v>
                </c:pt>
                <c:pt idx="932">
                  <c:v>40</c:v>
                </c:pt>
                <c:pt idx="933">
                  <c:v>40</c:v>
                </c:pt>
                <c:pt idx="934">
                  <c:v>40</c:v>
                </c:pt>
                <c:pt idx="935">
                  <c:v>40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40</c:v>
                </c:pt>
                <c:pt idx="940">
                  <c:v>40</c:v>
                </c:pt>
                <c:pt idx="941">
                  <c:v>40</c:v>
                </c:pt>
                <c:pt idx="942">
                  <c:v>40</c:v>
                </c:pt>
                <c:pt idx="943">
                  <c:v>40</c:v>
                </c:pt>
                <c:pt idx="944">
                  <c:v>40</c:v>
                </c:pt>
                <c:pt idx="945">
                  <c:v>40</c:v>
                </c:pt>
                <c:pt idx="946">
                  <c:v>40</c:v>
                </c:pt>
                <c:pt idx="947">
                  <c:v>40</c:v>
                </c:pt>
                <c:pt idx="948">
                  <c:v>40</c:v>
                </c:pt>
                <c:pt idx="949">
                  <c:v>40</c:v>
                </c:pt>
                <c:pt idx="950">
                  <c:v>40</c:v>
                </c:pt>
                <c:pt idx="951">
                  <c:v>40</c:v>
                </c:pt>
                <c:pt idx="952">
                  <c:v>40</c:v>
                </c:pt>
                <c:pt idx="953">
                  <c:v>40</c:v>
                </c:pt>
                <c:pt idx="954">
                  <c:v>40</c:v>
                </c:pt>
                <c:pt idx="955">
                  <c:v>40</c:v>
                </c:pt>
                <c:pt idx="956">
                  <c:v>40</c:v>
                </c:pt>
                <c:pt idx="957">
                  <c:v>40</c:v>
                </c:pt>
                <c:pt idx="958">
                  <c:v>40</c:v>
                </c:pt>
                <c:pt idx="959">
                  <c:v>40</c:v>
                </c:pt>
                <c:pt idx="960">
                  <c:v>40</c:v>
                </c:pt>
                <c:pt idx="961">
                  <c:v>40</c:v>
                </c:pt>
                <c:pt idx="962">
                  <c:v>40</c:v>
                </c:pt>
                <c:pt idx="963">
                  <c:v>40</c:v>
                </c:pt>
                <c:pt idx="964">
                  <c:v>40</c:v>
                </c:pt>
                <c:pt idx="965">
                  <c:v>40</c:v>
                </c:pt>
                <c:pt idx="966">
                  <c:v>40</c:v>
                </c:pt>
                <c:pt idx="967">
                  <c:v>40</c:v>
                </c:pt>
                <c:pt idx="968">
                  <c:v>40</c:v>
                </c:pt>
                <c:pt idx="969">
                  <c:v>40</c:v>
                </c:pt>
                <c:pt idx="970">
                  <c:v>40</c:v>
                </c:pt>
                <c:pt idx="971">
                  <c:v>40</c:v>
                </c:pt>
                <c:pt idx="972">
                  <c:v>40</c:v>
                </c:pt>
                <c:pt idx="973">
                  <c:v>40</c:v>
                </c:pt>
                <c:pt idx="974">
                  <c:v>40</c:v>
                </c:pt>
                <c:pt idx="975">
                  <c:v>40</c:v>
                </c:pt>
                <c:pt idx="976">
                  <c:v>40</c:v>
                </c:pt>
                <c:pt idx="977">
                  <c:v>40</c:v>
                </c:pt>
                <c:pt idx="978">
                  <c:v>40</c:v>
                </c:pt>
                <c:pt idx="979">
                  <c:v>40</c:v>
                </c:pt>
                <c:pt idx="980">
                  <c:v>40</c:v>
                </c:pt>
                <c:pt idx="981">
                  <c:v>40</c:v>
                </c:pt>
                <c:pt idx="982">
                  <c:v>40</c:v>
                </c:pt>
                <c:pt idx="983">
                  <c:v>40</c:v>
                </c:pt>
                <c:pt idx="984">
                  <c:v>40</c:v>
                </c:pt>
                <c:pt idx="985">
                  <c:v>40</c:v>
                </c:pt>
                <c:pt idx="986">
                  <c:v>40</c:v>
                </c:pt>
                <c:pt idx="987">
                  <c:v>40</c:v>
                </c:pt>
                <c:pt idx="988">
                  <c:v>40</c:v>
                </c:pt>
                <c:pt idx="989">
                  <c:v>40</c:v>
                </c:pt>
                <c:pt idx="990">
                  <c:v>40</c:v>
                </c:pt>
                <c:pt idx="991">
                  <c:v>40</c:v>
                </c:pt>
                <c:pt idx="992">
                  <c:v>40</c:v>
                </c:pt>
                <c:pt idx="993">
                  <c:v>40</c:v>
                </c:pt>
                <c:pt idx="994">
                  <c:v>40</c:v>
                </c:pt>
                <c:pt idx="995">
                  <c:v>40</c:v>
                </c:pt>
                <c:pt idx="996">
                  <c:v>40</c:v>
                </c:pt>
                <c:pt idx="997">
                  <c:v>40</c:v>
                </c:pt>
                <c:pt idx="998">
                  <c:v>40</c:v>
                </c:pt>
                <c:pt idx="999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B3-4165-A8FE-69E14E4CE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109632"/>
        <c:axId val="149881216"/>
      </c:lineChart>
      <c:catAx>
        <c:axId val="113109632"/>
        <c:scaling>
          <c:orientation val="minMax"/>
        </c:scaling>
        <c:delete val="0"/>
        <c:axPos val="b"/>
        <c:majorTickMark val="out"/>
        <c:minorTickMark val="none"/>
        <c:tickLblPos val="nextTo"/>
        <c:crossAx val="149881216"/>
        <c:crosses val="autoZero"/>
        <c:auto val="1"/>
        <c:lblAlgn val="ctr"/>
        <c:lblOffset val="100"/>
        <c:noMultiLvlLbl val="0"/>
      </c:catAx>
      <c:valAx>
        <c:axId val="149881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10963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ru-RU" sz="14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r>
              <a:rPr lang="ru-RU" sz="14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rPr>
              <a:t>Динамика потока отказов в обслуживании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val>
            <c:numRef>
              <c:f>Лист2!$O$526:$O$1525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1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1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1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</c:v>
                </c:pt>
                <c:pt idx="166">
                  <c:v>0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0</c:v>
                </c:pt>
                <c:pt idx="171">
                  <c:v>0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0</c:v>
                </c:pt>
                <c:pt idx="185">
                  <c:v>1</c:v>
                </c:pt>
                <c:pt idx="186">
                  <c:v>1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0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0</c:v>
                </c:pt>
                <c:pt idx="282">
                  <c:v>0</c:v>
                </c:pt>
                <c:pt idx="283">
                  <c:v>1</c:v>
                </c:pt>
                <c:pt idx="284">
                  <c:v>1</c:v>
                </c:pt>
                <c:pt idx="285">
                  <c:v>0</c:v>
                </c:pt>
                <c:pt idx="286">
                  <c:v>0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0</c:v>
                </c:pt>
                <c:pt idx="300">
                  <c:v>0</c:v>
                </c:pt>
                <c:pt idx="301">
                  <c:v>1</c:v>
                </c:pt>
                <c:pt idx="302">
                  <c:v>1</c:v>
                </c:pt>
                <c:pt idx="303">
                  <c:v>0</c:v>
                </c:pt>
                <c:pt idx="304">
                  <c:v>0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0</c:v>
                </c:pt>
                <c:pt idx="311">
                  <c:v>1</c:v>
                </c:pt>
                <c:pt idx="312">
                  <c:v>0</c:v>
                </c:pt>
                <c:pt idx="313">
                  <c:v>0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0</c:v>
                </c:pt>
                <c:pt idx="324">
                  <c:v>1</c:v>
                </c:pt>
                <c:pt idx="325">
                  <c:v>1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1</c:v>
                </c:pt>
                <c:pt idx="331">
                  <c:v>0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0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0</c:v>
                </c:pt>
                <c:pt idx="354">
                  <c:v>0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0</c:v>
                </c:pt>
                <c:pt idx="360">
                  <c:v>0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0</c:v>
                </c:pt>
                <c:pt idx="365">
                  <c:v>0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0</c:v>
                </c:pt>
                <c:pt idx="371">
                  <c:v>1</c:v>
                </c:pt>
                <c:pt idx="372">
                  <c:v>0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0</c:v>
                </c:pt>
                <c:pt idx="377">
                  <c:v>0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0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0</c:v>
                </c:pt>
                <c:pt idx="395">
                  <c:v>0</c:v>
                </c:pt>
                <c:pt idx="396">
                  <c:v>1</c:v>
                </c:pt>
                <c:pt idx="397">
                  <c:v>0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0</c:v>
                </c:pt>
                <c:pt idx="402">
                  <c:v>0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0</c:v>
                </c:pt>
                <c:pt idx="445">
                  <c:v>0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0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0</c:v>
                </c:pt>
                <c:pt idx="467">
                  <c:v>1</c:v>
                </c:pt>
                <c:pt idx="468">
                  <c:v>0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0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0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0</c:v>
                </c:pt>
                <c:pt idx="489">
                  <c:v>1</c:v>
                </c:pt>
                <c:pt idx="490">
                  <c:v>0</c:v>
                </c:pt>
                <c:pt idx="491">
                  <c:v>1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0</c:v>
                </c:pt>
                <c:pt idx="503">
                  <c:v>0</c:v>
                </c:pt>
                <c:pt idx="504">
                  <c:v>1</c:v>
                </c:pt>
                <c:pt idx="505">
                  <c:v>1</c:v>
                </c:pt>
                <c:pt idx="506">
                  <c:v>0</c:v>
                </c:pt>
                <c:pt idx="507">
                  <c:v>1</c:v>
                </c:pt>
                <c:pt idx="508">
                  <c:v>1</c:v>
                </c:pt>
                <c:pt idx="509">
                  <c:v>0</c:v>
                </c:pt>
                <c:pt idx="510">
                  <c:v>1</c:v>
                </c:pt>
                <c:pt idx="511">
                  <c:v>0</c:v>
                </c:pt>
                <c:pt idx="512">
                  <c:v>1</c:v>
                </c:pt>
                <c:pt idx="513">
                  <c:v>1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1</c:v>
                </c:pt>
                <c:pt idx="518">
                  <c:v>1</c:v>
                </c:pt>
                <c:pt idx="519">
                  <c:v>0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0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0</c:v>
                </c:pt>
                <c:pt idx="544">
                  <c:v>1</c:v>
                </c:pt>
                <c:pt idx="545">
                  <c:v>1</c:v>
                </c:pt>
                <c:pt idx="546">
                  <c:v>0</c:v>
                </c:pt>
                <c:pt idx="547">
                  <c:v>1</c:v>
                </c:pt>
                <c:pt idx="548">
                  <c:v>1</c:v>
                </c:pt>
                <c:pt idx="549">
                  <c:v>0</c:v>
                </c:pt>
                <c:pt idx="550">
                  <c:v>1</c:v>
                </c:pt>
                <c:pt idx="551">
                  <c:v>0</c:v>
                </c:pt>
                <c:pt idx="552">
                  <c:v>0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</c:v>
                </c:pt>
                <c:pt idx="567">
                  <c:v>1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1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1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0</c:v>
                </c:pt>
                <c:pt idx="592">
                  <c:v>0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0</c:v>
                </c:pt>
                <c:pt idx="597">
                  <c:v>0</c:v>
                </c:pt>
                <c:pt idx="598">
                  <c:v>1</c:v>
                </c:pt>
                <c:pt idx="599">
                  <c:v>0</c:v>
                </c:pt>
                <c:pt idx="600">
                  <c:v>1</c:v>
                </c:pt>
                <c:pt idx="601">
                  <c:v>1</c:v>
                </c:pt>
                <c:pt idx="602">
                  <c:v>0</c:v>
                </c:pt>
                <c:pt idx="603">
                  <c:v>0</c:v>
                </c:pt>
                <c:pt idx="604">
                  <c:v>1</c:v>
                </c:pt>
                <c:pt idx="605">
                  <c:v>1</c:v>
                </c:pt>
                <c:pt idx="606">
                  <c:v>0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0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0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0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0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0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0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0</c:v>
                </c:pt>
                <c:pt idx="658">
                  <c:v>0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0</c:v>
                </c:pt>
                <c:pt idx="663">
                  <c:v>1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0</c:v>
                </c:pt>
                <c:pt idx="672">
                  <c:v>1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63-4B93-A7D4-937F73716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917696"/>
        <c:axId val="149919232"/>
      </c:barChart>
      <c:catAx>
        <c:axId val="149917696"/>
        <c:scaling>
          <c:orientation val="minMax"/>
        </c:scaling>
        <c:delete val="0"/>
        <c:axPos val="b"/>
        <c:majorTickMark val="out"/>
        <c:minorTickMark val="none"/>
        <c:tickLblPos val="nextTo"/>
        <c:crossAx val="149919232"/>
        <c:crosses val="autoZero"/>
        <c:auto val="1"/>
        <c:lblAlgn val="ctr"/>
        <c:lblOffset val="100"/>
        <c:noMultiLvlLbl val="0"/>
      </c:catAx>
      <c:valAx>
        <c:axId val="149919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991769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ru-RU" sz="14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r>
              <a:rPr lang="ru-RU" sz="1400" b="1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rPr>
              <a:t>Динамика накопления отказов в СМО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Vert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val>
            <c:numRef>
              <c:f>Лист2!$Q$526:$Q$1525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7-43C5-B42C-5FB550A10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120384"/>
        <c:axId val="113121920"/>
      </c:barChart>
      <c:catAx>
        <c:axId val="113120384"/>
        <c:scaling>
          <c:orientation val="minMax"/>
        </c:scaling>
        <c:delete val="0"/>
        <c:axPos val="b"/>
        <c:majorTickMark val="out"/>
        <c:minorTickMark val="none"/>
        <c:tickLblPos val="nextTo"/>
        <c:crossAx val="113121920"/>
        <c:crosses val="autoZero"/>
        <c:auto val="1"/>
        <c:lblAlgn val="ctr"/>
        <c:lblOffset val="100"/>
        <c:noMultiLvlLbl val="0"/>
      </c:catAx>
      <c:valAx>
        <c:axId val="113121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12038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57150"/>
          </c:spPr>
          <c:marker>
            <c:symbol val="none"/>
          </c:marker>
          <c:cat>
            <c:numRef>
              <c:f>Лист2!$J$1531:$S$1531</c:f>
              <c:numCache>
                <c:formatCode>General</c:formatCode>
                <c:ptCount val="10"/>
                <c:pt idx="0">
                  <c:v>5</c:v>
                </c:pt>
                <c:pt idx="1">
                  <c:v>50</c:v>
                </c:pt>
                <c:pt idx="2">
                  <c:v>85</c:v>
                </c:pt>
                <c:pt idx="3">
                  <c:v>115</c:v>
                </c:pt>
                <c:pt idx="4">
                  <c:v>160</c:v>
                </c:pt>
                <c:pt idx="5">
                  <c:v>205</c:v>
                </c:pt>
                <c:pt idx="6">
                  <c:v>250</c:v>
                </c:pt>
                <c:pt idx="7">
                  <c:v>295</c:v>
                </c:pt>
                <c:pt idx="8">
                  <c:v>340</c:v>
                </c:pt>
                <c:pt idx="9">
                  <c:v>385</c:v>
                </c:pt>
              </c:numCache>
            </c:numRef>
          </c:cat>
          <c:val>
            <c:numRef>
              <c:f>Лист2!$J$1530:$S$1530</c:f>
              <c:numCache>
                <c:formatCode>General</c:formatCode>
                <c:ptCount val="10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8D-4DA1-92F3-A33B9D9B8F12}"/>
            </c:ext>
          </c:extLst>
        </c:ser>
        <c:ser>
          <c:idx val="1"/>
          <c:order val="1"/>
          <c:spPr>
            <a:ln w="38100"/>
          </c:spPr>
          <c:marker>
            <c:symbol val="none"/>
          </c:marker>
          <c:cat>
            <c:numRef>
              <c:f>Лист2!$J$1531:$S$1531</c:f>
              <c:numCache>
                <c:formatCode>General</c:formatCode>
                <c:ptCount val="10"/>
                <c:pt idx="0">
                  <c:v>5</c:v>
                </c:pt>
                <c:pt idx="1">
                  <c:v>50</c:v>
                </c:pt>
                <c:pt idx="2">
                  <c:v>85</c:v>
                </c:pt>
                <c:pt idx="3">
                  <c:v>115</c:v>
                </c:pt>
                <c:pt idx="4">
                  <c:v>160</c:v>
                </c:pt>
                <c:pt idx="5">
                  <c:v>205</c:v>
                </c:pt>
                <c:pt idx="6">
                  <c:v>250</c:v>
                </c:pt>
                <c:pt idx="7">
                  <c:v>295</c:v>
                </c:pt>
                <c:pt idx="8">
                  <c:v>340</c:v>
                </c:pt>
                <c:pt idx="9">
                  <c:v>385</c:v>
                </c:pt>
              </c:numCache>
            </c:numRef>
          </c:cat>
          <c:val>
            <c:numRef>
              <c:f>Лист2!$J$1532:$S$1532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8D-4DA1-92F3-A33B9D9B8F12}"/>
            </c:ext>
          </c:extLst>
        </c:ser>
        <c:ser>
          <c:idx val="2"/>
          <c:order val="2"/>
          <c:spPr>
            <a:ln w="38100"/>
          </c:spPr>
          <c:marker>
            <c:symbol val="none"/>
          </c:marker>
          <c:cat>
            <c:numRef>
              <c:f>Лист2!$J$1531:$S$1531</c:f>
              <c:numCache>
                <c:formatCode>General</c:formatCode>
                <c:ptCount val="10"/>
                <c:pt idx="0">
                  <c:v>5</c:v>
                </c:pt>
                <c:pt idx="1">
                  <c:v>50</c:v>
                </c:pt>
                <c:pt idx="2">
                  <c:v>85</c:v>
                </c:pt>
                <c:pt idx="3">
                  <c:v>115</c:v>
                </c:pt>
                <c:pt idx="4">
                  <c:v>160</c:v>
                </c:pt>
                <c:pt idx="5">
                  <c:v>205</c:v>
                </c:pt>
                <c:pt idx="6">
                  <c:v>250</c:v>
                </c:pt>
                <c:pt idx="7">
                  <c:v>295</c:v>
                </c:pt>
                <c:pt idx="8">
                  <c:v>340</c:v>
                </c:pt>
                <c:pt idx="9">
                  <c:v>385</c:v>
                </c:pt>
              </c:numCache>
            </c:numRef>
          </c:cat>
          <c:val>
            <c:numRef>
              <c:f>Лист2!$J$1534:$S$1534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8D-4DA1-92F3-A33B9D9B8F12}"/>
            </c:ext>
          </c:extLst>
        </c:ser>
        <c:ser>
          <c:idx val="3"/>
          <c:order val="3"/>
          <c:spPr>
            <a:ln w="38100"/>
          </c:spPr>
          <c:marker>
            <c:symbol val="none"/>
          </c:marker>
          <c:cat>
            <c:numRef>
              <c:f>Лист2!$J$1531:$S$1531</c:f>
              <c:numCache>
                <c:formatCode>General</c:formatCode>
                <c:ptCount val="10"/>
                <c:pt idx="0">
                  <c:v>5</c:v>
                </c:pt>
                <c:pt idx="1">
                  <c:v>50</c:v>
                </c:pt>
                <c:pt idx="2">
                  <c:v>85</c:v>
                </c:pt>
                <c:pt idx="3">
                  <c:v>115</c:v>
                </c:pt>
                <c:pt idx="4">
                  <c:v>160</c:v>
                </c:pt>
                <c:pt idx="5">
                  <c:v>205</c:v>
                </c:pt>
                <c:pt idx="6">
                  <c:v>250</c:v>
                </c:pt>
                <c:pt idx="7">
                  <c:v>295</c:v>
                </c:pt>
                <c:pt idx="8">
                  <c:v>340</c:v>
                </c:pt>
                <c:pt idx="9">
                  <c:v>385</c:v>
                </c:pt>
              </c:numCache>
            </c:numRef>
          </c:cat>
          <c:val>
            <c:numRef>
              <c:f>Лист2!$J$1536:$S$1536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8D-4DA1-92F3-A33B9D9B8F12}"/>
            </c:ext>
          </c:extLst>
        </c:ser>
        <c:ser>
          <c:idx val="4"/>
          <c:order val="4"/>
          <c:tx>
            <c:v>Ряд5</c:v>
          </c:tx>
          <c:spPr>
            <a:ln w="57150"/>
          </c:spPr>
          <c:marker>
            <c:symbol val="none"/>
          </c:marker>
          <c:cat>
            <c:numRef>
              <c:f>Лист2!$J$1531:$S$1531</c:f>
              <c:numCache>
                <c:formatCode>General</c:formatCode>
                <c:ptCount val="10"/>
                <c:pt idx="0">
                  <c:v>5</c:v>
                </c:pt>
                <c:pt idx="1">
                  <c:v>50</c:v>
                </c:pt>
                <c:pt idx="2">
                  <c:v>85</c:v>
                </c:pt>
                <c:pt idx="3">
                  <c:v>115</c:v>
                </c:pt>
                <c:pt idx="4">
                  <c:v>160</c:v>
                </c:pt>
                <c:pt idx="5">
                  <c:v>205</c:v>
                </c:pt>
                <c:pt idx="6">
                  <c:v>250</c:v>
                </c:pt>
                <c:pt idx="7">
                  <c:v>295</c:v>
                </c:pt>
                <c:pt idx="8">
                  <c:v>340</c:v>
                </c:pt>
                <c:pt idx="9">
                  <c:v>385</c:v>
                </c:pt>
              </c:numCache>
            </c:numRef>
          </c:cat>
          <c:val>
            <c:numRef>
              <c:f>Лист2!$J$1537:$S$1537</c:f>
              <c:numCache>
                <c:formatCode>General</c:formatCode>
                <c:ptCount val="10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8D-4DA1-92F3-A33B9D9B8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161728"/>
        <c:axId val="113163264"/>
      </c:lineChart>
      <c:catAx>
        <c:axId val="11316172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13163264"/>
        <c:crosses val="autoZero"/>
        <c:auto val="1"/>
        <c:lblAlgn val="ctr"/>
        <c:lblOffset val="100"/>
        <c:noMultiLvlLbl val="0"/>
      </c:catAx>
      <c:valAx>
        <c:axId val="11316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16172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Лист2!$AB$1533:$AR$1533</c:f>
              <c:numCache>
                <c:formatCode>General</c:formatCode>
                <c:ptCount val="17"/>
                <c:pt idx="0">
                  <c:v>5</c:v>
                </c:pt>
                <c:pt idx="1">
                  <c:v>50</c:v>
                </c:pt>
                <c:pt idx="2">
                  <c:v>85</c:v>
                </c:pt>
                <c:pt idx="3">
                  <c:v>115</c:v>
                </c:pt>
                <c:pt idx="4">
                  <c:v>160</c:v>
                </c:pt>
                <c:pt idx="5">
                  <c:v>205</c:v>
                </c:pt>
                <c:pt idx="6">
                  <c:v>250</c:v>
                </c:pt>
                <c:pt idx="7">
                  <c:v>295</c:v>
                </c:pt>
                <c:pt idx="8">
                  <c:v>340</c:v>
                </c:pt>
                <c:pt idx="9">
                  <c:v>385</c:v>
                </c:pt>
                <c:pt idx="10">
                  <c:v>400</c:v>
                </c:pt>
                <c:pt idx="11">
                  <c:v>415</c:v>
                </c:pt>
                <c:pt idx="12">
                  <c:v>430</c:v>
                </c:pt>
                <c:pt idx="13">
                  <c:v>445</c:v>
                </c:pt>
                <c:pt idx="14">
                  <c:v>460</c:v>
                </c:pt>
                <c:pt idx="15">
                  <c:v>475</c:v>
                </c:pt>
                <c:pt idx="16">
                  <c:v>490</c:v>
                </c:pt>
              </c:numCache>
            </c:numRef>
          </c:cat>
          <c:val>
            <c:numRef>
              <c:f>Лист2!$AB$1539:$AR$1539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701.6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633.4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28-4914-8713-FF916899C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244032"/>
        <c:axId val="113245568"/>
      </c:lineChart>
      <c:catAx>
        <c:axId val="1132440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13245568"/>
        <c:crosses val="autoZero"/>
        <c:auto val="1"/>
        <c:lblAlgn val="ctr"/>
        <c:lblOffset val="100"/>
        <c:noMultiLvlLbl val="0"/>
      </c:catAx>
      <c:valAx>
        <c:axId val="113245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24403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5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504825</xdr:colOff>
      <xdr:row>7</xdr:row>
      <xdr:rowOff>47625</xdr:rowOff>
    </xdr:from>
    <xdr:ext cx="1905000" cy="47269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33625" y="1876425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499382</xdr:colOff>
      <xdr:row>7</xdr:row>
      <xdr:rowOff>47625</xdr:rowOff>
    </xdr:from>
    <xdr:ext cx="1905000" cy="472694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376182" y="1876425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11</xdr:col>
      <xdr:colOff>342900</xdr:colOff>
      <xdr:row>510</xdr:row>
      <xdr:rowOff>0</xdr:rowOff>
    </xdr:from>
    <xdr:to>
      <xdr:col>13</xdr:col>
      <xdr:colOff>438150</xdr:colOff>
      <xdr:row>510</xdr:row>
      <xdr:rowOff>0</xdr:rowOff>
    </xdr:to>
    <xdr:cxnSp macro="">
      <xdr:nvCxnSpPr>
        <xdr:cNvPr id="5" name="Прямая со стрелкой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>
          <a:endCxn id="7" idx="1"/>
        </xdr:cNvCxnSpPr>
      </xdr:nvCxnSpPr>
      <xdr:spPr>
        <a:xfrm>
          <a:off x="952500" y="111185325"/>
          <a:ext cx="1314450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438150</xdr:colOff>
      <xdr:row>507</xdr:row>
      <xdr:rowOff>57150</xdr:rowOff>
    </xdr:from>
    <xdr:to>
      <xdr:col>15</xdr:col>
      <xdr:colOff>361950</xdr:colOff>
      <xdr:row>512</xdr:row>
      <xdr:rowOff>133350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8892250" y="100820694"/>
          <a:ext cx="1224431" cy="1065811"/>
          <a:chOff x="2259806" y="126692025"/>
          <a:chExt cx="1138238" cy="1028700"/>
        </a:xfrm>
      </xdr:grpSpPr>
      <xdr:sp macro="" textlink="">
        <xdr:nvSpPr>
          <xdr:cNvPr id="7" name="Прямоугольник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259806" y="126692025"/>
            <a:ext cx="1138238" cy="1028700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2259807" y="126998049"/>
            <a:ext cx="1127521" cy="4166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ru-RU" sz="1100" b="1">
                <a:latin typeface="Times New Roman" pitchFamily="18" charset="0"/>
                <a:cs typeface="Times New Roman" pitchFamily="18" charset="0"/>
              </a:rPr>
              <a:t>Накопитель</a:t>
            </a:r>
            <a:r>
              <a:rPr lang="en-US" sz="1100" b="1">
                <a:latin typeface="Times New Roman" pitchFamily="18" charset="0"/>
                <a:cs typeface="Times New Roman" pitchFamily="18" charset="0"/>
              </a:rPr>
              <a:t> </a:t>
            </a:r>
            <a:r>
              <a:rPr lang="ru-RU" sz="1100" b="1">
                <a:latin typeface="Times New Roman" pitchFamily="18" charset="0"/>
                <a:cs typeface="Times New Roman" pitchFamily="18" charset="0"/>
              </a:rPr>
              <a:t>/ очередь</a:t>
            </a:r>
          </a:p>
        </xdr:txBody>
      </xdr:sp>
    </xdr:grpSp>
    <xdr:clientData/>
  </xdr:twoCellAnchor>
  <xdr:twoCellAnchor>
    <xdr:from>
      <xdr:col>17</xdr:col>
      <xdr:colOff>0</xdr:colOff>
      <xdr:row>507</xdr:row>
      <xdr:rowOff>57150</xdr:rowOff>
    </xdr:from>
    <xdr:to>
      <xdr:col>19</xdr:col>
      <xdr:colOff>4762</xdr:colOff>
      <xdr:row>512</xdr:row>
      <xdr:rowOff>133350</xdr:rowOff>
    </xdr:to>
    <xdr:grpSp>
      <xdr:nvGrpSpPr>
        <xdr:cNvPr id="9" name="Групп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1055362" y="100820694"/>
          <a:ext cx="1305392" cy="1065811"/>
          <a:chOff x="4250531" y="126692025"/>
          <a:chExt cx="1219200" cy="1028700"/>
        </a:xfrm>
      </xdr:grpSpPr>
      <xdr:sp macro="" textlink="">
        <xdr:nvSpPr>
          <xdr:cNvPr id="10" name="Прямоугольник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4250531" y="126692025"/>
            <a:ext cx="1214438" cy="1028700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4250531" y="126801725"/>
            <a:ext cx="1219200" cy="800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ru-RU" sz="1200" b="1">
                <a:latin typeface="Times New Roman" pitchFamily="18" charset="0"/>
                <a:cs typeface="Times New Roman" pitchFamily="18" charset="0"/>
              </a:rPr>
              <a:t>Прибор</a:t>
            </a:r>
            <a:r>
              <a:rPr lang="en-US" sz="1200" b="1">
                <a:latin typeface="Times New Roman" pitchFamily="18" charset="0"/>
                <a:cs typeface="Times New Roman" pitchFamily="18" charset="0"/>
              </a:rPr>
              <a:t> </a:t>
            </a:r>
            <a:r>
              <a:rPr lang="ru-RU" sz="1200" b="1">
                <a:latin typeface="Times New Roman" pitchFamily="18" charset="0"/>
                <a:cs typeface="Times New Roman" pitchFamily="18" charset="0"/>
              </a:rPr>
              <a:t>/ канал обслуживания (приложение)</a:t>
            </a:r>
          </a:p>
        </xdr:txBody>
      </xdr:sp>
    </xdr:grpSp>
    <xdr:clientData/>
  </xdr:twoCellAnchor>
  <xdr:twoCellAnchor>
    <xdr:from>
      <xdr:col>15</xdr:col>
      <xdr:colOff>351234</xdr:colOff>
      <xdr:row>509</xdr:row>
      <xdr:rowOff>185960</xdr:rowOff>
    </xdr:from>
    <xdr:to>
      <xdr:col>17</xdr:col>
      <xdr:colOff>0</xdr:colOff>
      <xdr:row>510</xdr:row>
      <xdr:rowOff>1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>
          <a:stCxn id="8" idx="3"/>
          <a:endCxn id="11" idx="1"/>
        </xdr:cNvCxnSpPr>
      </xdr:nvCxnSpPr>
      <xdr:spPr>
        <a:xfrm flipV="1">
          <a:off x="3399234" y="111171260"/>
          <a:ext cx="867966" cy="14066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509</xdr:row>
      <xdr:rowOff>180975</xdr:rowOff>
    </xdr:from>
    <xdr:to>
      <xdr:col>21</xdr:col>
      <xdr:colOff>352425</xdr:colOff>
      <xdr:row>509</xdr:row>
      <xdr:rowOff>180975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5486400" y="111166275"/>
          <a:ext cx="1762125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236469</xdr:colOff>
      <xdr:row>506</xdr:row>
      <xdr:rowOff>147637</xdr:rowOff>
    </xdr:from>
    <xdr:to>
      <xdr:col>12</xdr:col>
      <xdr:colOff>238125</xdr:colOff>
      <xdr:row>509</xdr:row>
      <xdr:rowOff>180975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>
          <a:stCxn id="18" idx="4"/>
        </xdr:cNvCxnSpPr>
      </xdr:nvCxnSpPr>
      <xdr:spPr>
        <a:xfrm>
          <a:off x="7584326" y="98622530"/>
          <a:ext cx="1656" cy="645659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506</xdr:row>
      <xdr:rowOff>147636</xdr:rowOff>
    </xdr:from>
    <xdr:to>
      <xdr:col>16</xdr:col>
      <xdr:colOff>123829</xdr:colOff>
      <xdr:row>509</xdr:row>
      <xdr:rowOff>171450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>
          <a:off x="3781425" y="110475711"/>
          <a:ext cx="4" cy="681039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61073</xdr:colOff>
      <xdr:row>506</xdr:row>
      <xdr:rowOff>119062</xdr:rowOff>
    </xdr:from>
    <xdr:to>
      <xdr:col>20</xdr:col>
      <xdr:colOff>61073</xdr:colOff>
      <xdr:row>509</xdr:row>
      <xdr:rowOff>152400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6157073" y="110447137"/>
          <a:ext cx="0" cy="690563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552450</xdr:colOff>
      <xdr:row>504</xdr:row>
      <xdr:rowOff>0</xdr:rowOff>
    </xdr:from>
    <xdr:to>
      <xdr:col>12</xdr:col>
      <xdr:colOff>533400</xdr:colOff>
      <xdr:row>506</xdr:row>
      <xdr:rowOff>147637</xdr:rowOff>
    </xdr:to>
    <xdr:grpSp>
      <xdr:nvGrpSpPr>
        <xdr:cNvPr id="17" name="Группа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7705919" y="100169778"/>
          <a:ext cx="631265" cy="543481"/>
          <a:chOff x="5848350" y="105013125"/>
          <a:chExt cx="590550" cy="538162"/>
        </a:xfrm>
      </xdr:grpSpPr>
      <xdr:sp macro="" textlink="">
        <xdr:nvSpPr>
          <xdr:cNvPr id="18" name="Овал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5848350" y="10501312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5953125" y="10506075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𝟏/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𝒊 </a:t>
            </a:r>
            <a:endParaRPr lang="ru-RU" sz="1100" b="1"/>
          </a:p>
        </xdr:txBody>
      </xdr:sp>
    </xdr:grpSp>
    <xdr:clientData/>
  </xdr:twoCellAnchor>
  <xdr:twoCellAnchor>
    <xdr:from>
      <xdr:col>15</xdr:col>
      <xdr:colOff>425822</xdr:colOff>
      <xdr:row>504</xdr:row>
      <xdr:rowOff>41412</xdr:rowOff>
    </xdr:from>
    <xdr:to>
      <xdr:col>16</xdr:col>
      <xdr:colOff>419100</xdr:colOff>
      <xdr:row>506</xdr:row>
      <xdr:rowOff>166686</xdr:rowOff>
    </xdr:to>
    <xdr:grpSp>
      <xdr:nvGrpSpPr>
        <xdr:cNvPr id="20" name="Группа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10180553" y="100211190"/>
          <a:ext cx="643594" cy="521118"/>
          <a:chOff x="8362950" y="105032175"/>
          <a:chExt cx="590550" cy="538162"/>
        </a:xfrm>
      </xdr:grpSpPr>
      <xdr:sp macro="" textlink="">
        <xdr:nvSpPr>
          <xdr:cNvPr id="21" name="Овал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836295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8458200" y="105070275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𝟐/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𝒋 </a:t>
            </a:r>
            <a:endParaRPr lang="ru-RU" sz="1100" b="1"/>
          </a:p>
        </xdr:txBody>
      </xdr:sp>
    </xdr:grpSp>
    <xdr:clientData/>
  </xdr:twoCellAnchor>
  <xdr:twoCellAnchor>
    <xdr:from>
      <xdr:col>19</xdr:col>
      <xdr:colOff>369794</xdr:colOff>
      <xdr:row>504</xdr:row>
      <xdr:rowOff>9524</xdr:rowOff>
    </xdr:from>
    <xdr:to>
      <xdr:col>20</xdr:col>
      <xdr:colOff>342900</xdr:colOff>
      <xdr:row>506</xdr:row>
      <xdr:rowOff>123265</xdr:rowOff>
    </xdr:to>
    <xdr:grpSp>
      <xdr:nvGrpSpPr>
        <xdr:cNvPr id="23" name="Группа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2725786" y="100179302"/>
          <a:ext cx="623422" cy="509585"/>
          <a:chOff x="10782300" y="105032175"/>
          <a:chExt cx="590550" cy="538162"/>
        </a:xfrm>
      </xdr:grpSpPr>
      <xdr:sp macro="" textlink="">
        <xdr:nvSpPr>
          <xdr:cNvPr id="24" name="Овал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1078230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10887075" y="10507980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𝟑/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𝒌 </a:t>
            </a:r>
            <a:endParaRPr lang="ru-RU" sz="1100" b="1"/>
          </a:p>
        </xdr:txBody>
      </xdr:sp>
    </xdr:grpSp>
    <xdr:clientData/>
  </xdr:twoCellAnchor>
  <xdr:twoCellAnchor>
    <xdr:from>
      <xdr:col>13</xdr:col>
      <xdr:colOff>371474</xdr:colOff>
      <xdr:row>502</xdr:row>
      <xdr:rowOff>173935</xdr:rowOff>
    </xdr:from>
    <xdr:to>
      <xdr:col>14</xdr:col>
      <xdr:colOff>209550</xdr:colOff>
      <xdr:row>504</xdr:row>
      <xdr:rowOff>152401</xdr:rowOff>
    </xdr:to>
    <xdr:grpSp>
      <xdr:nvGrpSpPr>
        <xdr:cNvPr id="26" name="Группа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8825574" y="99947869"/>
          <a:ext cx="488392" cy="374310"/>
          <a:chOff x="6562725" y="107461050"/>
          <a:chExt cx="457200" cy="409576"/>
        </a:xfrm>
      </xdr:grpSpPr>
      <xdr:sp macro="" textlink="">
        <xdr:nvSpPr>
          <xdr:cNvPr id="27" name="Овал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6562725" y="107461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6629400" y="107546775"/>
            <a:ext cx="326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+1</a:t>
            </a:r>
            <a:endParaRPr lang="ru-RU" sz="1100" b="1"/>
          </a:p>
        </xdr:txBody>
      </xdr:sp>
    </xdr:grpSp>
    <xdr:clientData/>
  </xdr:twoCellAnchor>
  <xdr:twoCellAnchor>
    <xdr:from>
      <xdr:col>16</xdr:col>
      <xdr:colOff>605118</xdr:colOff>
      <xdr:row>502</xdr:row>
      <xdr:rowOff>74589</xdr:rowOff>
    </xdr:from>
    <xdr:to>
      <xdr:col>17</xdr:col>
      <xdr:colOff>447675</xdr:colOff>
      <xdr:row>504</xdr:row>
      <xdr:rowOff>85772</xdr:rowOff>
    </xdr:to>
    <xdr:grpSp>
      <xdr:nvGrpSpPr>
        <xdr:cNvPr id="29" name="Группа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11010165" y="99848523"/>
          <a:ext cx="492872" cy="407027"/>
          <a:chOff x="9296400" y="107666264"/>
          <a:chExt cx="457200" cy="394861"/>
        </a:xfrm>
      </xdr:grpSpPr>
      <xdr:sp macro="" textlink="">
        <xdr:nvSpPr>
          <xdr:cNvPr id="30" name="Овал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9296400" y="107666264"/>
            <a:ext cx="457200" cy="394861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9363075" y="1077372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21</xdr:col>
      <xdr:colOff>38100</xdr:colOff>
      <xdr:row>502</xdr:row>
      <xdr:rowOff>124238</xdr:rowOff>
    </xdr:from>
    <xdr:to>
      <xdr:col>21</xdr:col>
      <xdr:colOff>515470</xdr:colOff>
      <xdr:row>504</xdr:row>
      <xdr:rowOff>133351</xdr:rowOff>
    </xdr:to>
    <xdr:grpSp>
      <xdr:nvGrpSpPr>
        <xdr:cNvPr id="32" name="Группа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694723" y="99898172"/>
          <a:ext cx="477370" cy="404957"/>
          <a:chOff x="11734800" y="107842050"/>
          <a:chExt cx="457200" cy="409576"/>
        </a:xfrm>
      </xdr:grpSpPr>
      <xdr:sp macro="" textlink="">
        <xdr:nvSpPr>
          <xdr:cNvPr id="33" name="Овал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11734800" y="107842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11801475" y="1079277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12</xdr:col>
      <xdr:colOff>446915</xdr:colOff>
      <xdr:row>503</xdr:row>
      <xdr:rowOff>43053</xdr:rowOff>
    </xdr:from>
    <xdr:to>
      <xdr:col>13</xdr:col>
      <xdr:colOff>437034</xdr:colOff>
      <xdr:row>504</xdr:row>
      <xdr:rowOff>85788</xdr:rowOff>
    </xdr:to>
    <xdr:cxnSp macro="">
      <xdr:nvCxnSpPr>
        <xdr:cNvPr id="35" name="Скругленная соединительная линия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>
          <a:stCxn id="18" idx="7"/>
          <a:endCxn id="27" idx="1"/>
        </xdr:cNvCxnSpPr>
      </xdr:nvCxnSpPr>
      <xdr:spPr>
        <a:xfrm rot="5400000" flipH="1" flipV="1">
          <a:off x="7972571" y="97727825"/>
          <a:ext cx="246843" cy="602441"/>
        </a:xfrm>
        <a:prstGeom prst="curvedConnector3">
          <a:avLst>
            <a:gd name="adj1" fmla="val 202619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143988</xdr:colOff>
      <xdr:row>504</xdr:row>
      <xdr:rowOff>92784</xdr:rowOff>
    </xdr:from>
    <xdr:to>
      <xdr:col>14</xdr:col>
      <xdr:colOff>400049</xdr:colOff>
      <xdr:row>507</xdr:row>
      <xdr:rowOff>57150</xdr:rowOff>
    </xdr:to>
    <xdr:cxnSp macro="">
      <xdr:nvCxnSpPr>
        <xdr:cNvPr id="36" name="Скругленная соединительная линия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>
          <a:stCxn id="27" idx="5"/>
          <a:endCxn id="7" idx="0"/>
        </xdr:cNvCxnSpPr>
      </xdr:nvCxnSpPr>
      <xdr:spPr>
        <a:xfrm rot="16200000" flipH="1">
          <a:off x="8556175" y="98319776"/>
          <a:ext cx="576687" cy="256061"/>
        </a:xfrm>
        <a:prstGeom prst="curvedConnector3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28576</xdr:colOff>
      <xdr:row>505</xdr:row>
      <xdr:rowOff>84999</xdr:rowOff>
    </xdr:from>
    <xdr:to>
      <xdr:col>15</xdr:col>
      <xdr:colOff>425822</xdr:colOff>
      <xdr:row>507</xdr:row>
      <xdr:rowOff>38106</xdr:rowOff>
    </xdr:to>
    <xdr:cxnSp macro="">
      <xdr:nvCxnSpPr>
        <xdr:cNvPr id="37" name="Скругленная соединительная линия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>
          <a:endCxn id="21" idx="2"/>
        </xdr:cNvCxnSpPr>
      </xdr:nvCxnSpPr>
      <xdr:spPr>
        <a:xfrm flipV="1">
          <a:off x="3076576" y="110213049"/>
          <a:ext cx="397246" cy="353157"/>
        </a:xfrm>
        <a:prstGeom prst="curvedConnector3">
          <a:avLst>
            <a:gd name="adj1" fmla="val 50000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330810</xdr:colOff>
      <xdr:row>503</xdr:row>
      <xdr:rowOff>103994</xdr:rowOff>
    </xdr:from>
    <xdr:to>
      <xdr:col>16</xdr:col>
      <xdr:colOff>605117</xdr:colOff>
      <xdr:row>504</xdr:row>
      <xdr:rowOff>123925</xdr:rowOff>
    </xdr:to>
    <xdr:cxnSp macro="">
      <xdr:nvCxnSpPr>
        <xdr:cNvPr id="38" name="Скругленная соединительная линия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>
          <a:stCxn id="21" idx="7"/>
          <a:endCxn id="30" idx="2"/>
        </xdr:cNvCxnSpPr>
      </xdr:nvCxnSpPr>
      <xdr:spPr>
        <a:xfrm rot="5400000" flipH="1" flipV="1">
          <a:off x="4015586" y="109804818"/>
          <a:ext cx="219956" cy="274307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333370</xdr:colOff>
      <xdr:row>504</xdr:row>
      <xdr:rowOff>21364</xdr:rowOff>
    </xdr:from>
    <xdr:to>
      <xdr:col>17</xdr:col>
      <xdr:colOff>381459</xdr:colOff>
      <xdr:row>507</xdr:row>
      <xdr:rowOff>66673</xdr:rowOff>
    </xdr:to>
    <xdr:cxnSp macro="">
      <xdr:nvCxnSpPr>
        <xdr:cNvPr id="39" name="Скругленная соединительная линия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>
          <a:stCxn id="30" idx="5"/>
        </xdr:cNvCxnSpPr>
      </xdr:nvCxnSpPr>
      <xdr:spPr>
        <a:xfrm rot="5400000">
          <a:off x="4301923" y="110248036"/>
          <a:ext cx="645384" cy="48089"/>
        </a:xfrm>
        <a:prstGeom prst="curvedConnector3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304800</xdr:colOff>
      <xdr:row>504</xdr:row>
      <xdr:rowOff>90347</xdr:rowOff>
    </xdr:from>
    <xdr:to>
      <xdr:col>19</xdr:col>
      <xdr:colOff>455129</xdr:colOff>
      <xdr:row>507</xdr:row>
      <xdr:rowOff>57151</xdr:rowOff>
    </xdr:to>
    <xdr:cxnSp macro="">
      <xdr:nvCxnSpPr>
        <xdr:cNvPr id="40" name="Скругленная соединительная линия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>
          <a:endCxn id="24" idx="1"/>
        </xdr:cNvCxnSpPr>
      </xdr:nvCxnSpPr>
      <xdr:spPr>
        <a:xfrm flipV="1">
          <a:off x="5181600" y="110018372"/>
          <a:ext cx="759929" cy="566879"/>
        </a:xfrm>
        <a:prstGeom prst="curvedConnector4">
          <a:avLst>
            <a:gd name="adj1" fmla="val 44385"/>
            <a:gd name="adj2" fmla="val 151964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257565</xdr:colOff>
      <xdr:row>503</xdr:row>
      <xdr:rowOff>152608</xdr:rowOff>
    </xdr:from>
    <xdr:to>
      <xdr:col>21</xdr:col>
      <xdr:colOff>38100</xdr:colOff>
      <xdr:row>504</xdr:row>
      <xdr:rowOff>90348</xdr:rowOff>
    </xdr:to>
    <xdr:cxnSp macro="">
      <xdr:nvCxnSpPr>
        <xdr:cNvPr id="41" name="Скругленная соединительная линия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>
          <a:stCxn id="24" idx="7"/>
          <a:endCxn id="33" idx="2"/>
        </xdr:cNvCxnSpPr>
      </xdr:nvCxnSpPr>
      <xdr:spPr>
        <a:xfrm rot="5400000" flipH="1" flipV="1">
          <a:off x="6575000" y="109659173"/>
          <a:ext cx="137765" cy="580635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171450</xdr:colOff>
      <xdr:row>499</xdr:row>
      <xdr:rowOff>85725</xdr:rowOff>
    </xdr:from>
    <xdr:to>
      <xdr:col>19</xdr:col>
      <xdr:colOff>266701</xdr:colOff>
      <xdr:row>514</xdr:row>
      <xdr:rowOff>19050</xdr:rowOff>
    </xdr:to>
    <xdr:sp macro="" textlink="">
      <xdr:nvSpPr>
        <xdr:cNvPr id="42" name="Прямоугольник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2000250" y="109013625"/>
          <a:ext cx="3752851" cy="2990850"/>
        </a:xfrm>
        <a:prstGeom prst="rect">
          <a:avLst/>
        </a:prstGeom>
        <a:noFill/>
        <a:ln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15</xdr:col>
      <xdr:colOff>190500</xdr:colOff>
      <xdr:row>499</xdr:row>
      <xdr:rowOff>171450</xdr:rowOff>
    </xdr:from>
    <xdr:ext cx="811441" cy="387222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3238500" y="109099350"/>
          <a:ext cx="811441" cy="387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>
              <a:latin typeface="Times New Roman" pitchFamily="18" charset="0"/>
              <a:cs typeface="Times New Roman" pitchFamily="18" charset="0"/>
            </a:rPr>
            <a:t>СМО</a:t>
          </a:r>
        </a:p>
      </xdr:txBody>
    </xdr:sp>
    <xdr:clientData/>
  </xdr:oneCellAnchor>
  <xdr:twoCellAnchor>
    <xdr:from>
      <xdr:col>15</xdr:col>
      <xdr:colOff>224395</xdr:colOff>
      <xdr:row>84</xdr:row>
      <xdr:rowOff>132522</xdr:rowOff>
    </xdr:from>
    <xdr:to>
      <xdr:col>17</xdr:col>
      <xdr:colOff>390047</xdr:colOff>
      <xdr:row>88</xdr:row>
      <xdr:rowOff>115956</xdr:rowOff>
    </xdr:to>
    <xdr:grpSp>
      <xdr:nvGrpSpPr>
        <xdr:cNvPr id="44" name="Группа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9979126" y="17125547"/>
          <a:ext cx="1466283" cy="775122"/>
          <a:chOff x="8092109" y="120503674"/>
          <a:chExt cx="1391478" cy="944217"/>
        </a:xfrm>
      </xdr:grpSpPr>
      <xdr:sp macro="" textlink="">
        <xdr:nvSpPr>
          <xdr:cNvPr id="45" name="Параллелограмм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8092109" y="120503674"/>
            <a:ext cx="1391478" cy="944217"/>
          </a:xfrm>
          <a:prstGeom prst="parallelogram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6" name="TextBox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 txBox="1"/>
        </xdr:nvSpPr>
        <xdr:spPr>
          <a:xfrm>
            <a:off x="8232913" y="120702456"/>
            <a:ext cx="1101587" cy="5880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/>
              <a:t>Ввод исходных данных: </a:t>
            </a:r>
            <a:r>
              <a:rPr lang="ru-RU" sz="1100">
                <a:sym typeface="Symbol"/>
              </a:rPr>
              <a:t></a:t>
            </a:r>
            <a:r>
              <a:rPr lang="en-US" sz="1100">
                <a:sym typeface="Symbol"/>
              </a:rPr>
              <a:t>, </a:t>
            </a:r>
            <a:r>
              <a:rPr lang="el-GR" sz="1100">
                <a:sym typeface="Symbol"/>
              </a:rPr>
              <a:t>μ</a:t>
            </a:r>
            <a:r>
              <a:rPr lang="en-US" sz="1100">
                <a:sym typeface="Symbol"/>
              </a:rPr>
              <a:t>, K</a:t>
            </a:r>
            <a:endParaRPr lang="ru-RU" sz="1100"/>
          </a:p>
        </xdr:txBody>
      </xdr:sp>
    </xdr:grpSp>
    <xdr:clientData/>
  </xdr:twoCellAnchor>
  <xdr:twoCellAnchor>
    <xdr:from>
      <xdr:col>13</xdr:col>
      <xdr:colOff>601255</xdr:colOff>
      <xdr:row>90</xdr:row>
      <xdr:rowOff>82825</xdr:rowOff>
    </xdr:from>
    <xdr:to>
      <xdr:col>19</xdr:col>
      <xdr:colOff>13189</xdr:colOff>
      <xdr:row>93</xdr:row>
      <xdr:rowOff>41412</xdr:rowOff>
    </xdr:to>
    <xdr:grpSp>
      <xdr:nvGrpSpPr>
        <xdr:cNvPr id="47" name="Группа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/>
      </xdr:nvGrpSpPr>
      <xdr:grpSpPr>
        <a:xfrm>
          <a:off x="9055355" y="18263382"/>
          <a:ext cx="3313826" cy="552353"/>
          <a:chOff x="7462630" y="121911717"/>
          <a:chExt cx="3089413" cy="679174"/>
        </a:xfrm>
      </xdr:grpSpPr>
      <xdr:sp macro="" textlink="">
        <xdr:nvSpPr>
          <xdr:cNvPr id="48" name="Прямоугольник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7462630" y="121911717"/>
            <a:ext cx="3089413" cy="679174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 txBox="1"/>
        </xdr:nvSpPr>
        <xdr:spPr>
          <a:xfrm>
            <a:off x="7570304" y="122032911"/>
            <a:ext cx="2739596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Создание временных шкал событий 1, 2,3 </a:t>
            </a:r>
          </a:p>
          <a:p>
            <a:r>
              <a:rPr lang="ru-RU" sz="1100"/>
              <a:t>методом имитационного моделирования</a:t>
            </a:r>
          </a:p>
        </xdr:txBody>
      </xdr:sp>
    </xdr:grpSp>
    <xdr:clientData/>
  </xdr:twoCellAnchor>
  <xdr:twoCellAnchor>
    <xdr:from>
      <xdr:col>14</xdr:col>
      <xdr:colOff>13189</xdr:colOff>
      <xdr:row>95</xdr:row>
      <xdr:rowOff>8283</xdr:rowOff>
    </xdr:from>
    <xdr:to>
      <xdr:col>18</xdr:col>
      <xdr:colOff>601254</xdr:colOff>
      <xdr:row>97</xdr:row>
      <xdr:rowOff>173934</xdr:rowOff>
    </xdr:to>
    <xdr:grpSp>
      <xdr:nvGrpSpPr>
        <xdr:cNvPr id="50" name="Группа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9117605" y="19178451"/>
          <a:ext cx="3189326" cy="561495"/>
          <a:chOff x="7354957" y="123021587"/>
          <a:chExt cx="3039717" cy="646043"/>
        </a:xfrm>
      </xdr:grpSpPr>
      <xdr:sp macro="" textlink="">
        <xdr:nvSpPr>
          <xdr:cNvPr id="51" name="Прямоугольник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7354957" y="123021587"/>
            <a:ext cx="3039717" cy="646043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 txBox="1"/>
        </xdr:nvSpPr>
        <xdr:spPr>
          <a:xfrm>
            <a:off x="7617099" y="123126215"/>
            <a:ext cx="2515432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Попарное</a:t>
            </a:r>
            <a:r>
              <a:rPr lang="ru-RU" sz="1100" baseline="0"/>
              <a:t> объединение шкал 1-2 и 1-3</a:t>
            </a:r>
          </a:p>
          <a:p>
            <a:r>
              <a:rPr lang="ru-RU" sz="1100" baseline="0"/>
              <a:t> с маркерами</a:t>
            </a:r>
            <a:endParaRPr lang="ru-RU" sz="1100"/>
          </a:p>
        </xdr:txBody>
      </xdr:sp>
    </xdr:grpSp>
    <xdr:clientData/>
  </xdr:twoCellAnchor>
  <xdr:twoCellAnchor>
    <xdr:from>
      <xdr:col>13</xdr:col>
      <xdr:colOff>605397</xdr:colOff>
      <xdr:row>99</xdr:row>
      <xdr:rowOff>197540</xdr:rowOff>
    </xdr:from>
    <xdr:to>
      <xdr:col>19</xdr:col>
      <xdr:colOff>9049</xdr:colOff>
      <xdr:row>102</xdr:row>
      <xdr:rowOff>173934</xdr:rowOff>
    </xdr:to>
    <xdr:grpSp>
      <xdr:nvGrpSpPr>
        <xdr:cNvPr id="53" name="Группа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9059497" y="20159396"/>
          <a:ext cx="3305544" cy="570160"/>
          <a:chOff x="7364768" y="123998935"/>
          <a:chExt cx="3081131" cy="687456"/>
        </a:xfrm>
      </xdr:grpSpPr>
      <xdr:sp macro="" textlink="">
        <xdr:nvSpPr>
          <xdr:cNvPr id="54" name="Прямоугольник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/>
        </xdr:nvSpPr>
        <xdr:spPr>
          <a:xfrm>
            <a:off x="7364768" y="123998935"/>
            <a:ext cx="3081131" cy="687456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 txBox="1"/>
        </xdr:nvSpPr>
        <xdr:spPr>
          <a:xfrm>
            <a:off x="7367380" y="124038157"/>
            <a:ext cx="3054061" cy="61456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ru-RU" sz="1100"/>
              <a:t>Сортировка шкал 1-2 и 1-3 по возрстанию</a:t>
            </a:r>
          </a:p>
          <a:p>
            <a:r>
              <a:rPr lang="ru-RU" sz="1100"/>
              <a:t>времени и расчёт</a:t>
            </a:r>
            <a:r>
              <a:rPr lang="ru-RU" sz="1100" baseline="0"/>
              <a:t> количества заявок в системе </a:t>
            </a:r>
          </a:p>
          <a:p>
            <a:r>
              <a:rPr lang="ru-RU" sz="1100" baseline="0"/>
              <a:t>в моменты временных шкал</a:t>
            </a:r>
            <a:endParaRPr lang="ru-RU" sz="1100"/>
          </a:p>
        </xdr:txBody>
      </xdr:sp>
    </xdr:grpSp>
    <xdr:clientData/>
  </xdr:twoCellAnchor>
  <xdr:twoCellAnchor>
    <xdr:from>
      <xdr:col>15</xdr:col>
      <xdr:colOff>174699</xdr:colOff>
      <xdr:row>104</xdr:row>
      <xdr:rowOff>140805</xdr:rowOff>
    </xdr:from>
    <xdr:to>
      <xdr:col>17</xdr:col>
      <xdr:colOff>439743</xdr:colOff>
      <xdr:row>108</xdr:row>
      <xdr:rowOff>66261</xdr:rowOff>
    </xdr:to>
    <xdr:grpSp>
      <xdr:nvGrpSpPr>
        <xdr:cNvPr id="56" name="Группа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GrpSpPr/>
      </xdr:nvGrpSpPr>
      <xdr:grpSpPr>
        <a:xfrm>
          <a:off x="9929430" y="21092271"/>
          <a:ext cx="1565675" cy="717145"/>
          <a:chOff x="8257760" y="125315870"/>
          <a:chExt cx="1490870" cy="687456"/>
        </a:xfrm>
      </xdr:grpSpPr>
      <xdr:sp macro="" textlink="">
        <xdr:nvSpPr>
          <xdr:cNvPr id="57" name="Блок-схема: типовой процесс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/>
        </xdr:nvSpPr>
        <xdr:spPr>
          <a:xfrm>
            <a:off x="8257760" y="125315870"/>
            <a:ext cx="1490870" cy="687456"/>
          </a:xfrm>
          <a:prstGeom prst="flowChartPredefinedProcess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 txBox="1"/>
        </xdr:nvSpPr>
        <xdr:spPr>
          <a:xfrm>
            <a:off x="8448260" y="125456674"/>
            <a:ext cx="1118153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ru-RU" sz="1100"/>
              <a:t>Вывод результатов</a:t>
            </a:r>
          </a:p>
        </xdr:txBody>
      </xdr:sp>
    </xdr:grpSp>
    <xdr:clientData/>
  </xdr:twoCellAnchor>
  <xdr:twoCellAnchor>
    <xdr:from>
      <xdr:col>16</xdr:col>
      <xdr:colOff>307221</xdr:colOff>
      <xdr:row>88</xdr:row>
      <xdr:rowOff>115956</xdr:rowOff>
    </xdr:from>
    <xdr:to>
      <xdr:col>16</xdr:col>
      <xdr:colOff>307222</xdr:colOff>
      <xdr:row>90</xdr:row>
      <xdr:rowOff>82825</xdr:rowOff>
    </xdr:to>
    <xdr:cxnSp macro="">
      <xdr:nvCxnSpPr>
        <xdr:cNvPr id="59" name="Прямая со стрелкой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CxnSpPr>
          <a:stCxn id="45" idx="4"/>
          <a:endCxn id="48" idx="0"/>
        </xdr:cNvCxnSpPr>
      </xdr:nvCxnSpPr>
      <xdr:spPr>
        <a:xfrm>
          <a:off x="10251321" y="112101381"/>
          <a:ext cx="1" cy="366919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307222</xdr:colOff>
      <xdr:row>93</xdr:row>
      <xdr:rowOff>41412</xdr:rowOff>
    </xdr:from>
    <xdr:to>
      <xdr:col>16</xdr:col>
      <xdr:colOff>307222</xdr:colOff>
      <xdr:row>95</xdr:row>
      <xdr:rowOff>8283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CxnSpPr>
          <a:stCxn id="48" idx="2"/>
          <a:endCxn id="51" idx="0"/>
        </xdr:cNvCxnSpPr>
      </xdr:nvCxnSpPr>
      <xdr:spPr>
        <a:xfrm>
          <a:off x="10251322" y="113084112"/>
          <a:ext cx="0" cy="605046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307222</xdr:colOff>
      <xdr:row>97</xdr:row>
      <xdr:rowOff>173934</xdr:rowOff>
    </xdr:from>
    <xdr:to>
      <xdr:col>16</xdr:col>
      <xdr:colOff>307222</xdr:colOff>
      <xdr:row>99</xdr:row>
      <xdr:rowOff>207065</xdr:rowOff>
    </xdr:to>
    <xdr:cxnSp macro="">
      <xdr:nvCxnSpPr>
        <xdr:cNvPr id="61" name="Прямая со стрелкой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>
          <a:stCxn id="51" idx="2"/>
          <a:endCxn id="54" idx="0"/>
        </xdr:cNvCxnSpPr>
      </xdr:nvCxnSpPr>
      <xdr:spPr>
        <a:xfrm>
          <a:off x="10251322" y="114254859"/>
          <a:ext cx="0" cy="423656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307221</xdr:colOff>
      <xdr:row>102</xdr:row>
      <xdr:rowOff>173934</xdr:rowOff>
    </xdr:from>
    <xdr:to>
      <xdr:col>16</xdr:col>
      <xdr:colOff>307222</xdr:colOff>
      <xdr:row>104</xdr:row>
      <xdr:rowOff>140805</xdr:rowOff>
    </xdr:to>
    <xdr:cxnSp macro="">
      <xdr:nvCxnSpPr>
        <xdr:cNvPr id="62" name="Прямая со стрелкой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CxnSpPr>
          <a:stCxn id="54" idx="2"/>
          <a:endCxn id="57" idx="0"/>
        </xdr:cNvCxnSpPr>
      </xdr:nvCxnSpPr>
      <xdr:spPr>
        <a:xfrm flipH="1">
          <a:off x="10251321" y="115254984"/>
          <a:ext cx="1" cy="366921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18</xdr:row>
      <xdr:rowOff>190499</xdr:rowOff>
    </xdr:from>
    <xdr:to>
      <xdr:col>21</xdr:col>
      <xdr:colOff>0</xdr:colOff>
      <xdr:row>37</xdr:row>
      <xdr:rowOff>190499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9524</xdr:colOff>
      <xdr:row>40</xdr:row>
      <xdr:rowOff>9525</xdr:rowOff>
    </xdr:from>
    <xdr:to>
      <xdr:col>20</xdr:col>
      <xdr:colOff>590549</xdr:colOff>
      <xdr:row>59</xdr:row>
      <xdr:rowOff>0</xdr:rowOff>
    </xdr:to>
    <xdr:graphicFrame macro="">
      <xdr:nvGraphicFramePr>
        <xdr:cNvPr id="2048" name="Диаграмма 2047">
          <a:extLs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9524</xdr:colOff>
      <xdr:row>523</xdr:row>
      <xdr:rowOff>180974</xdr:rowOff>
    </xdr:from>
    <xdr:to>
      <xdr:col>29</xdr:col>
      <xdr:colOff>9525</xdr:colOff>
      <xdr:row>541</xdr:row>
      <xdr:rowOff>190499</xdr:rowOff>
    </xdr:to>
    <xdr:graphicFrame macro="">
      <xdr:nvGraphicFramePr>
        <xdr:cNvPr id="66" name="Диаграмма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609599</xdr:colOff>
      <xdr:row>544</xdr:row>
      <xdr:rowOff>0</xdr:rowOff>
    </xdr:from>
    <xdr:to>
      <xdr:col>29</xdr:col>
      <xdr:colOff>9524</xdr:colOff>
      <xdr:row>563</xdr:row>
      <xdr:rowOff>0</xdr:rowOff>
    </xdr:to>
    <xdr:graphicFrame macro="">
      <xdr:nvGraphicFramePr>
        <xdr:cNvPr id="68" name="Диаграмма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564</xdr:row>
      <xdr:rowOff>200024</xdr:rowOff>
    </xdr:from>
    <xdr:to>
      <xdr:col>29</xdr:col>
      <xdr:colOff>0</xdr:colOff>
      <xdr:row>582</xdr:row>
      <xdr:rowOff>190499</xdr:rowOff>
    </xdr:to>
    <xdr:graphicFrame macro="">
      <xdr:nvGraphicFramePr>
        <xdr:cNvPr id="70" name="Диаграмма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585</xdr:row>
      <xdr:rowOff>0</xdr:rowOff>
    </xdr:from>
    <xdr:to>
      <xdr:col>29</xdr:col>
      <xdr:colOff>19050</xdr:colOff>
      <xdr:row>601</xdr:row>
      <xdr:rowOff>190500</xdr:rowOff>
    </xdr:to>
    <xdr:graphicFrame macro="">
      <xdr:nvGraphicFramePr>
        <xdr:cNvPr id="72" name="Диаграмма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9524</xdr:colOff>
      <xdr:row>1539</xdr:row>
      <xdr:rowOff>9524</xdr:rowOff>
    </xdr:from>
    <xdr:to>
      <xdr:col>18</xdr:col>
      <xdr:colOff>609599</xdr:colOff>
      <xdr:row>1560</xdr:row>
      <xdr:rowOff>190499</xdr:rowOff>
    </xdr:to>
    <xdr:graphicFrame macro="">
      <xdr:nvGraphicFramePr>
        <xdr:cNvPr id="2050" name="Диаграмма 2049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421822</xdr:colOff>
      <xdr:row>509</xdr:row>
      <xdr:rowOff>204106</xdr:rowOff>
    </xdr:from>
    <xdr:to>
      <xdr:col>13</xdr:col>
      <xdr:colOff>81643</xdr:colOff>
      <xdr:row>514</xdr:row>
      <xdr:rowOff>163285</xdr:rowOff>
    </xdr:to>
    <xdr:cxnSp macro="">
      <xdr:nvCxnSpPr>
        <xdr:cNvPr id="2052" name="Скругленная соединительная линия 2051">
          <a:extLs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CxnSpPr/>
      </xdr:nvCxnSpPr>
      <xdr:spPr>
        <a:xfrm rot="5400000">
          <a:off x="7109732" y="99338946"/>
          <a:ext cx="979715" cy="884464"/>
        </a:xfrm>
        <a:prstGeom prst="curvedConnector3">
          <a:avLst/>
        </a:prstGeom>
        <a:ln w="28575">
          <a:solidFill>
            <a:srgbClr val="C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541564</xdr:colOff>
      <xdr:row>515</xdr:row>
      <xdr:rowOff>16329</xdr:rowOff>
    </xdr:from>
    <xdr:to>
      <xdr:col>12</xdr:col>
      <xdr:colOff>522514</xdr:colOff>
      <xdr:row>517</xdr:row>
      <xdr:rowOff>163966</xdr:rowOff>
    </xdr:to>
    <xdr:grpSp>
      <xdr:nvGrpSpPr>
        <xdr:cNvPr id="76" name="Группа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GrpSpPr/>
      </xdr:nvGrpSpPr>
      <xdr:grpSpPr>
        <a:xfrm>
          <a:off x="7695033" y="102363250"/>
          <a:ext cx="631265" cy="543481"/>
          <a:chOff x="5848350" y="105013125"/>
          <a:chExt cx="590550" cy="538162"/>
        </a:xfrm>
      </xdr:grpSpPr>
      <xdr:sp macro="" textlink="">
        <xdr:nvSpPr>
          <xdr:cNvPr id="77" name="Овал 76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SpPr/>
        </xdr:nvSpPr>
        <xdr:spPr>
          <a:xfrm>
            <a:off x="5848350" y="10501312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SpPr txBox="1"/>
        </xdr:nvSpPr>
        <xdr:spPr>
          <a:xfrm>
            <a:off x="5953125" y="10506075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𝟒/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𝒎 </a:t>
            </a:r>
            <a:endParaRPr lang="ru-RU" sz="1100" b="1"/>
          </a:p>
        </xdr:txBody>
      </xdr:sp>
    </xdr:grpSp>
    <xdr:clientData/>
  </xdr:twoCellAnchor>
  <xdr:twoCellAnchor>
    <xdr:from>
      <xdr:col>12</xdr:col>
      <xdr:colOff>217714</xdr:colOff>
      <xdr:row>512</xdr:row>
      <xdr:rowOff>81643</xdr:rowOff>
    </xdr:from>
    <xdr:to>
      <xdr:col>12</xdr:col>
      <xdr:colOff>225879</xdr:colOff>
      <xdr:row>515</xdr:row>
      <xdr:rowOff>16329</xdr:rowOff>
    </xdr:to>
    <xdr:cxnSp macro="">
      <xdr:nvCxnSpPr>
        <xdr:cNvPr id="2054" name="Прямая соединительная линия 2053">
          <a:extLs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CxnSpPr>
          <a:stCxn id="77" idx="0"/>
        </xdr:cNvCxnSpPr>
      </xdr:nvCxnSpPr>
      <xdr:spPr>
        <a:xfrm flipH="1" flipV="1">
          <a:off x="7565571" y="99781179"/>
          <a:ext cx="8165" cy="547007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342900</xdr:colOff>
      <xdr:row>75</xdr:row>
      <xdr:rowOff>0</xdr:rowOff>
    </xdr:from>
    <xdr:to>
      <xdr:col>13</xdr:col>
      <xdr:colOff>438150</xdr:colOff>
      <xdr:row>75</xdr:row>
      <xdr:rowOff>0</xdr:rowOff>
    </xdr:to>
    <xdr:cxnSp macro="">
      <xdr:nvCxnSpPr>
        <xdr:cNvPr id="81" name="Прямая со стрелкой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CxnSpPr>
          <a:endCxn id="83" idx="1"/>
        </xdr:cNvCxnSpPr>
      </xdr:nvCxnSpPr>
      <xdr:spPr>
        <a:xfrm>
          <a:off x="7078436" y="99291321"/>
          <a:ext cx="1319893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438150</xdr:colOff>
      <xdr:row>72</xdr:row>
      <xdr:rowOff>57150</xdr:rowOff>
    </xdr:from>
    <xdr:to>
      <xdr:col>15</xdr:col>
      <xdr:colOff>361950</xdr:colOff>
      <xdr:row>77</xdr:row>
      <xdr:rowOff>133350</xdr:rowOff>
    </xdr:to>
    <xdr:grpSp>
      <xdr:nvGrpSpPr>
        <xdr:cNvPr id="82" name="Группа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GrpSpPr/>
      </xdr:nvGrpSpPr>
      <xdr:grpSpPr>
        <a:xfrm>
          <a:off x="8892250" y="14625629"/>
          <a:ext cx="1224431" cy="1065811"/>
          <a:chOff x="2259806" y="126692025"/>
          <a:chExt cx="1138238" cy="1028700"/>
        </a:xfrm>
      </xdr:grpSpPr>
      <xdr:sp macro="" textlink="">
        <xdr:nvSpPr>
          <xdr:cNvPr id="83" name="Прямоугольник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SpPr/>
        </xdr:nvSpPr>
        <xdr:spPr>
          <a:xfrm>
            <a:off x="2259806" y="126692025"/>
            <a:ext cx="1138238" cy="1028700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SpPr txBox="1"/>
        </xdr:nvSpPr>
        <xdr:spPr>
          <a:xfrm>
            <a:off x="2259807" y="126998049"/>
            <a:ext cx="1127521" cy="4166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ru-RU" sz="1100" b="1">
                <a:latin typeface="Times New Roman" pitchFamily="18" charset="0"/>
                <a:cs typeface="Times New Roman" pitchFamily="18" charset="0"/>
              </a:rPr>
              <a:t>Накопитель</a:t>
            </a:r>
            <a:r>
              <a:rPr lang="en-US" sz="1100" b="1">
                <a:latin typeface="Times New Roman" pitchFamily="18" charset="0"/>
                <a:cs typeface="Times New Roman" pitchFamily="18" charset="0"/>
              </a:rPr>
              <a:t> </a:t>
            </a:r>
            <a:r>
              <a:rPr lang="ru-RU" sz="1100" b="1">
                <a:latin typeface="Times New Roman" pitchFamily="18" charset="0"/>
                <a:cs typeface="Times New Roman" pitchFamily="18" charset="0"/>
              </a:rPr>
              <a:t>/ очередь</a:t>
            </a:r>
          </a:p>
        </xdr:txBody>
      </xdr:sp>
    </xdr:grpSp>
    <xdr:clientData/>
  </xdr:twoCellAnchor>
  <xdr:twoCellAnchor>
    <xdr:from>
      <xdr:col>17</xdr:col>
      <xdr:colOff>0</xdr:colOff>
      <xdr:row>72</xdr:row>
      <xdr:rowOff>57150</xdr:rowOff>
    </xdr:from>
    <xdr:to>
      <xdr:col>19</xdr:col>
      <xdr:colOff>4762</xdr:colOff>
      <xdr:row>77</xdr:row>
      <xdr:rowOff>133350</xdr:rowOff>
    </xdr:to>
    <xdr:grpSp>
      <xdr:nvGrpSpPr>
        <xdr:cNvPr id="85" name="Группа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GrpSpPr/>
      </xdr:nvGrpSpPr>
      <xdr:grpSpPr>
        <a:xfrm>
          <a:off x="11055362" y="14625629"/>
          <a:ext cx="1305392" cy="1065811"/>
          <a:chOff x="4250531" y="126692025"/>
          <a:chExt cx="1219200" cy="1028700"/>
        </a:xfrm>
      </xdr:grpSpPr>
      <xdr:sp macro="" textlink="">
        <xdr:nvSpPr>
          <xdr:cNvPr id="86" name="Прямоугольник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SpPr/>
        </xdr:nvSpPr>
        <xdr:spPr>
          <a:xfrm>
            <a:off x="4250531" y="126692025"/>
            <a:ext cx="1214438" cy="1028700"/>
          </a:xfrm>
          <a:prstGeom prst="rect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SpPr txBox="1"/>
        </xdr:nvSpPr>
        <xdr:spPr>
          <a:xfrm>
            <a:off x="4250531" y="126801725"/>
            <a:ext cx="1219200" cy="8002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ru-RU" sz="1200" b="1">
                <a:latin typeface="Times New Roman" pitchFamily="18" charset="0"/>
                <a:cs typeface="Times New Roman" pitchFamily="18" charset="0"/>
              </a:rPr>
              <a:t>Прибор</a:t>
            </a:r>
            <a:r>
              <a:rPr lang="en-US" sz="1200" b="1">
                <a:latin typeface="Times New Roman" pitchFamily="18" charset="0"/>
                <a:cs typeface="Times New Roman" pitchFamily="18" charset="0"/>
              </a:rPr>
              <a:t> </a:t>
            </a:r>
            <a:r>
              <a:rPr lang="ru-RU" sz="1200" b="1">
                <a:latin typeface="Times New Roman" pitchFamily="18" charset="0"/>
                <a:cs typeface="Times New Roman" pitchFamily="18" charset="0"/>
              </a:rPr>
              <a:t>/ канал обслуживания (приложение)</a:t>
            </a:r>
          </a:p>
        </xdr:txBody>
      </xdr:sp>
    </xdr:grpSp>
    <xdr:clientData/>
  </xdr:twoCellAnchor>
  <xdr:twoCellAnchor>
    <xdr:from>
      <xdr:col>15</xdr:col>
      <xdr:colOff>351234</xdr:colOff>
      <xdr:row>74</xdr:row>
      <xdr:rowOff>185960</xdr:rowOff>
    </xdr:from>
    <xdr:to>
      <xdr:col>17</xdr:col>
      <xdr:colOff>0</xdr:colOff>
      <xdr:row>75</xdr:row>
      <xdr:rowOff>1</xdr:rowOff>
    </xdr:to>
    <xdr:cxnSp macro="">
      <xdr:nvCxnSpPr>
        <xdr:cNvPr id="88" name="Прямая со стрелкой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CxnSpPr>
          <a:stCxn id="84" idx="3"/>
          <a:endCxn id="87" idx="1"/>
        </xdr:cNvCxnSpPr>
      </xdr:nvCxnSpPr>
      <xdr:spPr>
        <a:xfrm flipV="1">
          <a:off x="9536055" y="99273174"/>
          <a:ext cx="873409" cy="18148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74</xdr:row>
      <xdr:rowOff>180975</xdr:rowOff>
    </xdr:from>
    <xdr:to>
      <xdr:col>21</xdr:col>
      <xdr:colOff>352425</xdr:colOff>
      <xdr:row>74</xdr:row>
      <xdr:rowOff>180975</xdr:rowOff>
    </xdr:to>
    <xdr:cxnSp macro="">
      <xdr:nvCxnSpPr>
        <xdr:cNvPr id="89" name="Прямая со стрелкой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CxnSpPr/>
      </xdr:nvCxnSpPr>
      <xdr:spPr>
        <a:xfrm>
          <a:off x="11634107" y="99268189"/>
          <a:ext cx="1577068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236469</xdr:colOff>
      <xdr:row>71</xdr:row>
      <xdr:rowOff>147637</xdr:rowOff>
    </xdr:from>
    <xdr:to>
      <xdr:col>12</xdr:col>
      <xdr:colOff>238125</xdr:colOff>
      <xdr:row>74</xdr:row>
      <xdr:rowOff>180975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CxnSpPr>
          <a:stCxn id="94" idx="4"/>
        </xdr:cNvCxnSpPr>
      </xdr:nvCxnSpPr>
      <xdr:spPr>
        <a:xfrm>
          <a:off x="7584326" y="98622530"/>
          <a:ext cx="1656" cy="645659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71</xdr:row>
      <xdr:rowOff>147636</xdr:rowOff>
    </xdr:from>
    <xdr:to>
      <xdr:col>16</xdr:col>
      <xdr:colOff>123829</xdr:colOff>
      <xdr:row>74</xdr:row>
      <xdr:rowOff>171450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>
        <a:xfrm>
          <a:off x="9920968" y="98622529"/>
          <a:ext cx="4" cy="636135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61073</xdr:colOff>
      <xdr:row>71</xdr:row>
      <xdr:rowOff>119062</xdr:rowOff>
    </xdr:from>
    <xdr:to>
      <xdr:col>20</xdr:col>
      <xdr:colOff>61073</xdr:colOff>
      <xdr:row>74</xdr:row>
      <xdr:rowOff>152400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/>
      </xdr:nvCxnSpPr>
      <xdr:spPr>
        <a:xfrm>
          <a:off x="12307502" y="98593955"/>
          <a:ext cx="0" cy="645659"/>
        </a:xfrm>
        <a:prstGeom prst="line">
          <a:avLst/>
        </a:prstGeom>
        <a:ln w="285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552450</xdr:colOff>
      <xdr:row>69</xdr:row>
      <xdr:rowOff>0</xdr:rowOff>
    </xdr:from>
    <xdr:to>
      <xdr:col>12</xdr:col>
      <xdr:colOff>533400</xdr:colOff>
      <xdr:row>71</xdr:row>
      <xdr:rowOff>147637</xdr:rowOff>
    </xdr:to>
    <xdr:grpSp>
      <xdr:nvGrpSpPr>
        <xdr:cNvPr id="93" name="Группа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GrpSpPr/>
      </xdr:nvGrpSpPr>
      <xdr:grpSpPr>
        <a:xfrm>
          <a:off x="7705919" y="13974713"/>
          <a:ext cx="631265" cy="543481"/>
          <a:chOff x="5848350" y="105013125"/>
          <a:chExt cx="590550" cy="538162"/>
        </a:xfrm>
      </xdr:grpSpPr>
      <xdr:sp macro="" textlink="">
        <xdr:nvSpPr>
          <xdr:cNvPr id="94" name="Овал 93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848350" y="10501312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 txBox="1"/>
        </xdr:nvSpPr>
        <xdr:spPr>
          <a:xfrm>
            <a:off x="5953125" y="10506075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𝟏/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𝒊 </a:t>
            </a:r>
            <a:endParaRPr lang="ru-RU" sz="1100" b="1"/>
          </a:p>
        </xdr:txBody>
      </xdr:sp>
    </xdr:grpSp>
    <xdr:clientData/>
  </xdr:twoCellAnchor>
  <xdr:twoCellAnchor>
    <xdr:from>
      <xdr:col>15</xdr:col>
      <xdr:colOff>425822</xdr:colOff>
      <xdr:row>69</xdr:row>
      <xdr:rowOff>41412</xdr:rowOff>
    </xdr:from>
    <xdr:to>
      <xdr:col>16</xdr:col>
      <xdr:colOff>419100</xdr:colOff>
      <xdr:row>71</xdr:row>
      <xdr:rowOff>166686</xdr:rowOff>
    </xdr:to>
    <xdr:grpSp>
      <xdr:nvGrpSpPr>
        <xdr:cNvPr id="96" name="Группа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GrpSpPr/>
      </xdr:nvGrpSpPr>
      <xdr:grpSpPr>
        <a:xfrm>
          <a:off x="10180553" y="14016125"/>
          <a:ext cx="643594" cy="521118"/>
          <a:chOff x="8362950" y="105032175"/>
          <a:chExt cx="590550" cy="538162"/>
        </a:xfrm>
      </xdr:grpSpPr>
      <xdr:sp macro="" textlink="">
        <xdr:nvSpPr>
          <xdr:cNvPr id="97" name="Овал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SpPr/>
        </xdr:nvSpPr>
        <xdr:spPr>
          <a:xfrm>
            <a:off x="836295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SpPr txBox="1"/>
        </xdr:nvSpPr>
        <xdr:spPr>
          <a:xfrm>
            <a:off x="8458200" y="105070275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𝟐/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𝒋 </a:t>
            </a:r>
            <a:endParaRPr lang="ru-RU" sz="1100" b="1"/>
          </a:p>
        </xdr:txBody>
      </xdr:sp>
    </xdr:grpSp>
    <xdr:clientData/>
  </xdr:twoCellAnchor>
  <xdr:twoCellAnchor>
    <xdr:from>
      <xdr:col>19</xdr:col>
      <xdr:colOff>369794</xdr:colOff>
      <xdr:row>69</xdr:row>
      <xdr:rowOff>9524</xdr:rowOff>
    </xdr:from>
    <xdr:to>
      <xdr:col>20</xdr:col>
      <xdr:colOff>342900</xdr:colOff>
      <xdr:row>71</xdr:row>
      <xdr:rowOff>123265</xdr:rowOff>
    </xdr:to>
    <xdr:grpSp>
      <xdr:nvGrpSpPr>
        <xdr:cNvPr id="99" name="Группа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GrpSpPr/>
      </xdr:nvGrpSpPr>
      <xdr:grpSpPr>
        <a:xfrm>
          <a:off x="12725786" y="13984237"/>
          <a:ext cx="623422" cy="509585"/>
          <a:chOff x="10782300" y="105032175"/>
          <a:chExt cx="590550" cy="538162"/>
        </a:xfrm>
      </xdr:grpSpPr>
      <xdr:sp macro="" textlink="">
        <xdr:nvSpPr>
          <xdr:cNvPr id="100" name="Овал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SpPr/>
        </xdr:nvSpPr>
        <xdr:spPr>
          <a:xfrm>
            <a:off x="10782300" y="105032175"/>
            <a:ext cx="590550" cy="538162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01" name="TextBox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SpPr txBox="1"/>
        </xdr:nvSpPr>
        <xdr:spPr>
          <a:xfrm>
            <a:off x="10887075" y="105079800"/>
            <a:ext cx="381000" cy="4380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100" b="1" i="0">
                <a:latin typeface="Cambria Math"/>
              </a:rPr>
              <a:t>𝟑/</a:t>
            </a:r>
            <a:r>
              <a:rPr lang="en-US" sz="1100" b="1" i="0">
                <a:latin typeface="Cambria Math"/>
              </a:rPr>
              <a:t>𝒕</a:t>
            </a:r>
            <a:r>
              <a:rPr lang="ru-RU" sz="1100" b="1" i="0">
                <a:latin typeface="Cambria Math"/>
              </a:rPr>
              <a:t>_</a:t>
            </a:r>
            <a:r>
              <a:rPr lang="en-US" sz="1100" b="1" i="0">
                <a:latin typeface="Cambria Math"/>
              </a:rPr>
              <a:t>𝒌 </a:t>
            </a:r>
            <a:endParaRPr lang="ru-RU" sz="1100" b="1"/>
          </a:p>
        </xdr:txBody>
      </xdr:sp>
    </xdr:grpSp>
    <xdr:clientData/>
  </xdr:twoCellAnchor>
  <xdr:twoCellAnchor>
    <xdr:from>
      <xdr:col>13</xdr:col>
      <xdr:colOff>371474</xdr:colOff>
      <xdr:row>67</xdr:row>
      <xdr:rowOff>173935</xdr:rowOff>
    </xdr:from>
    <xdr:to>
      <xdr:col>14</xdr:col>
      <xdr:colOff>209550</xdr:colOff>
      <xdr:row>69</xdr:row>
      <xdr:rowOff>152401</xdr:rowOff>
    </xdr:to>
    <xdr:grpSp>
      <xdr:nvGrpSpPr>
        <xdr:cNvPr id="102" name="Группа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GrpSpPr/>
      </xdr:nvGrpSpPr>
      <xdr:grpSpPr>
        <a:xfrm>
          <a:off x="8825574" y="13752804"/>
          <a:ext cx="488392" cy="374310"/>
          <a:chOff x="6562725" y="107461050"/>
          <a:chExt cx="457200" cy="409576"/>
        </a:xfrm>
      </xdr:grpSpPr>
      <xdr:sp macro="" textlink="">
        <xdr:nvSpPr>
          <xdr:cNvPr id="103" name="Овал 102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/>
        </xdr:nvSpPr>
        <xdr:spPr>
          <a:xfrm>
            <a:off x="6562725" y="107461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 txBox="1"/>
        </xdr:nvSpPr>
        <xdr:spPr>
          <a:xfrm>
            <a:off x="6629400" y="107546775"/>
            <a:ext cx="326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+1</a:t>
            </a:r>
            <a:endParaRPr lang="ru-RU" sz="1100" b="1"/>
          </a:p>
        </xdr:txBody>
      </xdr:sp>
    </xdr:grpSp>
    <xdr:clientData/>
  </xdr:twoCellAnchor>
  <xdr:twoCellAnchor>
    <xdr:from>
      <xdr:col>16</xdr:col>
      <xdr:colOff>605118</xdr:colOff>
      <xdr:row>67</xdr:row>
      <xdr:rowOff>74589</xdr:rowOff>
    </xdr:from>
    <xdr:to>
      <xdr:col>17</xdr:col>
      <xdr:colOff>447675</xdr:colOff>
      <xdr:row>69</xdr:row>
      <xdr:rowOff>85772</xdr:rowOff>
    </xdr:to>
    <xdr:grpSp>
      <xdr:nvGrpSpPr>
        <xdr:cNvPr id="105" name="Группа 10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GrpSpPr/>
      </xdr:nvGrpSpPr>
      <xdr:grpSpPr>
        <a:xfrm>
          <a:off x="11010165" y="13653458"/>
          <a:ext cx="492872" cy="407027"/>
          <a:chOff x="9296400" y="107666264"/>
          <a:chExt cx="457200" cy="394861"/>
        </a:xfrm>
      </xdr:grpSpPr>
      <xdr:sp macro="" textlink="">
        <xdr:nvSpPr>
          <xdr:cNvPr id="106" name="Овал 105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SpPr/>
        </xdr:nvSpPr>
        <xdr:spPr>
          <a:xfrm>
            <a:off x="9296400" y="107666264"/>
            <a:ext cx="457200" cy="394861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07" name="TextBox 106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SpPr txBox="1"/>
        </xdr:nvSpPr>
        <xdr:spPr>
          <a:xfrm>
            <a:off x="9363075" y="1077372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21</xdr:col>
      <xdr:colOff>38100</xdr:colOff>
      <xdr:row>67</xdr:row>
      <xdr:rowOff>124238</xdr:rowOff>
    </xdr:from>
    <xdr:to>
      <xdr:col>21</xdr:col>
      <xdr:colOff>515470</xdr:colOff>
      <xdr:row>69</xdr:row>
      <xdr:rowOff>133351</xdr:rowOff>
    </xdr:to>
    <xdr:grpSp>
      <xdr:nvGrpSpPr>
        <xdr:cNvPr id="108" name="Группа 107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GrpSpPr/>
      </xdr:nvGrpSpPr>
      <xdr:grpSpPr>
        <a:xfrm>
          <a:off x="13694723" y="13703107"/>
          <a:ext cx="477370" cy="404957"/>
          <a:chOff x="11734800" y="107842050"/>
          <a:chExt cx="457200" cy="409576"/>
        </a:xfrm>
      </xdr:grpSpPr>
      <xdr:sp macro="" textlink="">
        <xdr:nvSpPr>
          <xdr:cNvPr id="109" name="Овал 108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/>
        </xdr:nvSpPr>
        <xdr:spPr>
          <a:xfrm>
            <a:off x="11734800" y="107842050"/>
            <a:ext cx="457200" cy="409576"/>
          </a:xfrm>
          <a:prstGeom prst="ellipse">
            <a:avLst/>
          </a:prstGeom>
          <a:noFill/>
          <a:ln w="28575"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110" name="TextBox 109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801475" y="107927775"/>
            <a:ext cx="2993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-1</a:t>
            </a:r>
            <a:endParaRPr lang="ru-RU" sz="1100" b="1"/>
          </a:p>
        </xdr:txBody>
      </xdr:sp>
    </xdr:grpSp>
    <xdr:clientData/>
  </xdr:twoCellAnchor>
  <xdr:twoCellAnchor>
    <xdr:from>
      <xdr:col>12</xdr:col>
      <xdr:colOff>446915</xdr:colOff>
      <xdr:row>68</xdr:row>
      <xdr:rowOff>43053</xdr:rowOff>
    </xdr:from>
    <xdr:to>
      <xdr:col>13</xdr:col>
      <xdr:colOff>437034</xdr:colOff>
      <xdr:row>69</xdr:row>
      <xdr:rowOff>85788</xdr:rowOff>
    </xdr:to>
    <xdr:cxnSp macro="">
      <xdr:nvCxnSpPr>
        <xdr:cNvPr id="111" name="Скругленная соединительная линия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CxnSpPr>
          <a:stCxn id="94" idx="7"/>
          <a:endCxn id="103" idx="1"/>
        </xdr:cNvCxnSpPr>
      </xdr:nvCxnSpPr>
      <xdr:spPr>
        <a:xfrm rot="5400000" flipH="1" flipV="1">
          <a:off x="7972571" y="97727825"/>
          <a:ext cx="246843" cy="602441"/>
        </a:xfrm>
        <a:prstGeom prst="curvedConnector3">
          <a:avLst>
            <a:gd name="adj1" fmla="val 202619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143988</xdr:colOff>
      <xdr:row>69</xdr:row>
      <xdr:rowOff>92784</xdr:rowOff>
    </xdr:from>
    <xdr:to>
      <xdr:col>14</xdr:col>
      <xdr:colOff>400049</xdr:colOff>
      <xdr:row>72</xdr:row>
      <xdr:rowOff>57150</xdr:rowOff>
    </xdr:to>
    <xdr:cxnSp macro="">
      <xdr:nvCxnSpPr>
        <xdr:cNvPr id="112" name="Скругленная соединительная линия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>
          <a:stCxn id="103" idx="5"/>
          <a:endCxn id="83" idx="0"/>
        </xdr:cNvCxnSpPr>
      </xdr:nvCxnSpPr>
      <xdr:spPr>
        <a:xfrm rot="16200000" flipH="1">
          <a:off x="8556175" y="98319776"/>
          <a:ext cx="576687" cy="256061"/>
        </a:xfrm>
        <a:prstGeom prst="curvedConnector3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28576</xdr:colOff>
      <xdr:row>70</xdr:row>
      <xdr:rowOff>84999</xdr:rowOff>
    </xdr:from>
    <xdr:to>
      <xdr:col>15</xdr:col>
      <xdr:colOff>425822</xdr:colOff>
      <xdr:row>72</xdr:row>
      <xdr:rowOff>38106</xdr:rowOff>
    </xdr:to>
    <xdr:cxnSp macro="">
      <xdr:nvCxnSpPr>
        <xdr:cNvPr id="113" name="Скругленная соединительная линия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CxnSpPr>
          <a:endCxn id="97" idx="2"/>
        </xdr:cNvCxnSpPr>
      </xdr:nvCxnSpPr>
      <xdr:spPr>
        <a:xfrm flipV="1">
          <a:off x="9213397" y="98355785"/>
          <a:ext cx="397246" cy="361321"/>
        </a:xfrm>
        <a:prstGeom prst="curvedConnector3">
          <a:avLst>
            <a:gd name="adj1" fmla="val 50000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330810</xdr:colOff>
      <xdr:row>68</xdr:row>
      <xdr:rowOff>103994</xdr:rowOff>
    </xdr:from>
    <xdr:to>
      <xdr:col>16</xdr:col>
      <xdr:colOff>605117</xdr:colOff>
      <xdr:row>69</xdr:row>
      <xdr:rowOff>123925</xdr:rowOff>
    </xdr:to>
    <xdr:cxnSp macro="">
      <xdr:nvCxnSpPr>
        <xdr:cNvPr id="114" name="Скругленная соединительная линия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CxnSpPr>
          <a:stCxn id="97" idx="7"/>
          <a:endCxn id="106" idx="2"/>
        </xdr:cNvCxnSpPr>
      </xdr:nvCxnSpPr>
      <xdr:spPr>
        <a:xfrm rot="5400000" flipH="1" flipV="1">
          <a:off x="10153087" y="97941431"/>
          <a:ext cx="224039" cy="274307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333370</xdr:colOff>
      <xdr:row>69</xdr:row>
      <xdr:rowOff>21364</xdr:rowOff>
    </xdr:from>
    <xdr:to>
      <xdr:col>17</xdr:col>
      <xdr:colOff>381459</xdr:colOff>
      <xdr:row>72</xdr:row>
      <xdr:rowOff>66673</xdr:rowOff>
    </xdr:to>
    <xdr:cxnSp macro="">
      <xdr:nvCxnSpPr>
        <xdr:cNvPr id="115" name="Скругленн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>
          <a:stCxn id="106" idx="5"/>
        </xdr:cNvCxnSpPr>
      </xdr:nvCxnSpPr>
      <xdr:spPr>
        <a:xfrm rot="5400000">
          <a:off x="10438064" y="98392813"/>
          <a:ext cx="657630" cy="48089"/>
        </a:xfrm>
        <a:prstGeom prst="curvedConnector3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304800</xdr:colOff>
      <xdr:row>69</xdr:row>
      <xdr:rowOff>90347</xdr:rowOff>
    </xdr:from>
    <xdr:to>
      <xdr:col>19</xdr:col>
      <xdr:colOff>455129</xdr:colOff>
      <xdr:row>72</xdr:row>
      <xdr:rowOff>57151</xdr:rowOff>
    </xdr:to>
    <xdr:cxnSp macro="">
      <xdr:nvCxnSpPr>
        <xdr:cNvPr id="116" name="Скругленная соединительная линия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>
          <a:endCxn id="100" idx="1"/>
        </xdr:cNvCxnSpPr>
      </xdr:nvCxnSpPr>
      <xdr:spPr>
        <a:xfrm flipV="1">
          <a:off x="11326586" y="98157026"/>
          <a:ext cx="762650" cy="579125"/>
        </a:xfrm>
        <a:prstGeom prst="curvedConnector4">
          <a:avLst>
            <a:gd name="adj1" fmla="val 44385"/>
            <a:gd name="adj2" fmla="val 151964"/>
          </a:avLst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257565</xdr:colOff>
      <xdr:row>68</xdr:row>
      <xdr:rowOff>152608</xdr:rowOff>
    </xdr:from>
    <xdr:to>
      <xdr:col>21</xdr:col>
      <xdr:colOff>38100</xdr:colOff>
      <xdr:row>69</xdr:row>
      <xdr:rowOff>90348</xdr:rowOff>
    </xdr:to>
    <xdr:cxnSp macro="">
      <xdr:nvCxnSpPr>
        <xdr:cNvPr id="117" name="Скругленная соединительная линия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CxnSpPr>
          <a:stCxn id="100" idx="7"/>
          <a:endCxn id="109" idx="2"/>
        </xdr:cNvCxnSpPr>
      </xdr:nvCxnSpPr>
      <xdr:spPr>
        <a:xfrm rot="5400000" flipH="1" flipV="1">
          <a:off x="12629498" y="97889675"/>
          <a:ext cx="141848" cy="392856"/>
        </a:xfrm>
        <a:prstGeom prst="curvedConnector2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171450</xdr:colOff>
      <xdr:row>64</xdr:row>
      <xdr:rowOff>85725</xdr:rowOff>
    </xdr:from>
    <xdr:to>
      <xdr:col>19</xdr:col>
      <xdr:colOff>266701</xdr:colOff>
      <xdr:row>79</xdr:row>
      <xdr:rowOff>19050</xdr:rowOff>
    </xdr:to>
    <xdr:sp macro="" textlink="">
      <xdr:nvSpPr>
        <xdr:cNvPr id="118" name="Прямоугольник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>
        <a:xfrm>
          <a:off x="8131629" y="97131868"/>
          <a:ext cx="3769179" cy="2994932"/>
        </a:xfrm>
        <a:prstGeom prst="rect">
          <a:avLst/>
        </a:prstGeom>
        <a:noFill/>
        <a:ln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15</xdr:col>
      <xdr:colOff>190500</xdr:colOff>
      <xdr:row>64</xdr:row>
      <xdr:rowOff>171450</xdr:rowOff>
    </xdr:from>
    <xdr:ext cx="811441" cy="387222"/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9375321" y="97217593"/>
          <a:ext cx="811441" cy="387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>
              <a:latin typeface="Times New Roman" pitchFamily="18" charset="0"/>
              <a:cs typeface="Times New Roman" pitchFamily="18" charset="0"/>
            </a:rPr>
            <a:t>СМО</a:t>
          </a:r>
        </a:p>
      </xdr:txBody>
    </xdr:sp>
    <xdr:clientData/>
  </xdr:oneCellAnchor>
  <xdr:twoCellAnchor>
    <xdr:from>
      <xdr:col>25</xdr:col>
      <xdr:colOff>23812</xdr:colOff>
      <xdr:row>1541</xdr:row>
      <xdr:rowOff>59532</xdr:rowOff>
    </xdr:from>
    <xdr:to>
      <xdr:col>36</xdr:col>
      <xdr:colOff>392906</xdr:colOff>
      <xdr:row>1560</xdr:row>
      <xdr:rowOff>59532</xdr:rowOff>
    </xdr:to>
    <xdr:graphicFrame macro="">
      <xdr:nvGraphicFramePr>
        <xdr:cNvPr id="120" name="Диаграмма 119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163286</xdr:colOff>
          <xdr:row>11</xdr:row>
          <xdr:rowOff>43543</xdr:rowOff>
        </xdr:from>
        <xdr:to>
          <xdr:col>11</xdr:col>
          <xdr:colOff>179614</xdr:colOff>
          <xdr:row>15</xdr:row>
          <xdr:rowOff>70757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D68C280E-1C14-92D0-8550-0A64E9F3BC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AS1545"/>
  <sheetViews>
    <sheetView tabSelected="1" zoomScale="77" zoomScaleNormal="80" workbookViewId="0">
      <selection activeCell="F13" sqref="F13"/>
    </sheetView>
  </sheetViews>
  <sheetFormatPr defaultRowHeight="14.6" x14ac:dyDescent="0.4"/>
  <sheetData>
    <row r="1" spans="1:5" ht="20.6" x14ac:dyDescent="0.55000000000000004">
      <c r="D1" s="7" t="s">
        <v>29</v>
      </c>
    </row>
    <row r="3" spans="1:5" ht="39" x14ac:dyDescent="0.5">
      <c r="A3" s="10" t="s">
        <v>26</v>
      </c>
      <c r="B3" s="1">
        <v>500</v>
      </c>
      <c r="D3" s="12" t="s">
        <v>30</v>
      </c>
    </row>
    <row r="4" spans="1:5" ht="18.45" x14ac:dyDescent="0.5">
      <c r="A4" s="9"/>
      <c r="D4" s="12" t="s">
        <v>31</v>
      </c>
    </row>
    <row r="5" spans="1:5" ht="15.45" x14ac:dyDescent="0.4">
      <c r="A5" s="11" t="s">
        <v>16</v>
      </c>
      <c r="B5" s="1">
        <v>7.0999999999999994E-2</v>
      </c>
    </row>
    <row r="6" spans="1:5" ht="17.600000000000001" x14ac:dyDescent="0.4">
      <c r="A6" s="11" t="s">
        <v>17</v>
      </c>
      <c r="B6" s="1">
        <v>8.8999999999999996E-2</v>
      </c>
      <c r="E6" s="4" t="s">
        <v>18</v>
      </c>
    </row>
    <row r="7" spans="1:5" ht="15.45" x14ac:dyDescent="0.4">
      <c r="A7" s="11" t="s">
        <v>12</v>
      </c>
      <c r="B7" s="1">
        <v>45</v>
      </c>
    </row>
    <row r="18" spans="2:9" ht="17.600000000000001" x14ac:dyDescent="0.4">
      <c r="B18" s="4" t="s">
        <v>41</v>
      </c>
    </row>
    <row r="20" spans="2:9" x14ac:dyDescent="0.4">
      <c r="B20" s="6" t="s">
        <v>0</v>
      </c>
      <c r="C20" s="6" t="s">
        <v>1</v>
      </c>
      <c r="D20" s="6" t="s">
        <v>28</v>
      </c>
      <c r="E20" s="6" t="s">
        <v>2</v>
      </c>
      <c r="F20" s="6" t="s">
        <v>3</v>
      </c>
      <c r="G20" s="6" t="s">
        <v>4</v>
      </c>
      <c r="H20" s="6" t="s">
        <v>32</v>
      </c>
      <c r="I20" s="6" t="s">
        <v>5</v>
      </c>
    </row>
    <row r="21" spans="2:9" ht="15.45" x14ac:dyDescent="0.4">
      <c r="B21" s="1">
        <v>1</v>
      </c>
      <c r="C21" s="1">
        <v>9.3471384934060939</v>
      </c>
      <c r="D21" s="1">
        <v>9.3471384934060939</v>
      </c>
      <c r="E21" s="1">
        <v>46.463932601848754</v>
      </c>
      <c r="F21" s="1">
        <v>9.3471384934060939</v>
      </c>
      <c r="G21" s="1">
        <v>0</v>
      </c>
      <c r="H21" s="1">
        <v>37.116794108442662</v>
      </c>
      <c r="I21" s="1">
        <v>37.116794108442662</v>
      </c>
    </row>
    <row r="22" spans="2:9" ht="15.45" x14ac:dyDescent="0.4">
      <c r="B22" s="1">
        <v>2</v>
      </c>
      <c r="C22" s="1">
        <v>12.618253187614435</v>
      </c>
      <c r="D22" s="1">
        <v>46.463932601848754</v>
      </c>
      <c r="E22" s="1">
        <v>54.418381432241375</v>
      </c>
      <c r="F22" s="1">
        <v>3.2711146942083413</v>
      </c>
      <c r="G22" s="1">
        <v>33.845679414234318</v>
      </c>
      <c r="H22" s="1">
        <v>7.9544488303926215</v>
      </c>
      <c r="I22" s="1">
        <v>41.80012824462694</v>
      </c>
    </row>
    <row r="23" spans="2:9" ht="15.45" x14ac:dyDescent="0.4">
      <c r="B23" s="1">
        <v>3</v>
      </c>
      <c r="C23" s="1">
        <v>19.506247353164998</v>
      </c>
      <c r="D23" s="1">
        <v>54.418381432241375</v>
      </c>
      <c r="E23" s="1">
        <v>84.153623925451626</v>
      </c>
      <c r="F23" s="1">
        <v>6.8879941655505625</v>
      </c>
      <c r="G23" s="1">
        <v>34.912134079076381</v>
      </c>
      <c r="H23" s="1">
        <v>29.735242493210251</v>
      </c>
      <c r="I23" s="1">
        <v>64.647376572286632</v>
      </c>
    </row>
    <row r="24" spans="2:9" ht="15.45" x14ac:dyDescent="0.4">
      <c r="B24" s="1">
        <v>4</v>
      </c>
      <c r="C24" s="1">
        <v>29.025726387477143</v>
      </c>
      <c r="D24" s="1">
        <v>84.153623925451626</v>
      </c>
      <c r="E24" s="1">
        <v>91.216108095228776</v>
      </c>
      <c r="F24" s="1">
        <v>9.5194790343121447</v>
      </c>
      <c r="G24" s="1">
        <v>55.127897537974484</v>
      </c>
      <c r="H24" s="1">
        <v>7.0624841697771501</v>
      </c>
      <c r="I24" s="1">
        <v>62.190381707751634</v>
      </c>
    </row>
    <row r="25" spans="2:9" ht="15.45" x14ac:dyDescent="0.4">
      <c r="B25" s="1">
        <v>5</v>
      </c>
      <c r="C25" s="1">
        <v>36.742759515914607</v>
      </c>
      <c r="D25" s="1">
        <v>91.216108095228776</v>
      </c>
      <c r="E25" s="1">
        <v>126.61994323293894</v>
      </c>
      <c r="F25" s="1">
        <v>7.717033128437464</v>
      </c>
      <c r="G25" s="1">
        <v>54.47334857931417</v>
      </c>
      <c r="H25" s="1">
        <v>35.403835137710161</v>
      </c>
      <c r="I25" s="1">
        <v>89.877183717024337</v>
      </c>
    </row>
    <row r="26" spans="2:9" ht="15.45" x14ac:dyDescent="0.4">
      <c r="B26" s="1">
        <v>6</v>
      </c>
      <c r="C26" s="1">
        <v>51.087043826850085</v>
      </c>
      <c r="D26" s="1">
        <v>126.61994323293894</v>
      </c>
      <c r="E26" s="1">
        <v>347.36904844549679</v>
      </c>
      <c r="F26" s="1">
        <v>14.344284310935478</v>
      </c>
      <c r="G26" s="1">
        <v>75.532899406088859</v>
      </c>
      <c r="H26" s="1">
        <v>220.74910521255785</v>
      </c>
      <c r="I26" s="1">
        <v>296.28200461864668</v>
      </c>
    </row>
    <row r="27" spans="2:9" ht="15.45" x14ac:dyDescent="0.4">
      <c r="B27" s="1">
        <v>7</v>
      </c>
      <c r="C27" s="1">
        <v>51.68128278563691</v>
      </c>
      <c r="D27" s="1">
        <v>347.36904844549679</v>
      </c>
      <c r="E27" s="1">
        <v>370.25118642065956</v>
      </c>
      <c r="F27" s="1">
        <v>0.59423895878682487</v>
      </c>
      <c r="G27" s="1">
        <v>295.68776565985991</v>
      </c>
      <c r="H27" s="1">
        <v>22.882137975162777</v>
      </c>
      <c r="I27" s="1">
        <v>318.56990363502268</v>
      </c>
    </row>
    <row r="28" spans="2:9" ht="15.45" x14ac:dyDescent="0.4">
      <c r="B28" s="1">
        <v>8</v>
      </c>
      <c r="C28" s="1">
        <v>56.238137721197511</v>
      </c>
      <c r="D28" s="1">
        <v>370.25118642065956</v>
      </c>
      <c r="E28" s="1">
        <v>370.3418092064573</v>
      </c>
      <c r="F28" s="1">
        <v>4.5568549355606009</v>
      </c>
      <c r="G28" s="1">
        <v>314.01304869946205</v>
      </c>
      <c r="H28" s="1">
        <v>9.0622785797734196E-2</v>
      </c>
      <c r="I28" s="1">
        <v>314.10367148525978</v>
      </c>
    </row>
    <row r="29" spans="2:9" ht="15.45" x14ac:dyDescent="0.4">
      <c r="B29" s="1">
        <v>9</v>
      </c>
      <c r="C29" s="1">
        <v>63.576335773902933</v>
      </c>
      <c r="D29" s="1">
        <v>370.3418092064573</v>
      </c>
      <c r="E29" s="1">
        <v>378.57827508826182</v>
      </c>
      <c r="F29" s="1">
        <v>7.3381980527054225</v>
      </c>
      <c r="G29" s="1">
        <v>306.76547343255436</v>
      </c>
      <c r="H29" s="1">
        <v>8.23646588180452</v>
      </c>
      <c r="I29" s="1">
        <v>315.00193931435888</v>
      </c>
    </row>
    <row r="30" spans="2:9" ht="15.45" x14ac:dyDescent="0.4">
      <c r="B30" s="1">
        <v>10</v>
      </c>
      <c r="C30" s="1">
        <v>71.533640733951785</v>
      </c>
      <c r="D30" s="1">
        <v>378.57827508826176</v>
      </c>
      <c r="E30" s="1">
        <v>382.14359499877344</v>
      </c>
      <c r="F30" s="1">
        <v>7.9573049600488517</v>
      </c>
      <c r="G30" s="1">
        <v>307.04463435431001</v>
      </c>
      <c r="H30" s="1">
        <v>3.5653199105116755</v>
      </c>
      <c r="I30" s="1">
        <v>310.60995426482168</v>
      </c>
    </row>
    <row r="31" spans="2:9" ht="15.45" x14ac:dyDescent="0.4">
      <c r="B31" s="1">
        <v>11</v>
      </c>
      <c r="C31" s="1">
        <v>84.653256843021907</v>
      </c>
      <c r="D31" s="1">
        <v>382.14359499877344</v>
      </c>
      <c r="E31" s="1">
        <v>402.31004265736283</v>
      </c>
      <c r="F31" s="1">
        <v>13.119616109070122</v>
      </c>
      <c r="G31" s="1">
        <v>297.49033815575154</v>
      </c>
      <c r="H31" s="1">
        <v>20.166447658589391</v>
      </c>
      <c r="I31" s="1">
        <v>317.65678581434094</v>
      </c>
    </row>
    <row r="32" spans="2:9" ht="15.45" x14ac:dyDescent="0.4">
      <c r="B32" s="1">
        <v>12</v>
      </c>
      <c r="C32" s="1">
        <v>86.435628989744231</v>
      </c>
      <c r="D32" s="1">
        <v>402.31004265736283</v>
      </c>
      <c r="E32" s="1">
        <v>406.98626663864837</v>
      </c>
      <c r="F32" s="1">
        <v>1.7823721467223237</v>
      </c>
      <c r="G32" s="1">
        <v>315.87441366761857</v>
      </c>
      <c r="H32" s="1">
        <v>4.6762239812855455</v>
      </c>
      <c r="I32" s="1">
        <v>320.55063764890417</v>
      </c>
    </row>
    <row r="33" spans="2:9" ht="15.45" x14ac:dyDescent="0.4">
      <c r="B33" s="1">
        <v>13</v>
      </c>
      <c r="C33" s="1">
        <v>86.982554162771336</v>
      </c>
      <c r="D33" s="1">
        <v>406.98626663864837</v>
      </c>
      <c r="E33" s="1">
        <v>435.02768211886666</v>
      </c>
      <c r="F33" s="1">
        <v>0.54692517302710542</v>
      </c>
      <c r="G33" s="1">
        <v>320.00371247587702</v>
      </c>
      <c r="H33" s="1">
        <v>28.041415480218291</v>
      </c>
      <c r="I33" s="1">
        <v>348.04512795609531</v>
      </c>
    </row>
    <row r="34" spans="2:9" ht="15.45" x14ac:dyDescent="0.4">
      <c r="B34" s="1">
        <v>14</v>
      </c>
      <c r="C34" s="1">
        <v>97.563506679441005</v>
      </c>
      <c r="D34" s="1">
        <v>435.02768211886666</v>
      </c>
      <c r="E34" s="1">
        <v>444.84102620149167</v>
      </c>
      <c r="F34" s="1">
        <v>10.580952516669669</v>
      </c>
      <c r="G34" s="1">
        <v>337.46417543942567</v>
      </c>
      <c r="H34" s="1">
        <v>9.813344082625008</v>
      </c>
      <c r="I34" s="1">
        <v>347.27751952205068</v>
      </c>
    </row>
    <row r="35" spans="2:9" ht="15.45" x14ac:dyDescent="0.4">
      <c r="B35" s="1">
        <v>15</v>
      </c>
      <c r="C35" s="1">
        <v>109.23553437682619</v>
      </c>
      <c r="D35" s="1">
        <v>444.84102620149167</v>
      </c>
      <c r="E35" s="1">
        <v>465.50500869814334</v>
      </c>
      <c r="F35" s="1">
        <v>11.67202769738519</v>
      </c>
      <c r="G35" s="1">
        <v>335.60549182466548</v>
      </c>
      <c r="H35" s="1">
        <v>20.66398249665167</v>
      </c>
      <c r="I35" s="1">
        <v>356.26947432131715</v>
      </c>
    </row>
    <row r="36" spans="2:9" ht="15.45" x14ac:dyDescent="0.4">
      <c r="B36" s="1">
        <v>16</v>
      </c>
      <c r="C36" s="1">
        <v>112.82992374032519</v>
      </c>
      <c r="D36" s="1">
        <v>465.50500869814334</v>
      </c>
      <c r="E36" s="1">
        <v>494.06344580107975</v>
      </c>
      <c r="F36" s="1">
        <v>3.5943893634989905</v>
      </c>
      <c r="G36" s="1">
        <v>352.67508495781817</v>
      </c>
      <c r="H36" s="1">
        <v>28.558437102936409</v>
      </c>
      <c r="I36" s="1">
        <v>381.23352206075458</v>
      </c>
    </row>
    <row r="37" spans="2:9" ht="15.45" x14ac:dyDescent="0.4">
      <c r="B37" s="1">
        <v>17</v>
      </c>
      <c r="C37" s="1">
        <v>118.46739004262697</v>
      </c>
      <c r="D37" s="1">
        <v>494.06344580107975</v>
      </c>
      <c r="E37" s="1">
        <v>517.21454518639212</v>
      </c>
      <c r="F37" s="1">
        <v>5.6374663023017888</v>
      </c>
      <c r="G37" s="1">
        <v>375.59605575845279</v>
      </c>
      <c r="H37" s="1">
        <v>23.151099385312364</v>
      </c>
      <c r="I37" s="1">
        <v>398.74715514376516</v>
      </c>
    </row>
    <row r="38" spans="2:9" ht="15.45" x14ac:dyDescent="0.4">
      <c r="B38" s="1">
        <v>18</v>
      </c>
      <c r="C38" s="1">
        <v>134.68779398440566</v>
      </c>
      <c r="D38" s="1">
        <v>517.21454518639212</v>
      </c>
      <c r="E38" s="1">
        <v>560.24739811919858</v>
      </c>
      <c r="F38" s="1">
        <v>16.220403941778684</v>
      </c>
      <c r="G38" s="1">
        <v>382.52675120198649</v>
      </c>
      <c r="H38" s="1">
        <v>43.032852932806463</v>
      </c>
      <c r="I38" s="1">
        <v>425.55960413479295</v>
      </c>
    </row>
    <row r="39" spans="2:9" ht="15.45" x14ac:dyDescent="0.4">
      <c r="B39" s="1">
        <v>19</v>
      </c>
      <c r="C39" s="1">
        <v>163.30684026034257</v>
      </c>
      <c r="D39" s="1">
        <v>560.24739811919858</v>
      </c>
      <c r="E39" s="1">
        <v>562.03011499555907</v>
      </c>
      <c r="F39" s="1">
        <v>28.61904627593691</v>
      </c>
      <c r="G39" s="1">
        <v>396.94055785885598</v>
      </c>
      <c r="H39" s="1">
        <v>1.7827168763604959</v>
      </c>
      <c r="I39" s="1">
        <v>398.72327473521648</v>
      </c>
    </row>
    <row r="40" spans="2:9" ht="15.45" x14ac:dyDescent="0.4">
      <c r="B40" s="1">
        <v>20</v>
      </c>
      <c r="C40" s="1">
        <v>177.48887503200791</v>
      </c>
      <c r="D40" s="1">
        <v>562.03011499555907</v>
      </c>
      <c r="E40" s="1">
        <v>575.70067980224087</v>
      </c>
      <c r="F40" s="1">
        <v>14.182034771665343</v>
      </c>
      <c r="G40" s="1">
        <v>384.54123996355116</v>
      </c>
      <c r="H40" s="1">
        <v>13.670564806681796</v>
      </c>
      <c r="I40" s="1">
        <v>398.21180477023296</v>
      </c>
    </row>
    <row r="41" spans="2:9" ht="15.45" x14ac:dyDescent="0.4">
      <c r="B41" s="1">
        <v>21</v>
      </c>
      <c r="C41" s="1">
        <v>181.93516201684196</v>
      </c>
      <c r="D41" s="1">
        <v>575.70067980224087</v>
      </c>
      <c r="E41" s="1">
        <v>597.71527396035708</v>
      </c>
      <c r="F41" s="1">
        <v>4.4462869848340461</v>
      </c>
      <c r="G41" s="1">
        <v>393.76551778539891</v>
      </c>
      <c r="H41" s="1">
        <v>22.014594158116211</v>
      </c>
      <c r="I41" s="1">
        <v>415.78011194351512</v>
      </c>
    </row>
    <row r="42" spans="2:9" ht="15.45" x14ac:dyDescent="0.4">
      <c r="B42" s="1">
        <v>22</v>
      </c>
      <c r="C42" s="1">
        <v>184.95094744770824</v>
      </c>
      <c r="D42" s="1">
        <v>597.71527396035708</v>
      </c>
      <c r="E42" s="1">
        <v>621.58718884050359</v>
      </c>
      <c r="F42" s="1">
        <v>3.0157854308662877</v>
      </c>
      <c r="G42" s="1">
        <v>412.76432651264884</v>
      </c>
      <c r="H42" s="1">
        <v>23.871914880146505</v>
      </c>
      <c r="I42" s="1">
        <v>436.63624139279534</v>
      </c>
    </row>
    <row r="43" spans="2:9" ht="15.45" x14ac:dyDescent="0.4">
      <c r="B43" s="1">
        <v>23</v>
      </c>
      <c r="C43" s="1">
        <v>188.12352388399225</v>
      </c>
      <c r="D43" s="1">
        <v>621.58718884050359</v>
      </c>
      <c r="E43" s="1">
        <v>660.94603716771394</v>
      </c>
      <c r="F43" s="1">
        <v>3.1725764362840039</v>
      </c>
      <c r="G43" s="1">
        <v>433.46366495651137</v>
      </c>
      <c r="H43" s="1">
        <v>39.358848327210353</v>
      </c>
      <c r="I43" s="1">
        <v>472.82251328372172</v>
      </c>
    </row>
    <row r="44" spans="2:9" ht="15.45" x14ac:dyDescent="0.4">
      <c r="B44" s="1">
        <v>24</v>
      </c>
      <c r="C44" s="1">
        <v>190.83221335010813</v>
      </c>
      <c r="D44" s="1">
        <v>660.94603716771394</v>
      </c>
      <c r="E44" s="1">
        <v>666.29315360788098</v>
      </c>
      <c r="F44" s="1">
        <v>2.7086894661158851</v>
      </c>
      <c r="G44" s="1">
        <v>470.11382381760581</v>
      </c>
      <c r="H44" s="1">
        <v>5.3471164401670421</v>
      </c>
      <c r="I44" s="1">
        <v>475.46094025777285</v>
      </c>
    </row>
    <row r="45" spans="2:9" ht="15.45" x14ac:dyDescent="0.4">
      <c r="B45" s="1">
        <v>25</v>
      </c>
      <c r="C45" s="1">
        <v>194.99504713856189</v>
      </c>
      <c r="D45" s="1">
        <v>666.29315360788098</v>
      </c>
      <c r="E45" s="1">
        <v>667.93392912696231</v>
      </c>
      <c r="F45" s="1">
        <v>4.162833788453753</v>
      </c>
      <c r="G45" s="1">
        <v>471.29810646931912</v>
      </c>
      <c r="H45" s="1">
        <v>1.6407755190813305</v>
      </c>
      <c r="I45" s="1">
        <v>472.93888198840045</v>
      </c>
    </row>
    <row r="46" spans="2:9" ht="15.45" x14ac:dyDescent="0.4">
      <c r="B46" s="1">
        <v>26</v>
      </c>
      <c r="C46" s="1">
        <v>195.26584983866132</v>
      </c>
      <c r="D46" s="1">
        <v>667.93392912696231</v>
      </c>
      <c r="E46" s="1">
        <v>699.67678667697135</v>
      </c>
      <c r="F46" s="1">
        <v>0.27080270009943774</v>
      </c>
      <c r="G46" s="1">
        <v>472.66807928830099</v>
      </c>
      <c r="H46" s="1">
        <v>31.742857550009035</v>
      </c>
      <c r="I46" s="1">
        <v>504.41093683831002</v>
      </c>
    </row>
    <row r="47" spans="2:9" ht="15.45" x14ac:dyDescent="0.4">
      <c r="B47" s="1">
        <v>27</v>
      </c>
      <c r="C47" s="1">
        <v>197.13512678848963</v>
      </c>
      <c r="D47" s="1">
        <v>699.67678667697135</v>
      </c>
      <c r="E47" s="1">
        <v>734.6928697691269</v>
      </c>
      <c r="F47" s="1">
        <v>1.8692769498283042</v>
      </c>
      <c r="G47" s="1">
        <v>502.54165988848172</v>
      </c>
      <c r="H47" s="1">
        <v>35.016083092155554</v>
      </c>
      <c r="I47" s="1">
        <v>537.55774298063727</v>
      </c>
    </row>
    <row r="48" spans="2:9" ht="15.45" x14ac:dyDescent="0.4">
      <c r="B48" s="1">
        <v>28</v>
      </c>
      <c r="C48" s="1">
        <v>200.9986606540254</v>
      </c>
      <c r="D48" s="1">
        <v>734.6928697691269</v>
      </c>
      <c r="E48" s="1">
        <v>745.47603785962383</v>
      </c>
      <c r="F48" s="1">
        <v>3.8635338655357714</v>
      </c>
      <c r="G48" s="1">
        <v>533.69420911510156</v>
      </c>
      <c r="H48" s="1">
        <v>10.783168090496929</v>
      </c>
      <c r="I48" s="1">
        <v>544.47737720559849</v>
      </c>
    </row>
    <row r="49" spans="2:12" ht="15.45" x14ac:dyDescent="0.4">
      <c r="B49" s="1">
        <v>29</v>
      </c>
      <c r="C49" s="1">
        <v>211.50525005586016</v>
      </c>
      <c r="D49" s="1">
        <v>745.47603785962383</v>
      </c>
      <c r="E49" s="1">
        <v>762.38843676652925</v>
      </c>
      <c r="F49" s="1">
        <v>10.506589401834759</v>
      </c>
      <c r="G49" s="1">
        <v>533.97078780376364</v>
      </c>
      <c r="H49" s="1">
        <v>16.912398906905423</v>
      </c>
      <c r="I49" s="1">
        <v>550.88318671066907</v>
      </c>
    </row>
    <row r="50" spans="2:12" ht="15.45" x14ac:dyDescent="0.4">
      <c r="B50" s="1">
        <v>30</v>
      </c>
      <c r="C50" s="1">
        <v>213.01239577366141</v>
      </c>
      <c r="D50" s="1">
        <v>762.38843676652925</v>
      </c>
      <c r="E50" s="1">
        <v>811.04964859186532</v>
      </c>
      <c r="F50" s="1">
        <v>1.5071457178012508</v>
      </c>
      <c r="G50" s="1">
        <v>549.37604099286784</v>
      </c>
      <c r="H50" s="1">
        <v>48.661211825336068</v>
      </c>
      <c r="I50" s="1">
        <v>598.03725281820391</v>
      </c>
    </row>
    <row r="51" spans="2:12" ht="15.45" x14ac:dyDescent="0.4">
      <c r="B51" s="1">
        <v>31</v>
      </c>
      <c r="C51" s="1">
        <v>214.33370694607879</v>
      </c>
      <c r="D51" s="1">
        <v>811.04964859186532</v>
      </c>
      <c r="E51" s="1">
        <v>896.90678741967611</v>
      </c>
      <c r="F51" s="1">
        <v>1.3213111724173814</v>
      </c>
      <c r="G51" s="1">
        <v>596.71594164578653</v>
      </c>
      <c r="H51" s="1">
        <v>85.857138827810786</v>
      </c>
      <c r="I51" s="1">
        <v>682.57308047359732</v>
      </c>
    </row>
    <row r="52" spans="2:12" ht="15.45" x14ac:dyDescent="0.4">
      <c r="B52" s="1">
        <v>32</v>
      </c>
      <c r="C52" s="1">
        <v>220.42226577762463</v>
      </c>
      <c r="D52" s="1">
        <v>896.90678741967611</v>
      </c>
      <c r="E52" s="1">
        <v>939.45289173467211</v>
      </c>
      <c r="F52" s="1">
        <v>6.0885588315458392</v>
      </c>
      <c r="G52" s="1">
        <v>676.4845216420515</v>
      </c>
      <c r="H52" s="1">
        <v>42.546104314996001</v>
      </c>
      <c r="I52" s="1">
        <v>719.0306259570475</v>
      </c>
    </row>
    <row r="53" spans="2:12" ht="15.45" x14ac:dyDescent="0.4">
      <c r="B53" s="1">
        <v>33</v>
      </c>
      <c r="C53" s="1">
        <v>223.28344295239856</v>
      </c>
      <c r="D53" s="1">
        <v>939.45289173467211</v>
      </c>
      <c r="E53" s="1">
        <v>952.79175268917425</v>
      </c>
      <c r="F53" s="1">
        <v>2.8611771747739283</v>
      </c>
      <c r="G53" s="1">
        <v>716.16944878227355</v>
      </c>
      <c r="H53" s="1">
        <v>13.338860954502138</v>
      </c>
      <c r="I53" s="1">
        <v>729.50830973677569</v>
      </c>
    </row>
    <row r="54" spans="2:12" ht="15.45" x14ac:dyDescent="0.4">
      <c r="B54" s="1">
        <v>34</v>
      </c>
      <c r="C54" s="1">
        <v>226.9401194964033</v>
      </c>
      <c r="D54" s="1">
        <v>952.79175268917425</v>
      </c>
      <c r="E54" s="1">
        <v>961.83910898177317</v>
      </c>
      <c r="F54" s="1">
        <v>3.6566765440047391</v>
      </c>
      <c r="G54" s="1">
        <v>725.85163319277092</v>
      </c>
      <c r="H54" s="1">
        <v>9.0473562925989199</v>
      </c>
      <c r="I54" s="1">
        <v>734.89898948536984</v>
      </c>
    </row>
    <row r="55" spans="2:12" ht="15.45" x14ac:dyDescent="0.4">
      <c r="B55" s="1">
        <v>35</v>
      </c>
      <c r="C55" s="1">
        <v>228.36313695176304</v>
      </c>
      <c r="D55" s="1">
        <v>961.83910898177317</v>
      </c>
      <c r="E55" s="1">
        <v>971.35683829062521</v>
      </c>
      <c r="F55" s="1">
        <v>1.4230174553597408</v>
      </c>
      <c r="G55" s="1">
        <v>733.4759720300101</v>
      </c>
      <c r="H55" s="1">
        <v>9.51772930885204</v>
      </c>
      <c r="I55" s="1">
        <v>742.99370133886214</v>
      </c>
    </row>
    <row r="56" spans="2:12" ht="15.45" x14ac:dyDescent="0.4">
      <c r="B56" s="1">
        <v>36</v>
      </c>
      <c r="C56" s="1">
        <v>238.56832512767508</v>
      </c>
      <c r="D56" s="1">
        <v>971.35683829062521</v>
      </c>
      <c r="E56" s="1">
        <v>979.48290668897289</v>
      </c>
      <c r="F56" s="1">
        <v>10.205188175912042</v>
      </c>
      <c r="G56" s="1">
        <v>732.78851316295015</v>
      </c>
      <c r="H56" s="1">
        <v>8.1260683983476838</v>
      </c>
      <c r="I56" s="1">
        <v>740.91458156129784</v>
      </c>
    </row>
    <row r="57" spans="2:12" ht="15.45" x14ac:dyDescent="0.4">
      <c r="B57" s="1">
        <v>37</v>
      </c>
      <c r="C57" s="1">
        <v>240.49090974713167</v>
      </c>
      <c r="D57" s="1">
        <v>979.48290668897289</v>
      </c>
      <c r="E57" s="1">
        <v>991.97140805433412</v>
      </c>
      <c r="F57" s="1">
        <v>1.9225846194565861</v>
      </c>
      <c r="G57" s="1">
        <v>738.99199694184119</v>
      </c>
      <c r="H57" s="1">
        <v>12.48850136536123</v>
      </c>
      <c r="I57" s="1">
        <v>751.48049830720242</v>
      </c>
    </row>
    <row r="58" spans="2:12" ht="15.45" x14ac:dyDescent="0.4">
      <c r="B58" s="1">
        <v>38</v>
      </c>
      <c r="C58" s="1">
        <v>255.91233573030442</v>
      </c>
      <c r="D58" s="1">
        <v>991.97140805433412</v>
      </c>
      <c r="E58" s="1">
        <v>992.78381615463252</v>
      </c>
      <c r="F58" s="1">
        <v>15.421425983172753</v>
      </c>
      <c r="G58" s="1">
        <v>736.05907232402967</v>
      </c>
      <c r="H58" s="1">
        <v>0.81240810029839849</v>
      </c>
      <c r="I58" s="1">
        <v>736.87148042432807</v>
      </c>
    </row>
    <row r="59" spans="2:12" ht="15.45" x14ac:dyDescent="0.4">
      <c r="B59" s="1">
        <v>39</v>
      </c>
      <c r="C59" s="1">
        <v>269.67699497497654</v>
      </c>
      <c r="D59" s="1">
        <v>992.78381615463252</v>
      </c>
      <c r="E59" s="1">
        <v>998.39164700411743</v>
      </c>
      <c r="F59" s="1">
        <v>13.764659244672117</v>
      </c>
      <c r="G59" s="1">
        <v>723.10682117965598</v>
      </c>
      <c r="H59" s="1">
        <v>5.6078308494849125</v>
      </c>
      <c r="I59" s="1">
        <v>728.71465202914089</v>
      </c>
    </row>
    <row r="60" spans="2:12" ht="15.45" x14ac:dyDescent="0.4">
      <c r="B60" s="1">
        <v>40</v>
      </c>
      <c r="C60" s="1">
        <v>274.66764576505113</v>
      </c>
      <c r="D60" s="1">
        <v>998.39164700411743</v>
      </c>
      <c r="E60" s="1">
        <v>1009.9822486007247</v>
      </c>
      <c r="F60" s="1">
        <v>4.9906507900745964</v>
      </c>
      <c r="G60" s="1">
        <v>723.7240012390663</v>
      </c>
      <c r="H60" s="1">
        <v>11.590601596607257</v>
      </c>
      <c r="I60" s="1">
        <v>735.31460283567355</v>
      </c>
    </row>
    <row r="61" spans="2:12" ht="15.45" x14ac:dyDescent="0.4">
      <c r="B61" s="1">
        <v>41</v>
      </c>
      <c r="C61" s="1">
        <v>276.36378799601283</v>
      </c>
      <c r="D61" s="1">
        <v>1009.9822486007247</v>
      </c>
      <c r="E61" s="1">
        <v>1041.502016806229</v>
      </c>
      <c r="F61" s="1">
        <v>1.6961422309616978</v>
      </c>
      <c r="G61" s="1">
        <v>733.6184606047118</v>
      </c>
      <c r="H61" s="1">
        <v>31.519768205504306</v>
      </c>
      <c r="I61" s="1">
        <v>765.13822881021611</v>
      </c>
    </row>
    <row r="62" spans="2:12" ht="19.75" x14ac:dyDescent="0.4">
      <c r="B62" s="1">
        <v>42</v>
      </c>
      <c r="C62" s="1">
        <v>284.91441628006942</v>
      </c>
      <c r="D62" s="1">
        <v>1041.502016806229</v>
      </c>
      <c r="E62" s="1">
        <v>1046.0234539596327</v>
      </c>
      <c r="F62" s="1">
        <v>8.5506282840565859</v>
      </c>
      <c r="G62" s="1">
        <v>756.58760052615958</v>
      </c>
      <c r="H62" s="1">
        <v>4.5214371534036673</v>
      </c>
      <c r="I62" s="1">
        <v>761.10903767956324</v>
      </c>
      <c r="L62" s="8" t="s">
        <v>38</v>
      </c>
    </row>
    <row r="63" spans="2:12" ht="15.45" x14ac:dyDescent="0.4">
      <c r="B63" s="1">
        <v>43</v>
      </c>
      <c r="C63" s="1">
        <v>289.72063385628007</v>
      </c>
      <c r="D63" s="1">
        <v>1046.0234539596327</v>
      </c>
      <c r="E63" s="1">
        <v>1049.9873874768848</v>
      </c>
      <c r="F63" s="1">
        <v>4.8062175762106563</v>
      </c>
      <c r="G63" s="1">
        <v>756.30282010335259</v>
      </c>
      <c r="H63" s="1">
        <v>3.9639335172521442</v>
      </c>
      <c r="I63" s="1">
        <v>760.26675362060473</v>
      </c>
    </row>
    <row r="64" spans="2:12" ht="15.45" x14ac:dyDescent="0.4">
      <c r="B64" s="1">
        <v>44</v>
      </c>
      <c r="C64" s="1">
        <v>291.83947887502666</v>
      </c>
      <c r="D64" s="1">
        <v>1049.9873874768848</v>
      </c>
      <c r="E64" s="1">
        <v>1068.2530639715224</v>
      </c>
      <c r="F64" s="1">
        <v>2.1188450187465833</v>
      </c>
      <c r="G64" s="1">
        <v>758.14790860185815</v>
      </c>
      <c r="H64" s="1">
        <v>18.265676494637546</v>
      </c>
      <c r="I64" s="1">
        <v>776.41358509649569</v>
      </c>
    </row>
    <row r="65" spans="2:23" ht="15.45" x14ac:dyDescent="0.4">
      <c r="B65" s="1">
        <v>45</v>
      </c>
      <c r="C65" s="1">
        <v>298.29480243301521</v>
      </c>
      <c r="D65" s="1">
        <v>1068.2530639715224</v>
      </c>
      <c r="E65" s="1">
        <v>1076.8365954958442</v>
      </c>
      <c r="F65" s="1">
        <v>6.4553235579885495</v>
      </c>
      <c r="G65" s="1">
        <v>769.95826153850714</v>
      </c>
      <c r="H65" s="1">
        <v>8.5835315243218702</v>
      </c>
      <c r="I65" s="1">
        <v>778.54179306282902</v>
      </c>
    </row>
    <row r="66" spans="2:23" ht="15.45" x14ac:dyDescent="0.4">
      <c r="B66" s="1">
        <v>46</v>
      </c>
      <c r="C66" s="1">
        <v>309.63259408436744</v>
      </c>
      <c r="D66" s="1">
        <v>1076.8365954958442</v>
      </c>
      <c r="E66" s="1">
        <v>1087.8066251278585</v>
      </c>
      <c r="F66" s="1">
        <v>11.337791651352234</v>
      </c>
      <c r="G66" s="1">
        <v>767.20400141147684</v>
      </c>
      <c r="H66" s="1">
        <v>10.970029632014302</v>
      </c>
      <c r="I66" s="1">
        <v>778.17403104349114</v>
      </c>
    </row>
    <row r="67" spans="2:23" ht="15.45" x14ac:dyDescent="0.4">
      <c r="B67" s="1">
        <v>47</v>
      </c>
      <c r="C67" s="1">
        <v>313.73024587613713</v>
      </c>
      <c r="D67" s="1">
        <v>1087.8066251278585</v>
      </c>
      <c r="E67" s="1">
        <v>1092.0756774939377</v>
      </c>
      <c r="F67" s="1">
        <v>4.0976517917696924</v>
      </c>
      <c r="G67" s="1">
        <v>774.07637925172139</v>
      </c>
      <c r="H67" s="1">
        <v>4.2690523660792223</v>
      </c>
      <c r="I67" s="1">
        <v>778.34543161780061</v>
      </c>
    </row>
    <row r="68" spans="2:23" ht="15.45" x14ac:dyDescent="0.4">
      <c r="B68" s="1">
        <v>48</v>
      </c>
      <c r="C68" s="1">
        <v>317.7217856176174</v>
      </c>
      <c r="D68" s="1">
        <v>1092.0756774939377</v>
      </c>
      <c r="E68" s="1">
        <v>1122.6912420216738</v>
      </c>
      <c r="F68" s="1">
        <v>3.9915397414802669</v>
      </c>
      <c r="G68" s="1">
        <v>774.3538918763204</v>
      </c>
      <c r="H68" s="1">
        <v>30.615564527736069</v>
      </c>
      <c r="I68" s="1">
        <v>804.96945640405647</v>
      </c>
    </row>
    <row r="69" spans="2:23" ht="15.45" x14ac:dyDescent="0.4">
      <c r="B69" s="1">
        <v>49</v>
      </c>
      <c r="C69" s="1">
        <v>318.36354156840935</v>
      </c>
      <c r="D69" s="1">
        <v>1122.6912420216738</v>
      </c>
      <c r="E69" s="1">
        <v>1128.4589958800436</v>
      </c>
      <c r="F69" s="1">
        <v>0.64175595079194636</v>
      </c>
      <c r="G69" s="1">
        <v>804.32770045326447</v>
      </c>
      <c r="H69" s="1">
        <v>5.7677538583698151</v>
      </c>
      <c r="I69" s="1">
        <v>810.09545431163428</v>
      </c>
    </row>
    <row r="70" spans="2:23" ht="15.45" x14ac:dyDescent="0.4">
      <c r="B70" s="1">
        <v>50</v>
      </c>
      <c r="C70" s="1">
        <v>319.03584068240417</v>
      </c>
      <c r="D70" s="1">
        <v>1128.4589958800436</v>
      </c>
      <c r="E70" s="1">
        <v>1174.723273829562</v>
      </c>
      <c r="F70" s="1">
        <v>0.67229911399482489</v>
      </c>
      <c r="G70" s="1">
        <v>809.42315519763952</v>
      </c>
      <c r="H70" s="1">
        <v>46.264277949518373</v>
      </c>
      <c r="I70" s="1">
        <v>855.68743314715789</v>
      </c>
    </row>
    <row r="71" spans="2:23" ht="15.45" x14ac:dyDescent="0.4">
      <c r="B71" s="1">
        <v>51</v>
      </c>
      <c r="C71" s="1">
        <v>328.73037631956151</v>
      </c>
      <c r="D71" s="1">
        <v>1174.723273829562</v>
      </c>
      <c r="E71" s="1">
        <v>1216.0172515635784</v>
      </c>
      <c r="F71" s="1">
        <v>9.6945356371573439</v>
      </c>
      <c r="G71" s="1">
        <v>845.99289751000049</v>
      </c>
      <c r="H71" s="1">
        <v>41.29397773401638</v>
      </c>
      <c r="I71" s="1">
        <v>887.28687524401687</v>
      </c>
    </row>
    <row r="72" spans="2:23" ht="15.45" x14ac:dyDescent="0.4">
      <c r="B72" s="1">
        <v>52</v>
      </c>
      <c r="C72" s="1">
        <v>343.9731691262059</v>
      </c>
      <c r="D72" s="1">
        <v>1216.0172515635784</v>
      </c>
      <c r="E72" s="1">
        <v>1230.9892039338022</v>
      </c>
      <c r="F72" s="1">
        <v>15.242792806644388</v>
      </c>
      <c r="G72" s="1">
        <v>872.04408243737248</v>
      </c>
      <c r="H72" s="1">
        <v>14.971952370223789</v>
      </c>
      <c r="I72" s="1">
        <v>887.01603480759627</v>
      </c>
    </row>
    <row r="73" spans="2:23" ht="15.45" x14ac:dyDescent="0.4">
      <c r="B73" s="1">
        <v>53</v>
      </c>
      <c r="C73" s="1">
        <v>393.10531801686034</v>
      </c>
      <c r="D73" s="1">
        <v>1230.9892039338022</v>
      </c>
      <c r="E73" s="1">
        <v>1236.0776306266873</v>
      </c>
      <c r="F73" s="1">
        <v>49.132148890654435</v>
      </c>
      <c r="G73" s="1">
        <v>837.88388591694184</v>
      </c>
      <c r="H73" s="1">
        <v>5.0884266928851503</v>
      </c>
      <c r="I73" s="1">
        <v>842.97231260982699</v>
      </c>
    </row>
    <row r="74" spans="2:23" ht="15.45" x14ac:dyDescent="0.4">
      <c r="B74" s="1">
        <v>54</v>
      </c>
      <c r="C74" s="1">
        <v>401.4635618937092</v>
      </c>
      <c r="D74" s="1">
        <v>1236.0776306266873</v>
      </c>
      <c r="E74" s="1">
        <v>1261.7295154788569</v>
      </c>
      <c r="F74" s="1">
        <v>8.3582438768488601</v>
      </c>
      <c r="G74" s="1">
        <v>834.61406873297813</v>
      </c>
      <c r="H74" s="1">
        <v>25.651884852169587</v>
      </c>
      <c r="I74" s="1">
        <v>860.26595358514771</v>
      </c>
    </row>
    <row r="75" spans="2:23" ht="15.45" x14ac:dyDescent="0.4">
      <c r="B75" s="1">
        <v>55</v>
      </c>
      <c r="C75" s="1">
        <v>427.80447356449821</v>
      </c>
      <c r="D75" s="1">
        <v>1261.7295154788569</v>
      </c>
      <c r="E75" s="1">
        <v>1276.1481682074889</v>
      </c>
      <c r="F75" s="1">
        <v>26.340911670789012</v>
      </c>
      <c r="G75" s="1">
        <v>833.92504191435864</v>
      </c>
      <c r="H75" s="1">
        <v>14.418652728631969</v>
      </c>
      <c r="I75" s="1">
        <v>848.34369464299061</v>
      </c>
      <c r="K75" s="17" t="s">
        <v>24</v>
      </c>
      <c r="W75" s="17" t="s">
        <v>36</v>
      </c>
    </row>
    <row r="76" spans="2:23" ht="15.45" x14ac:dyDescent="0.4">
      <c r="B76" s="1">
        <v>56</v>
      </c>
      <c r="C76" s="1">
        <v>435.67017268946654</v>
      </c>
      <c r="D76" s="1">
        <v>1276.1481682074889</v>
      </c>
      <c r="E76" s="1">
        <v>1282.5047032637287</v>
      </c>
      <c r="F76" s="1">
        <v>7.8656991249683301</v>
      </c>
      <c r="G76" s="1">
        <v>840.47799551802234</v>
      </c>
      <c r="H76" s="1">
        <v>6.3565350562398635</v>
      </c>
      <c r="I76" s="1">
        <v>846.8345305742622</v>
      </c>
    </row>
    <row r="77" spans="2:23" ht="15.45" x14ac:dyDescent="0.4">
      <c r="B77" s="1">
        <v>57</v>
      </c>
      <c r="C77" s="1">
        <v>474.88326620979734</v>
      </c>
      <c r="D77" s="1">
        <v>1282.5047032637287</v>
      </c>
      <c r="E77" s="1">
        <v>1301.8706739376944</v>
      </c>
      <c r="F77" s="1">
        <v>39.213093520330801</v>
      </c>
      <c r="G77" s="1">
        <v>807.62143705393146</v>
      </c>
      <c r="H77" s="1">
        <v>19.365970673965649</v>
      </c>
      <c r="I77" s="1">
        <v>826.98740772789711</v>
      </c>
    </row>
    <row r="78" spans="2:23" ht="15.45" x14ac:dyDescent="0.4">
      <c r="B78" s="1">
        <v>58</v>
      </c>
      <c r="C78" s="1">
        <v>479.08805318722955</v>
      </c>
      <c r="D78" s="1">
        <v>1301.8706739376944</v>
      </c>
      <c r="E78" s="1">
        <v>1335.884048891751</v>
      </c>
      <c r="F78" s="1">
        <v>4.2047869774322066</v>
      </c>
      <c r="G78" s="1">
        <v>822.78262075046484</v>
      </c>
      <c r="H78" s="1">
        <v>34.013374954056644</v>
      </c>
      <c r="I78" s="1">
        <v>856.79599570452149</v>
      </c>
    </row>
    <row r="79" spans="2:23" ht="15.45" x14ac:dyDescent="0.4">
      <c r="B79" s="1">
        <v>59</v>
      </c>
      <c r="C79" s="1">
        <v>487.89789216955575</v>
      </c>
      <c r="D79" s="1">
        <v>1335.884048891751</v>
      </c>
      <c r="E79" s="1">
        <v>1348.1770042670603</v>
      </c>
      <c r="F79" s="1">
        <v>8.8098389823261982</v>
      </c>
      <c r="G79" s="1">
        <v>847.98615672219535</v>
      </c>
      <c r="H79" s="1">
        <v>12.292955375309248</v>
      </c>
      <c r="I79" s="1">
        <v>860.27911209750459</v>
      </c>
    </row>
    <row r="80" spans="2:23" ht="15.45" x14ac:dyDescent="0.4">
      <c r="B80" s="1">
        <v>60</v>
      </c>
      <c r="C80" s="1">
        <v>492.16849476187707</v>
      </c>
      <c r="D80" s="1">
        <v>1348.1770042670603</v>
      </c>
      <c r="E80" s="1">
        <v>1360.1516234915011</v>
      </c>
      <c r="F80" s="1">
        <v>4.2706025923213247</v>
      </c>
      <c r="G80" s="1">
        <v>856.00850950518316</v>
      </c>
      <c r="H80" s="1">
        <v>11.974619224440858</v>
      </c>
      <c r="I80" s="1">
        <v>867.98312872962401</v>
      </c>
      <c r="K80" s="17"/>
    </row>
    <row r="81" spans="2:15" ht="15.45" x14ac:dyDescent="0.4">
      <c r="B81" s="1">
        <v>61</v>
      </c>
      <c r="C81" s="1">
        <v>495.66145034511021</v>
      </c>
      <c r="D81" s="1">
        <v>1360.1516234915011</v>
      </c>
      <c r="E81" s="1">
        <v>1362.0768913438769</v>
      </c>
      <c r="F81" s="1">
        <v>3.4929555832331403</v>
      </c>
      <c r="G81" s="1">
        <v>864.49017314639093</v>
      </c>
      <c r="H81" s="1">
        <v>1.9252678523757822</v>
      </c>
      <c r="I81" s="1">
        <v>866.41544099876671</v>
      </c>
    </row>
    <row r="82" spans="2:15" ht="15.45" x14ac:dyDescent="0.4">
      <c r="B82" s="1">
        <v>62</v>
      </c>
      <c r="C82" s="1">
        <v>497.49671458217466</v>
      </c>
      <c r="D82" s="1">
        <v>1362.0768913438769</v>
      </c>
      <c r="E82" s="1">
        <v>1364.0937886858615</v>
      </c>
      <c r="F82" s="1">
        <v>1.8352642370644503</v>
      </c>
      <c r="G82" s="1">
        <v>864.58017676170221</v>
      </c>
      <c r="H82" s="1">
        <v>2.0168973419845315</v>
      </c>
      <c r="I82" s="1">
        <v>866.59707410368674</v>
      </c>
    </row>
    <row r="83" spans="2:15" ht="19.75" x14ac:dyDescent="0.4">
      <c r="B83" s="1">
        <v>63</v>
      </c>
      <c r="C83" s="1">
        <v>505.30413046943687</v>
      </c>
      <c r="D83" s="1">
        <v>1364.0937886858615</v>
      </c>
      <c r="E83" s="1">
        <v>1393.1773955973335</v>
      </c>
      <c r="F83" s="1">
        <v>7.8074158872622093</v>
      </c>
      <c r="G83" s="1">
        <v>858.78965821642464</v>
      </c>
      <c r="H83" s="1">
        <v>29.083606911472089</v>
      </c>
      <c r="I83" s="1">
        <v>887.87326512789673</v>
      </c>
      <c r="L83" s="8" t="s">
        <v>39</v>
      </c>
      <c r="O83" s="8"/>
    </row>
    <row r="84" spans="2:15" ht="15.45" x14ac:dyDescent="0.4">
      <c r="B84" s="1">
        <v>64</v>
      </c>
      <c r="C84" s="1">
        <v>511.89206571586425</v>
      </c>
      <c r="D84" s="1">
        <v>1393.1773955973335</v>
      </c>
      <c r="E84" s="1">
        <v>1438.9057740172666</v>
      </c>
      <c r="F84" s="1">
        <v>6.5879352464273779</v>
      </c>
      <c r="G84" s="1">
        <v>881.28532988146935</v>
      </c>
      <c r="H84" s="1">
        <v>45.728378419933051</v>
      </c>
      <c r="I84" s="1">
        <v>927.0137083014024</v>
      </c>
    </row>
    <row r="85" spans="2:15" ht="15.45" x14ac:dyDescent="0.4">
      <c r="B85" s="1">
        <v>65</v>
      </c>
      <c r="C85" s="1">
        <v>535.94474470487808</v>
      </c>
      <c r="D85" s="1">
        <v>1438.9057740172666</v>
      </c>
      <c r="E85" s="1">
        <v>1586.3022206892299</v>
      </c>
      <c r="F85" s="1">
        <v>24.052678989013828</v>
      </c>
      <c r="G85" s="1">
        <v>902.96102931238852</v>
      </c>
      <c r="H85" s="1">
        <v>147.3964466719633</v>
      </c>
      <c r="I85" s="1">
        <v>1050.3574759843518</v>
      </c>
    </row>
    <row r="86" spans="2:15" ht="15.45" x14ac:dyDescent="0.4">
      <c r="B86" s="1">
        <v>66</v>
      </c>
      <c r="C86" s="1">
        <v>545.35885504891837</v>
      </c>
      <c r="D86" s="1">
        <v>1586.3022206892301</v>
      </c>
      <c r="E86" s="1">
        <v>1611.3769523197766</v>
      </c>
      <c r="F86" s="1">
        <v>9.4141103440402958</v>
      </c>
      <c r="G86" s="1">
        <v>1040.9433656403116</v>
      </c>
      <c r="H86" s="1">
        <v>25.074731630546466</v>
      </c>
      <c r="I86" s="1">
        <v>1066.0180972708581</v>
      </c>
    </row>
    <row r="87" spans="2:15" ht="15.45" x14ac:dyDescent="0.4">
      <c r="B87" s="1">
        <v>67</v>
      </c>
      <c r="C87" s="1">
        <v>562.10233390002122</v>
      </c>
      <c r="D87" s="1">
        <v>1611.3769523197766</v>
      </c>
      <c r="E87" s="1">
        <v>1690.3996873321437</v>
      </c>
      <c r="F87" s="1">
        <v>16.74347885110285</v>
      </c>
      <c r="G87" s="1">
        <v>1049.2746184197554</v>
      </c>
      <c r="H87" s="1">
        <v>79.022735012367093</v>
      </c>
      <c r="I87" s="1">
        <v>1128.2973534321225</v>
      </c>
    </row>
    <row r="88" spans="2:15" ht="15.45" x14ac:dyDescent="0.4">
      <c r="B88" s="1">
        <v>68</v>
      </c>
      <c r="C88" s="1">
        <v>586.81674135934452</v>
      </c>
      <c r="D88" s="1">
        <v>1690.3996873321439</v>
      </c>
      <c r="E88" s="1">
        <v>1713.9967847070491</v>
      </c>
      <c r="F88" s="1">
        <v>24.714407459323297</v>
      </c>
      <c r="G88" s="1">
        <v>1103.5829459727993</v>
      </c>
      <c r="H88" s="1">
        <v>23.597097374905161</v>
      </c>
      <c r="I88" s="1">
        <v>1127.1800433477047</v>
      </c>
    </row>
    <row r="89" spans="2:15" ht="15.45" x14ac:dyDescent="0.4">
      <c r="B89" s="1">
        <v>69</v>
      </c>
      <c r="C89" s="1">
        <v>605.69169575270848</v>
      </c>
      <c r="D89" s="1">
        <v>1713.9967847070491</v>
      </c>
      <c r="E89" s="1">
        <v>1831.6360652680414</v>
      </c>
      <c r="F89" s="1">
        <v>18.874954393363964</v>
      </c>
      <c r="G89" s="1">
        <v>1108.3050889543406</v>
      </c>
      <c r="H89" s="1">
        <v>117.63928056099235</v>
      </c>
      <c r="I89" s="1">
        <v>1225.9443695153329</v>
      </c>
    </row>
    <row r="90" spans="2:15" ht="15.45" x14ac:dyDescent="0.4">
      <c r="B90" s="1">
        <v>70</v>
      </c>
      <c r="C90" s="1">
        <v>606.1614330623612</v>
      </c>
      <c r="D90" s="1">
        <v>1831.6360652680414</v>
      </c>
      <c r="E90" s="1">
        <v>1844.2504262003381</v>
      </c>
      <c r="F90" s="1">
        <v>0.46973730965271443</v>
      </c>
      <c r="G90" s="1">
        <v>1225.4746322056803</v>
      </c>
      <c r="H90" s="1">
        <v>12.614360932296677</v>
      </c>
      <c r="I90" s="1">
        <v>1238.088993137977</v>
      </c>
    </row>
    <row r="91" spans="2:15" ht="15.45" x14ac:dyDescent="0.4">
      <c r="B91" s="1">
        <v>71</v>
      </c>
      <c r="C91" s="1">
        <v>611.26823231701371</v>
      </c>
      <c r="D91" s="1">
        <v>1844.2504262003381</v>
      </c>
      <c r="E91" s="1">
        <v>1870.6799431473166</v>
      </c>
      <c r="F91" s="1">
        <v>5.1067992546525147</v>
      </c>
      <c r="G91" s="1">
        <v>1232.9821938833243</v>
      </c>
      <c r="H91" s="1">
        <v>26.429516946978538</v>
      </c>
      <c r="I91" s="1">
        <v>1259.411710830303</v>
      </c>
    </row>
    <row r="92" spans="2:15" ht="15.45" x14ac:dyDescent="0.4">
      <c r="B92" s="1">
        <v>72</v>
      </c>
      <c r="C92" s="1">
        <v>616.7103063349598</v>
      </c>
      <c r="D92" s="1">
        <v>1870.6799431473166</v>
      </c>
      <c r="E92" s="1">
        <v>1883.4917509242805</v>
      </c>
      <c r="F92" s="1">
        <v>5.4420740179460836</v>
      </c>
      <c r="G92" s="1">
        <v>1253.9696368123568</v>
      </c>
      <c r="H92" s="1">
        <v>12.81180777696386</v>
      </c>
      <c r="I92" s="1">
        <v>1266.7814445893207</v>
      </c>
    </row>
    <row r="93" spans="2:15" ht="15.45" x14ac:dyDescent="0.4">
      <c r="B93" s="1">
        <v>73</v>
      </c>
      <c r="C93" s="1">
        <v>634.58016321607124</v>
      </c>
      <c r="D93" s="1">
        <v>1883.4917509242805</v>
      </c>
      <c r="E93" s="1">
        <v>1893.9706176739801</v>
      </c>
      <c r="F93" s="1">
        <v>17.869856881111446</v>
      </c>
      <c r="G93" s="1">
        <v>1248.9115877082093</v>
      </c>
      <c r="H93" s="1">
        <v>10.478866749699591</v>
      </c>
      <c r="I93" s="1">
        <v>1259.3904544579088</v>
      </c>
    </row>
    <row r="94" spans="2:15" ht="15.45" x14ac:dyDescent="0.4">
      <c r="B94" s="1">
        <v>74</v>
      </c>
      <c r="C94" s="1">
        <v>654.12367580771263</v>
      </c>
      <c r="D94" s="1">
        <v>1893.9706176739801</v>
      </c>
      <c r="E94" s="1">
        <v>1899.4764103851735</v>
      </c>
      <c r="F94" s="1">
        <v>19.543512591641388</v>
      </c>
      <c r="G94" s="1">
        <v>1239.8469418662676</v>
      </c>
      <c r="H94" s="1">
        <v>5.5057927111934077</v>
      </c>
      <c r="I94" s="1">
        <v>1245.352734577461</v>
      </c>
    </row>
    <row r="95" spans="2:15" ht="15.45" x14ac:dyDescent="0.4">
      <c r="B95" s="1">
        <v>75</v>
      </c>
      <c r="C95" s="1">
        <v>654.2280668632186</v>
      </c>
      <c r="D95" s="1">
        <v>1899.4764103851735</v>
      </c>
      <c r="E95" s="1">
        <v>1922.89865804696</v>
      </c>
      <c r="F95" s="1">
        <v>0.10439105550597105</v>
      </c>
      <c r="G95" s="1">
        <v>1245.2483435219549</v>
      </c>
      <c r="H95" s="1">
        <v>23.422247661786514</v>
      </c>
      <c r="I95" s="1">
        <v>1268.6705911837414</v>
      </c>
    </row>
    <row r="96" spans="2:15" ht="15.45" x14ac:dyDescent="0.4">
      <c r="B96" s="1">
        <v>76</v>
      </c>
      <c r="C96" s="1">
        <v>661.16970340597652</v>
      </c>
      <c r="D96" s="1">
        <v>1922.89865804696</v>
      </c>
      <c r="E96" s="1">
        <v>1942.6624637862421</v>
      </c>
      <c r="F96" s="1">
        <v>6.9416365427579194</v>
      </c>
      <c r="G96" s="1">
        <v>1261.7289546409834</v>
      </c>
      <c r="H96" s="1">
        <v>19.763805739282134</v>
      </c>
      <c r="I96" s="1">
        <v>1281.4927603802657</v>
      </c>
    </row>
    <row r="97" spans="2:9" ht="15.45" x14ac:dyDescent="0.4">
      <c r="B97" s="1">
        <v>77</v>
      </c>
      <c r="C97" s="1">
        <v>662.32615032962372</v>
      </c>
      <c r="D97" s="1">
        <v>1942.6624637862421</v>
      </c>
      <c r="E97" s="1">
        <v>2014.8205007532838</v>
      </c>
      <c r="F97" s="1">
        <v>1.156446923647195</v>
      </c>
      <c r="G97" s="1">
        <v>1280.3363134566184</v>
      </c>
      <c r="H97" s="1">
        <v>72.158036967041653</v>
      </c>
      <c r="I97" s="1">
        <v>1352.4943504236601</v>
      </c>
    </row>
    <row r="98" spans="2:9" ht="15.45" x14ac:dyDescent="0.4">
      <c r="B98" s="1">
        <v>78</v>
      </c>
      <c r="C98" s="1">
        <v>674.47612754418253</v>
      </c>
      <c r="D98" s="1">
        <v>2014.8205007532838</v>
      </c>
      <c r="E98" s="1">
        <v>2043.0628317854048</v>
      </c>
      <c r="F98" s="1">
        <v>12.149977214558817</v>
      </c>
      <c r="G98" s="1">
        <v>1340.3443732091014</v>
      </c>
      <c r="H98" s="1">
        <v>28.242331032121001</v>
      </c>
      <c r="I98" s="1">
        <v>1368.5867042412224</v>
      </c>
    </row>
    <row r="99" spans="2:9" ht="15.45" x14ac:dyDescent="0.4">
      <c r="B99" s="1">
        <v>79</v>
      </c>
      <c r="C99" s="1">
        <v>712.25361881261506</v>
      </c>
      <c r="D99" s="1">
        <v>2043.0628317854048</v>
      </c>
      <c r="E99" s="1">
        <v>2093.293268338713</v>
      </c>
      <c r="F99" s="1">
        <v>37.777491268432527</v>
      </c>
      <c r="G99" s="1">
        <v>1330.8092129727897</v>
      </c>
      <c r="H99" s="1">
        <v>50.230436553308209</v>
      </c>
      <c r="I99" s="1">
        <v>1381.0396495260979</v>
      </c>
    </row>
    <row r="100" spans="2:9" ht="15.45" x14ac:dyDescent="0.4">
      <c r="B100" s="1">
        <v>80</v>
      </c>
      <c r="C100" s="1">
        <v>722.23584076695386</v>
      </c>
      <c r="D100" s="1">
        <v>2093.293268338713</v>
      </c>
      <c r="E100" s="1">
        <v>2167.4364907166828</v>
      </c>
      <c r="F100" s="1">
        <v>9.9822219543387973</v>
      </c>
      <c r="G100" s="1">
        <v>1371.057427571759</v>
      </c>
      <c r="H100" s="1">
        <v>74.143222377969778</v>
      </c>
      <c r="I100" s="1">
        <v>1445.2006499497288</v>
      </c>
    </row>
    <row r="101" spans="2:9" ht="15.45" x14ac:dyDescent="0.4">
      <c r="B101" s="1">
        <v>81</v>
      </c>
      <c r="C101" s="1">
        <v>736.15672577309078</v>
      </c>
      <c r="D101" s="1">
        <v>2167.4364907166828</v>
      </c>
      <c r="E101" s="1">
        <v>2224.0613538967746</v>
      </c>
      <c r="F101" s="1">
        <v>13.920885006136928</v>
      </c>
      <c r="G101" s="1">
        <v>1431.279764943592</v>
      </c>
      <c r="H101" s="1">
        <v>56.624863180091779</v>
      </c>
      <c r="I101" s="1">
        <v>1487.9046281236838</v>
      </c>
    </row>
    <row r="102" spans="2:9" ht="15.45" x14ac:dyDescent="0.4">
      <c r="B102" s="1">
        <v>82</v>
      </c>
      <c r="C102" s="1">
        <v>737.13306451707308</v>
      </c>
      <c r="D102" s="1">
        <v>2224.0613538967746</v>
      </c>
      <c r="E102" s="1">
        <v>2225.4705658257326</v>
      </c>
      <c r="F102" s="1">
        <v>0.97633874398229636</v>
      </c>
      <c r="G102" s="1">
        <v>1486.9282893797015</v>
      </c>
      <c r="H102" s="1">
        <v>1.4092119289580296</v>
      </c>
      <c r="I102" s="1">
        <v>1488.3375013086595</v>
      </c>
    </row>
    <row r="103" spans="2:9" ht="15.45" x14ac:dyDescent="0.4">
      <c r="B103" s="1">
        <v>83</v>
      </c>
      <c r="C103" s="1">
        <v>740.18668141915782</v>
      </c>
      <c r="D103" s="1">
        <v>2225.4705658257326</v>
      </c>
      <c r="E103" s="1">
        <v>2240.7909635896899</v>
      </c>
      <c r="F103" s="1">
        <v>3.053616902084741</v>
      </c>
      <c r="G103" s="1">
        <v>1485.2838844065748</v>
      </c>
      <c r="H103" s="1">
        <v>15.320397763957317</v>
      </c>
      <c r="I103" s="1">
        <v>1500.6042821705321</v>
      </c>
    </row>
    <row r="104" spans="2:9" ht="15.45" x14ac:dyDescent="0.4">
      <c r="B104" s="1">
        <v>84</v>
      </c>
      <c r="C104" s="1">
        <v>740.60963029261006</v>
      </c>
      <c r="D104" s="1">
        <v>2240.7909635896899</v>
      </c>
      <c r="E104" s="1">
        <v>2257.117185643528</v>
      </c>
      <c r="F104" s="1">
        <v>0.42294887345224197</v>
      </c>
      <c r="G104" s="1">
        <v>1500.1813332970798</v>
      </c>
      <c r="H104" s="1">
        <v>16.326222053838137</v>
      </c>
      <c r="I104" s="1">
        <v>1516.507555350918</v>
      </c>
    </row>
    <row r="105" spans="2:9" ht="15.45" x14ac:dyDescent="0.4">
      <c r="B105" s="1">
        <v>85</v>
      </c>
      <c r="C105" s="1">
        <v>752.15389424021475</v>
      </c>
      <c r="D105" s="1">
        <v>2257.117185643528</v>
      </c>
      <c r="E105" s="1">
        <v>2310.7267562868624</v>
      </c>
      <c r="F105" s="1">
        <v>11.544263947604691</v>
      </c>
      <c r="G105" s="1">
        <v>1504.9632914033132</v>
      </c>
      <c r="H105" s="1">
        <v>53.609570643334337</v>
      </c>
      <c r="I105" s="1">
        <v>1558.5728620466475</v>
      </c>
    </row>
    <row r="106" spans="2:9" ht="15.45" x14ac:dyDescent="0.4">
      <c r="B106" s="1">
        <v>86</v>
      </c>
      <c r="C106" s="1">
        <v>761.1278779687409</v>
      </c>
      <c r="D106" s="1">
        <v>2310.7267562868624</v>
      </c>
      <c r="E106" s="1">
        <v>2369.3572940617869</v>
      </c>
      <c r="F106" s="1">
        <v>8.9739837285261501</v>
      </c>
      <c r="G106" s="1">
        <v>1549.5988783181215</v>
      </c>
      <c r="H106" s="1">
        <v>58.630537774924505</v>
      </c>
      <c r="I106" s="1">
        <v>1608.229416093046</v>
      </c>
    </row>
    <row r="107" spans="2:9" ht="15.45" x14ac:dyDescent="0.4">
      <c r="B107" s="1">
        <v>87</v>
      </c>
      <c r="C107" s="1">
        <v>770.37126179745621</v>
      </c>
      <c r="D107" s="1">
        <v>2369.3572940617869</v>
      </c>
      <c r="E107" s="1">
        <v>2369.6704672283049</v>
      </c>
      <c r="F107" s="1">
        <v>9.2433838287153094</v>
      </c>
      <c r="G107" s="1">
        <v>1598.9860322643308</v>
      </c>
      <c r="H107" s="1">
        <v>0.31317316651802685</v>
      </c>
      <c r="I107" s="1">
        <v>1599.2992054308488</v>
      </c>
    </row>
    <row r="108" spans="2:9" ht="15.45" x14ac:dyDescent="0.4">
      <c r="B108" s="1">
        <v>88</v>
      </c>
      <c r="C108" s="1">
        <v>778.82528184839327</v>
      </c>
      <c r="D108" s="1">
        <v>2369.6704672283049</v>
      </c>
      <c r="E108" s="1">
        <v>2390.4953768565788</v>
      </c>
      <c r="F108" s="1">
        <v>8.4540200509370607</v>
      </c>
      <c r="G108" s="1">
        <v>1590.8451853799115</v>
      </c>
      <c r="H108" s="1">
        <v>20.824909628273872</v>
      </c>
      <c r="I108" s="1">
        <v>1611.6700950081854</v>
      </c>
    </row>
    <row r="109" spans="2:9" ht="15.45" x14ac:dyDescent="0.4">
      <c r="B109" s="1">
        <v>89</v>
      </c>
      <c r="C109" s="1">
        <v>789.83859938286434</v>
      </c>
      <c r="D109" s="1">
        <v>2390.4953768565788</v>
      </c>
      <c r="E109" s="1">
        <v>2393.9647176275203</v>
      </c>
      <c r="F109" s="1">
        <v>11.013317534471071</v>
      </c>
      <c r="G109" s="1">
        <v>1600.6567774737146</v>
      </c>
      <c r="H109" s="1">
        <v>3.4693407709414714</v>
      </c>
      <c r="I109" s="1">
        <v>1604.126118244656</v>
      </c>
    </row>
    <row r="110" spans="2:9" ht="15.45" x14ac:dyDescent="0.4">
      <c r="B110" s="1">
        <v>90</v>
      </c>
      <c r="C110" s="1">
        <v>794.4633942978528</v>
      </c>
      <c r="D110" s="1">
        <v>2393.9647176275203</v>
      </c>
      <c r="E110" s="1">
        <v>2430.4146492711966</v>
      </c>
      <c r="F110" s="1">
        <v>4.6247949149884562</v>
      </c>
      <c r="G110" s="1">
        <v>1599.5013233296675</v>
      </c>
      <c r="H110" s="1">
        <v>36.449931643676337</v>
      </c>
      <c r="I110" s="1">
        <v>1635.9512549733438</v>
      </c>
    </row>
    <row r="111" spans="2:9" ht="15.45" x14ac:dyDescent="0.4">
      <c r="B111" s="1">
        <v>91</v>
      </c>
      <c r="C111" s="1">
        <v>797.02166143322393</v>
      </c>
      <c r="D111" s="1">
        <v>2430.4146492711966</v>
      </c>
      <c r="E111" s="1">
        <v>2543.7471230764941</v>
      </c>
      <c r="F111" s="1">
        <v>2.5582671353711248</v>
      </c>
      <c r="G111" s="1">
        <v>1633.3929878379727</v>
      </c>
      <c r="H111" s="1">
        <v>113.33247380529747</v>
      </c>
      <c r="I111" s="1">
        <v>1746.7254616432701</v>
      </c>
    </row>
    <row r="112" spans="2:9" ht="15.45" x14ac:dyDescent="0.4">
      <c r="B112" s="1">
        <v>92</v>
      </c>
      <c r="C112" s="1">
        <v>801.71481520907935</v>
      </c>
      <c r="D112" s="1">
        <v>2543.7471230764941</v>
      </c>
      <c r="E112" s="1">
        <v>2573.6937889395103</v>
      </c>
      <c r="F112" s="1">
        <v>4.6931537758554214</v>
      </c>
      <c r="G112" s="1">
        <v>1742.0323078674146</v>
      </c>
      <c r="H112" s="1">
        <v>29.946665863016278</v>
      </c>
      <c r="I112" s="1">
        <v>1771.9789737304309</v>
      </c>
    </row>
    <row r="113" spans="2:9" ht="15.45" x14ac:dyDescent="0.4">
      <c r="B113" s="1">
        <v>93</v>
      </c>
      <c r="C113" s="1">
        <v>830.94075854985147</v>
      </c>
      <c r="D113" s="1">
        <v>2573.6937889395103</v>
      </c>
      <c r="E113" s="1">
        <v>2615.4564439579212</v>
      </c>
      <c r="F113" s="1">
        <v>29.225943340772119</v>
      </c>
      <c r="G113" s="1">
        <v>1742.7530303896588</v>
      </c>
      <c r="H113" s="1">
        <v>41.762655018410896</v>
      </c>
      <c r="I113" s="1">
        <v>1784.5156854080697</v>
      </c>
    </row>
    <row r="114" spans="2:9" ht="15.45" x14ac:dyDescent="0.4">
      <c r="B114" s="1">
        <v>94</v>
      </c>
      <c r="C114" s="1">
        <v>837.44767157441288</v>
      </c>
      <c r="D114" s="1">
        <v>2615.4564439579212</v>
      </c>
      <c r="E114" s="1">
        <v>2618.3854601898679</v>
      </c>
      <c r="F114" s="1">
        <v>6.5069130245614133</v>
      </c>
      <c r="G114" s="1">
        <v>1778.0087723835084</v>
      </c>
      <c r="H114" s="1">
        <v>2.9290162319466617</v>
      </c>
      <c r="I114" s="1">
        <v>1780.937788615455</v>
      </c>
    </row>
    <row r="115" spans="2:9" ht="15.45" x14ac:dyDescent="0.4">
      <c r="B115" s="1">
        <v>95</v>
      </c>
      <c r="C115" s="1">
        <v>839.4238215767391</v>
      </c>
      <c r="D115" s="1">
        <v>2618.3854601898679</v>
      </c>
      <c r="E115" s="1">
        <v>2627.5463108961221</v>
      </c>
      <c r="F115" s="1">
        <v>1.9761500023262215</v>
      </c>
      <c r="G115" s="1">
        <v>1778.9616386131288</v>
      </c>
      <c r="H115" s="1">
        <v>9.160850706254223</v>
      </c>
      <c r="I115" s="1">
        <v>1788.122489319383</v>
      </c>
    </row>
    <row r="116" spans="2:9" ht="15.45" x14ac:dyDescent="0.4">
      <c r="B116" s="1">
        <v>96</v>
      </c>
      <c r="C116" s="1">
        <v>846.53463747689898</v>
      </c>
      <c r="D116" s="1">
        <v>2627.5463108961221</v>
      </c>
      <c r="E116" s="1">
        <v>2628.8151575164788</v>
      </c>
      <c r="F116" s="1">
        <v>7.1108159001598779</v>
      </c>
      <c r="G116" s="1">
        <v>1781.0116734192231</v>
      </c>
      <c r="H116" s="1">
        <v>1.2688466203567259</v>
      </c>
      <c r="I116" s="1">
        <v>1782.2805200395799</v>
      </c>
    </row>
    <row r="117" spans="2:9" ht="15.45" x14ac:dyDescent="0.4">
      <c r="B117" s="1">
        <v>97</v>
      </c>
      <c r="C117" s="1">
        <v>855.24559718465059</v>
      </c>
      <c r="D117" s="1">
        <v>2628.8151575164788</v>
      </c>
      <c r="E117" s="1">
        <v>2663.447949359293</v>
      </c>
      <c r="F117" s="1">
        <v>8.7109597077516128</v>
      </c>
      <c r="G117" s="1">
        <v>1773.5695603318281</v>
      </c>
      <c r="H117" s="1">
        <v>34.632791842814186</v>
      </c>
      <c r="I117" s="1">
        <v>1808.2023521746423</v>
      </c>
    </row>
    <row r="118" spans="2:9" ht="15.45" x14ac:dyDescent="0.4">
      <c r="B118" s="1">
        <v>98</v>
      </c>
      <c r="C118" s="1">
        <v>865.33874226149646</v>
      </c>
      <c r="D118" s="1">
        <v>2663.447949359293</v>
      </c>
      <c r="E118" s="1">
        <v>2690.3699005448716</v>
      </c>
      <c r="F118" s="1">
        <v>10.093145076845872</v>
      </c>
      <c r="G118" s="1">
        <v>1798.1092070977966</v>
      </c>
      <c r="H118" s="1">
        <v>26.921951185578564</v>
      </c>
      <c r="I118" s="1">
        <v>1825.0311582833751</v>
      </c>
    </row>
    <row r="119" spans="2:9" ht="15.45" x14ac:dyDescent="0.4">
      <c r="B119" s="1">
        <v>99</v>
      </c>
      <c r="C119" s="1">
        <v>871.71400088839619</v>
      </c>
      <c r="D119" s="1">
        <v>2690.3699005448716</v>
      </c>
      <c r="E119" s="1">
        <v>2718.1000520310172</v>
      </c>
      <c r="F119" s="1">
        <v>6.375258626899722</v>
      </c>
      <c r="G119" s="1">
        <v>1818.6558996564754</v>
      </c>
      <c r="H119" s="1">
        <v>27.730151486145587</v>
      </c>
      <c r="I119" s="1">
        <v>1846.386051142621</v>
      </c>
    </row>
    <row r="120" spans="2:9" ht="15.45" x14ac:dyDescent="0.4">
      <c r="B120" s="1">
        <v>100</v>
      </c>
      <c r="C120" s="1">
        <v>899.40405206876846</v>
      </c>
      <c r="D120" s="1">
        <v>2718.1000520310172</v>
      </c>
      <c r="E120" s="1">
        <v>2743.4621121838281</v>
      </c>
      <c r="F120" s="1">
        <v>27.690051180372279</v>
      </c>
      <c r="G120" s="1">
        <v>1818.6959999622486</v>
      </c>
      <c r="H120" s="1">
        <v>25.362060152810955</v>
      </c>
      <c r="I120" s="1">
        <v>1844.0580601150596</v>
      </c>
    </row>
    <row r="121" spans="2:9" ht="15.45" x14ac:dyDescent="0.4">
      <c r="B121" s="1">
        <v>101</v>
      </c>
      <c r="C121" s="1">
        <v>906.56960049088968</v>
      </c>
      <c r="D121" s="1">
        <v>2743.4621121838281</v>
      </c>
      <c r="E121" s="1">
        <v>2776.5020647872416</v>
      </c>
      <c r="F121" s="1">
        <v>7.1655484221212191</v>
      </c>
      <c r="G121" s="1">
        <v>1836.8925116929386</v>
      </c>
      <c r="H121" s="1">
        <v>33.03995260341344</v>
      </c>
      <c r="I121" s="1">
        <v>1869.932464296352</v>
      </c>
    </row>
    <row r="122" spans="2:9" ht="15.45" x14ac:dyDescent="0.4">
      <c r="B122" s="1">
        <v>102</v>
      </c>
      <c r="C122" s="1">
        <v>907.3378106691506</v>
      </c>
      <c r="D122" s="1">
        <v>2776.5020647872416</v>
      </c>
      <c r="E122" s="1">
        <v>2790.3764495322066</v>
      </c>
      <c r="F122" s="1">
        <v>0.7682101782609152</v>
      </c>
      <c r="G122" s="1">
        <v>1869.1642541180909</v>
      </c>
      <c r="H122" s="1">
        <v>13.874384744965027</v>
      </c>
      <c r="I122" s="1">
        <v>1883.0386388630559</v>
      </c>
    </row>
    <row r="123" spans="2:9" ht="15.45" x14ac:dyDescent="0.4">
      <c r="B123" s="1">
        <v>103</v>
      </c>
      <c r="C123" s="1">
        <v>923.24521407902137</v>
      </c>
      <c r="D123" s="1">
        <v>2790.3764495322066</v>
      </c>
      <c r="E123" s="1">
        <v>2798.0512509383202</v>
      </c>
      <c r="F123" s="1">
        <v>15.907403409870767</v>
      </c>
      <c r="G123" s="1">
        <v>1867.1312354531851</v>
      </c>
      <c r="H123" s="1">
        <v>7.6748014061136018</v>
      </c>
      <c r="I123" s="1">
        <v>1874.8060368592987</v>
      </c>
    </row>
    <row r="124" spans="2:9" ht="15.45" x14ac:dyDescent="0.4">
      <c r="B124" s="1">
        <v>104</v>
      </c>
      <c r="C124" s="1">
        <v>935.84430379576463</v>
      </c>
      <c r="D124" s="1">
        <v>2798.0512509383202</v>
      </c>
      <c r="E124" s="1">
        <v>2812.1307122658864</v>
      </c>
      <c r="F124" s="1">
        <v>12.599089716743265</v>
      </c>
      <c r="G124" s="1">
        <v>1862.2069471425557</v>
      </c>
      <c r="H124" s="1">
        <v>14.07946132756615</v>
      </c>
      <c r="I124" s="1">
        <v>1876.2864084701218</v>
      </c>
    </row>
    <row r="125" spans="2:9" ht="15.45" x14ac:dyDescent="0.4">
      <c r="B125" s="1">
        <v>105</v>
      </c>
      <c r="C125" s="1">
        <v>942.6490656983226</v>
      </c>
      <c r="D125" s="1">
        <v>2812.1307122658864</v>
      </c>
      <c r="E125" s="1">
        <v>2899.8085422882027</v>
      </c>
      <c r="F125" s="1">
        <v>6.8047619025579706</v>
      </c>
      <c r="G125" s="1">
        <v>1869.4816465675638</v>
      </c>
      <c r="H125" s="1">
        <v>87.677830022316357</v>
      </c>
      <c r="I125" s="1">
        <v>1957.1594765898801</v>
      </c>
    </row>
    <row r="126" spans="2:9" ht="15.45" x14ac:dyDescent="0.4">
      <c r="B126" s="1">
        <v>106</v>
      </c>
      <c r="C126" s="1">
        <v>963.96598915235154</v>
      </c>
      <c r="D126" s="1">
        <v>2899.8085422882027</v>
      </c>
      <c r="E126" s="1">
        <v>2919.3292813618868</v>
      </c>
      <c r="F126" s="1">
        <v>21.316923454028938</v>
      </c>
      <c r="G126" s="1">
        <v>1935.8425531358512</v>
      </c>
      <c r="H126" s="1">
        <v>19.520739073684126</v>
      </c>
      <c r="I126" s="1">
        <v>1955.3632922095353</v>
      </c>
    </row>
    <row r="127" spans="2:9" ht="15.45" x14ac:dyDescent="0.4">
      <c r="B127" s="1">
        <v>107</v>
      </c>
      <c r="C127" s="1">
        <v>976.202228932916</v>
      </c>
      <c r="D127" s="1">
        <v>2919.3292813618868</v>
      </c>
      <c r="E127" s="1">
        <v>2925.2577313688653</v>
      </c>
      <c r="F127" s="1">
        <v>12.23623978056446</v>
      </c>
      <c r="G127" s="1">
        <v>1943.1270524289707</v>
      </c>
      <c r="H127" s="1">
        <v>5.9284500069784372</v>
      </c>
      <c r="I127" s="1">
        <v>1949.0555024359492</v>
      </c>
    </row>
    <row r="128" spans="2:9" ht="15.45" x14ac:dyDescent="0.4">
      <c r="B128" s="1">
        <v>108</v>
      </c>
      <c r="C128" s="1">
        <v>983.68407692681672</v>
      </c>
      <c r="D128" s="1">
        <v>2925.2577313688653</v>
      </c>
      <c r="E128" s="1">
        <v>2946.5901790693447</v>
      </c>
      <c r="F128" s="1">
        <v>7.4818479939007148</v>
      </c>
      <c r="G128" s="1">
        <v>1941.5736544420486</v>
      </c>
      <c r="H128" s="1">
        <v>21.332447700479406</v>
      </c>
      <c r="I128" s="1">
        <v>1962.906102142528</v>
      </c>
    </row>
    <row r="129" spans="2:9" ht="15.45" x14ac:dyDescent="0.4">
      <c r="B129" s="1">
        <v>109</v>
      </c>
      <c r="C129" s="1">
        <v>999.404925989665</v>
      </c>
      <c r="D129" s="1">
        <v>2946.5901790693447</v>
      </c>
      <c r="E129" s="1">
        <v>2972.7230581925996</v>
      </c>
      <c r="F129" s="1">
        <v>15.720849062848288</v>
      </c>
      <c r="G129" s="1">
        <v>1947.1852530796796</v>
      </c>
      <c r="H129" s="1">
        <v>26.132879123254952</v>
      </c>
      <c r="I129" s="1">
        <v>1973.3181322029345</v>
      </c>
    </row>
    <row r="130" spans="2:9" ht="15.45" x14ac:dyDescent="0.4">
      <c r="B130" s="1">
        <v>110</v>
      </c>
      <c r="C130" s="1">
        <v>1034.0972145606961</v>
      </c>
      <c r="D130" s="1">
        <v>2972.7230581925996</v>
      </c>
      <c r="E130" s="1">
        <v>3003.0024934231374</v>
      </c>
      <c r="F130" s="1">
        <v>34.692288571031099</v>
      </c>
      <c r="G130" s="1">
        <v>1938.6258436319035</v>
      </c>
      <c r="H130" s="1">
        <v>30.279435230537729</v>
      </c>
      <c r="I130" s="1">
        <v>1968.9052788624413</v>
      </c>
    </row>
    <row r="131" spans="2:9" ht="15.45" x14ac:dyDescent="0.4">
      <c r="B131" s="1">
        <v>111</v>
      </c>
      <c r="C131" s="1">
        <v>1044.9900821887247</v>
      </c>
      <c r="D131" s="1">
        <v>3003.0024934231374</v>
      </c>
      <c r="E131" s="1">
        <v>3022.1282693038365</v>
      </c>
      <c r="F131" s="1">
        <v>10.892867628028625</v>
      </c>
      <c r="G131" s="1">
        <v>1958.0124112344126</v>
      </c>
      <c r="H131" s="1">
        <v>19.125775880699166</v>
      </c>
      <c r="I131" s="1">
        <v>1977.1381871151118</v>
      </c>
    </row>
    <row r="132" spans="2:9" ht="15.45" x14ac:dyDescent="0.4">
      <c r="B132" s="1">
        <v>112</v>
      </c>
      <c r="C132" s="1">
        <v>1055.6881322109361</v>
      </c>
      <c r="D132" s="1">
        <v>3022.1282693038365</v>
      </c>
      <c r="E132" s="1">
        <v>3105.1984228449533</v>
      </c>
      <c r="F132" s="1">
        <v>10.698050022211419</v>
      </c>
      <c r="G132" s="1">
        <v>1966.4401370929004</v>
      </c>
      <c r="H132" s="1">
        <v>83.070153541116724</v>
      </c>
      <c r="I132" s="1">
        <v>2049.5102906340171</v>
      </c>
    </row>
    <row r="133" spans="2:9" ht="15.45" x14ac:dyDescent="0.4">
      <c r="B133" s="1">
        <v>113</v>
      </c>
      <c r="C133" s="1">
        <v>1060.8663301973277</v>
      </c>
      <c r="D133" s="1">
        <v>3105.1984228449533</v>
      </c>
      <c r="E133" s="1">
        <v>3126.6950681113167</v>
      </c>
      <c r="F133" s="1">
        <v>5.178197986391524</v>
      </c>
      <c r="G133" s="1">
        <v>2044.3320926476256</v>
      </c>
      <c r="H133" s="1">
        <v>21.49664526636343</v>
      </c>
      <c r="I133" s="1">
        <v>2065.8287379139892</v>
      </c>
    </row>
    <row r="134" spans="2:9" ht="15.45" x14ac:dyDescent="0.4">
      <c r="B134" s="1">
        <v>114</v>
      </c>
      <c r="C134" s="1">
        <v>1062.1552625416641</v>
      </c>
      <c r="D134" s="1">
        <v>3126.6950681113167</v>
      </c>
      <c r="E134" s="1">
        <v>3128.9996986460997</v>
      </c>
      <c r="F134" s="1">
        <v>1.2889323443364447</v>
      </c>
      <c r="G134" s="1">
        <v>2064.5398055696523</v>
      </c>
      <c r="H134" s="1">
        <v>2.304630534782973</v>
      </c>
      <c r="I134" s="1">
        <v>2066.8444361044358</v>
      </c>
    </row>
    <row r="135" spans="2:9" ht="15.45" x14ac:dyDescent="0.4">
      <c r="B135" s="1">
        <v>115</v>
      </c>
      <c r="C135" s="1">
        <v>1073.2903495642231</v>
      </c>
      <c r="D135" s="1">
        <v>3128.9996986460997</v>
      </c>
      <c r="E135" s="1">
        <v>3176.721908875712</v>
      </c>
      <c r="F135" s="1">
        <v>11.135087022558992</v>
      </c>
      <c r="G135" s="1">
        <v>2055.7093490818766</v>
      </c>
      <c r="H135" s="1">
        <v>47.722210229612301</v>
      </c>
      <c r="I135" s="1">
        <v>2103.4315593114889</v>
      </c>
    </row>
    <row r="136" spans="2:9" ht="15.45" x14ac:dyDescent="0.4">
      <c r="B136" s="1">
        <v>116</v>
      </c>
      <c r="C136" s="1">
        <v>1074.0105003824895</v>
      </c>
      <c r="D136" s="1">
        <v>3176.721908875712</v>
      </c>
      <c r="E136" s="1">
        <v>3214.519178025942</v>
      </c>
      <c r="F136" s="1">
        <v>0.72015081826634741</v>
      </c>
      <c r="G136" s="1">
        <v>2102.7114084932227</v>
      </c>
      <c r="H136" s="1">
        <v>37.797269150230022</v>
      </c>
      <c r="I136" s="1">
        <v>2140.5086776434528</v>
      </c>
    </row>
    <row r="137" spans="2:9" ht="15.45" x14ac:dyDescent="0.4">
      <c r="B137" s="1">
        <v>117</v>
      </c>
      <c r="C137" s="1">
        <v>1078.0433512286752</v>
      </c>
      <c r="D137" s="1">
        <v>3214.519178025942</v>
      </c>
      <c r="E137" s="1">
        <v>3234.933463733616</v>
      </c>
      <c r="F137" s="1">
        <v>4.0328508461857382</v>
      </c>
      <c r="G137" s="1">
        <v>2136.4758267972666</v>
      </c>
      <c r="H137" s="1">
        <v>20.414285707674026</v>
      </c>
      <c r="I137" s="1">
        <v>2156.8901125049406</v>
      </c>
    </row>
    <row r="138" spans="2:9" ht="15.45" x14ac:dyDescent="0.4">
      <c r="B138" s="1">
        <v>118</v>
      </c>
      <c r="C138" s="1">
        <v>1087.6692087800734</v>
      </c>
      <c r="D138" s="1">
        <v>3234.933463733616</v>
      </c>
      <c r="E138" s="1">
        <v>3298.8842340957031</v>
      </c>
      <c r="F138" s="1">
        <v>9.6258575513982123</v>
      </c>
      <c r="G138" s="1">
        <v>2147.2642549535426</v>
      </c>
      <c r="H138" s="1">
        <v>63.950770362087042</v>
      </c>
      <c r="I138" s="1">
        <v>2211.2150253156296</v>
      </c>
    </row>
    <row r="139" spans="2:9" ht="15.45" x14ac:dyDescent="0.4">
      <c r="B139" s="1">
        <v>119</v>
      </c>
      <c r="C139" s="1">
        <v>1090.4723906962504</v>
      </c>
      <c r="D139" s="1">
        <v>3298.8842340957031</v>
      </c>
      <c r="E139" s="1">
        <v>3335.5929534373963</v>
      </c>
      <c r="F139" s="1">
        <v>2.8031819161769818</v>
      </c>
      <c r="G139" s="1">
        <v>2208.4118433994527</v>
      </c>
      <c r="H139" s="1">
        <v>36.708719341693268</v>
      </c>
      <c r="I139" s="1">
        <v>2245.1205627411459</v>
      </c>
    </row>
    <row r="140" spans="2:9" ht="15.45" x14ac:dyDescent="0.4">
      <c r="B140" s="1">
        <v>120</v>
      </c>
      <c r="C140" s="1">
        <v>1099.5476324119666</v>
      </c>
      <c r="D140" s="1">
        <v>3335.5929534373963</v>
      </c>
      <c r="E140" s="1">
        <v>3358.0384974190983</v>
      </c>
      <c r="F140" s="1">
        <v>9.0752417157161744</v>
      </c>
      <c r="G140" s="1">
        <v>2236.04532102543</v>
      </c>
      <c r="H140" s="1">
        <v>22.445543981702031</v>
      </c>
      <c r="I140" s="1">
        <v>2258.490865007132</v>
      </c>
    </row>
    <row r="141" spans="2:9" ht="15.45" x14ac:dyDescent="0.4">
      <c r="B141" s="1">
        <v>121</v>
      </c>
      <c r="C141" s="1">
        <v>1103.3072567811278</v>
      </c>
      <c r="D141" s="1">
        <v>3358.0384974190983</v>
      </c>
      <c r="E141" s="1">
        <v>3405.2010446076433</v>
      </c>
      <c r="F141" s="1">
        <v>3.7596243691612017</v>
      </c>
      <c r="G141" s="1">
        <v>2254.7312406379706</v>
      </c>
      <c r="H141" s="1">
        <v>47.162547188544977</v>
      </c>
      <c r="I141" s="1">
        <v>2301.8937878265156</v>
      </c>
    </row>
    <row r="142" spans="2:9" ht="15.45" x14ac:dyDescent="0.4">
      <c r="B142" s="1">
        <v>122</v>
      </c>
      <c r="C142" s="1">
        <v>1108.3685617028348</v>
      </c>
      <c r="D142" s="1">
        <v>3405.2010446076438</v>
      </c>
      <c r="E142" s="1">
        <v>3509.2779103207367</v>
      </c>
      <c r="F142" s="1">
        <v>5.0613049217070056</v>
      </c>
      <c r="G142" s="1">
        <v>2296.8324829048088</v>
      </c>
      <c r="H142" s="1">
        <v>104.07686571309296</v>
      </c>
      <c r="I142" s="1">
        <v>2400.9093486179017</v>
      </c>
    </row>
    <row r="143" spans="2:9" ht="15.45" x14ac:dyDescent="0.4">
      <c r="B143" s="1">
        <v>123</v>
      </c>
      <c r="C143" s="1">
        <v>1130.5247229544045</v>
      </c>
      <c r="D143" s="1">
        <v>3509.2779103207367</v>
      </c>
      <c r="E143" s="1">
        <v>3541.9565132048224</v>
      </c>
      <c r="F143" s="1">
        <v>22.156161251569756</v>
      </c>
      <c r="G143" s="1">
        <v>2378.753187366332</v>
      </c>
      <c r="H143" s="1">
        <v>32.678602884085649</v>
      </c>
      <c r="I143" s="1">
        <v>2411.4317902504181</v>
      </c>
    </row>
    <row r="144" spans="2:9" ht="15.45" x14ac:dyDescent="0.4">
      <c r="B144" s="1">
        <v>124</v>
      </c>
      <c r="C144" s="1">
        <v>1141.7385156294088</v>
      </c>
      <c r="D144" s="1">
        <v>3541.9565132048219</v>
      </c>
      <c r="E144" s="1">
        <v>3574.050663271456</v>
      </c>
      <c r="F144" s="1">
        <v>11.213792675004242</v>
      </c>
      <c r="G144" s="1">
        <v>2400.2179975754134</v>
      </c>
      <c r="H144" s="1">
        <v>32.094150066634029</v>
      </c>
      <c r="I144" s="1">
        <v>2432.3121476420474</v>
      </c>
    </row>
    <row r="145" spans="2:9" ht="15.45" x14ac:dyDescent="0.4">
      <c r="B145" s="1">
        <v>125</v>
      </c>
      <c r="C145" s="1">
        <v>1151.5411267619372</v>
      </c>
      <c r="D145" s="1">
        <v>3574.050663271456</v>
      </c>
      <c r="E145" s="1">
        <v>3589.5852572306303</v>
      </c>
      <c r="F145" s="1">
        <v>9.8026111325284546</v>
      </c>
      <c r="G145" s="1">
        <v>2422.5095365095185</v>
      </c>
      <c r="H145" s="1">
        <v>15.534593959174344</v>
      </c>
      <c r="I145" s="1">
        <v>2438.0441304686929</v>
      </c>
    </row>
    <row r="146" spans="2:9" ht="15.45" x14ac:dyDescent="0.4">
      <c r="B146" s="1">
        <v>126</v>
      </c>
      <c r="C146" s="1">
        <v>1158.5670313670244</v>
      </c>
      <c r="D146" s="1">
        <v>3589.5852572306303</v>
      </c>
      <c r="E146" s="1">
        <v>3593.4520542636396</v>
      </c>
      <c r="F146" s="1">
        <v>7.0259046050871348</v>
      </c>
      <c r="G146" s="1">
        <v>2431.0182258636059</v>
      </c>
      <c r="H146" s="1">
        <v>3.866797033009334</v>
      </c>
      <c r="I146" s="1">
        <v>2434.8850228966153</v>
      </c>
    </row>
    <row r="147" spans="2:9" ht="15.45" x14ac:dyDescent="0.4">
      <c r="B147" s="1">
        <v>127</v>
      </c>
      <c r="C147" s="1">
        <v>1177.690467152463</v>
      </c>
      <c r="D147" s="1">
        <v>3593.4520542636396</v>
      </c>
      <c r="E147" s="1">
        <v>3626.8573153313168</v>
      </c>
      <c r="F147" s="1">
        <v>19.123435785438687</v>
      </c>
      <c r="G147" s="1">
        <v>2415.7615871111766</v>
      </c>
      <c r="H147" s="1">
        <v>33.405261067677202</v>
      </c>
      <c r="I147" s="1">
        <v>2449.1668481788538</v>
      </c>
    </row>
    <row r="148" spans="2:9" ht="15.45" x14ac:dyDescent="0.4">
      <c r="B148" s="1">
        <v>128</v>
      </c>
      <c r="C148" s="1">
        <v>1193.7190325579761</v>
      </c>
      <c r="D148" s="1">
        <v>3626.8573153313164</v>
      </c>
      <c r="E148" s="1">
        <v>3629.0177677861152</v>
      </c>
      <c r="F148" s="1">
        <v>16.028565405513064</v>
      </c>
      <c r="G148" s="1">
        <v>2433.1382827733405</v>
      </c>
      <c r="H148" s="1">
        <v>2.1604524547988149</v>
      </c>
      <c r="I148" s="1">
        <v>2435.2987352281389</v>
      </c>
    </row>
    <row r="149" spans="2:9" ht="15.45" x14ac:dyDescent="0.4">
      <c r="B149" s="1">
        <v>129</v>
      </c>
      <c r="C149" s="1">
        <v>1196.2208607476809</v>
      </c>
      <c r="D149" s="1">
        <v>3629.0177677861152</v>
      </c>
      <c r="E149" s="1">
        <v>3641.1163203246724</v>
      </c>
      <c r="F149" s="1">
        <v>2.5018281897048382</v>
      </c>
      <c r="G149" s="1">
        <v>2432.7969070384343</v>
      </c>
      <c r="H149" s="1">
        <v>12.098552538557215</v>
      </c>
      <c r="I149" s="1">
        <v>2444.8954595769915</v>
      </c>
    </row>
    <row r="150" spans="2:9" ht="15.45" x14ac:dyDescent="0.4">
      <c r="B150" s="1">
        <v>130</v>
      </c>
      <c r="C150" s="1">
        <v>1207.0372561769477</v>
      </c>
      <c r="D150" s="1">
        <v>3641.1163203246724</v>
      </c>
      <c r="E150" s="1">
        <v>3669.9938929788668</v>
      </c>
      <c r="F150" s="1">
        <v>10.816395429266777</v>
      </c>
      <c r="G150" s="1">
        <v>2434.0790641477247</v>
      </c>
      <c r="H150" s="1">
        <v>28.87757265419441</v>
      </c>
      <c r="I150" s="1">
        <v>2462.9566368019191</v>
      </c>
    </row>
    <row r="151" spans="2:9" ht="15.45" x14ac:dyDescent="0.4">
      <c r="B151" s="1">
        <v>131</v>
      </c>
      <c r="C151" s="1">
        <v>1208.1439384206726</v>
      </c>
      <c r="D151" s="1">
        <v>3669.9938929788668</v>
      </c>
      <c r="E151" s="1">
        <v>3678.4034387273973</v>
      </c>
      <c r="F151" s="1">
        <v>1.1066822437248902</v>
      </c>
      <c r="G151" s="1">
        <v>2461.8499545581944</v>
      </c>
      <c r="H151" s="1">
        <v>8.4095457485304905</v>
      </c>
      <c r="I151" s="1">
        <v>2470.2595003067245</v>
      </c>
    </row>
    <row r="152" spans="2:9" ht="15.45" x14ac:dyDescent="0.4">
      <c r="B152" s="1">
        <v>132</v>
      </c>
      <c r="C152" s="1">
        <v>1210.7385081737905</v>
      </c>
      <c r="D152" s="1">
        <v>3678.4034387273969</v>
      </c>
      <c r="E152" s="1">
        <v>3705.6291638745452</v>
      </c>
      <c r="F152" s="1">
        <v>2.5945697531178666</v>
      </c>
      <c r="G152" s="1">
        <v>2467.6649305536066</v>
      </c>
      <c r="H152" s="1">
        <v>27.225725147148296</v>
      </c>
      <c r="I152" s="1">
        <v>2494.8906557007549</v>
      </c>
    </row>
    <row r="153" spans="2:9" ht="15.45" x14ac:dyDescent="0.4">
      <c r="B153" s="1">
        <v>133</v>
      </c>
      <c r="C153" s="1">
        <v>1212.3304240262141</v>
      </c>
      <c r="D153" s="1">
        <v>3705.6291638745452</v>
      </c>
      <c r="E153" s="1">
        <v>3716.9080369820285</v>
      </c>
      <c r="F153" s="1">
        <v>1.5919158524236536</v>
      </c>
      <c r="G153" s="1">
        <v>2493.298739848331</v>
      </c>
      <c r="H153" s="1">
        <v>11.278873107483378</v>
      </c>
      <c r="I153" s="1">
        <v>2504.5776129558144</v>
      </c>
    </row>
    <row r="154" spans="2:9" ht="15.45" x14ac:dyDescent="0.4">
      <c r="B154" s="1">
        <v>134</v>
      </c>
      <c r="C154" s="1">
        <v>1217.2508676878276</v>
      </c>
      <c r="D154" s="1">
        <v>3716.9080369820285</v>
      </c>
      <c r="E154" s="1">
        <v>3732.0919517471498</v>
      </c>
      <c r="F154" s="1">
        <v>4.9204436616134899</v>
      </c>
      <c r="G154" s="1">
        <v>2499.6571692942007</v>
      </c>
      <c r="H154" s="1">
        <v>15.183914765121244</v>
      </c>
      <c r="I154" s="1">
        <v>2514.8410840593224</v>
      </c>
    </row>
    <row r="155" spans="2:9" ht="15.45" x14ac:dyDescent="0.4">
      <c r="B155" s="1">
        <v>135</v>
      </c>
      <c r="C155" s="1">
        <v>1223.2897393892986</v>
      </c>
      <c r="D155" s="1">
        <v>3732.0919517471498</v>
      </c>
      <c r="E155" s="1">
        <v>3798.5604355018595</v>
      </c>
      <c r="F155" s="1">
        <v>6.0388717014709528</v>
      </c>
      <c r="G155" s="1">
        <v>2508.8022123578512</v>
      </c>
      <c r="H155" s="1">
        <v>66.468483754709723</v>
      </c>
      <c r="I155" s="1">
        <v>2575.2706961125609</v>
      </c>
    </row>
    <row r="156" spans="2:9" ht="15.45" x14ac:dyDescent="0.4">
      <c r="B156" s="1">
        <v>136</v>
      </c>
      <c r="C156" s="1">
        <v>1236.802768658617</v>
      </c>
      <c r="D156" s="1">
        <v>3798.5604355018595</v>
      </c>
      <c r="E156" s="1">
        <v>3832.2018135268722</v>
      </c>
      <c r="F156" s="1">
        <v>13.513029269318395</v>
      </c>
      <c r="G156" s="1">
        <v>2561.7576668432425</v>
      </c>
      <c r="H156" s="1">
        <v>33.641378025012727</v>
      </c>
      <c r="I156" s="1">
        <v>2595.3990448682553</v>
      </c>
    </row>
    <row r="157" spans="2:9" ht="15.45" x14ac:dyDescent="0.4">
      <c r="B157" s="1">
        <v>137</v>
      </c>
      <c r="C157" s="1">
        <v>1238.174816966</v>
      </c>
      <c r="D157" s="1">
        <v>3832.2018135268722</v>
      </c>
      <c r="E157" s="1">
        <v>3861.609646924458</v>
      </c>
      <c r="F157" s="1">
        <v>1.372048307383011</v>
      </c>
      <c r="G157" s="1">
        <v>2594.0269965608722</v>
      </c>
      <c r="H157" s="1">
        <v>29.407833397585819</v>
      </c>
      <c r="I157" s="1">
        <v>2623.4348299584581</v>
      </c>
    </row>
    <row r="158" spans="2:9" ht="15.45" x14ac:dyDescent="0.4">
      <c r="B158" s="1">
        <v>138</v>
      </c>
      <c r="C158" s="1">
        <v>1239.9045473642464</v>
      </c>
      <c r="D158" s="1">
        <v>3861.609646924458</v>
      </c>
      <c r="E158" s="1">
        <v>3882.6873607397197</v>
      </c>
      <c r="F158" s="1">
        <v>1.7297303982463745</v>
      </c>
      <c r="G158" s="1">
        <v>2621.7050995602117</v>
      </c>
      <c r="H158" s="1">
        <v>21.077713815261632</v>
      </c>
      <c r="I158" s="1">
        <v>2642.7828133754733</v>
      </c>
    </row>
    <row r="159" spans="2:9" ht="15.45" x14ac:dyDescent="0.4">
      <c r="B159" s="1">
        <v>139</v>
      </c>
      <c r="C159" s="1">
        <v>1244.2839735304701</v>
      </c>
      <c r="D159" s="1">
        <v>3882.6873607397197</v>
      </c>
      <c r="E159" s="1">
        <v>3940.0576680960353</v>
      </c>
      <c r="F159" s="1">
        <v>4.3794261662237659</v>
      </c>
      <c r="G159" s="1">
        <v>2638.4033872092496</v>
      </c>
      <c r="H159" s="1">
        <v>57.370307356315607</v>
      </c>
      <c r="I159" s="1">
        <v>2695.7736945655652</v>
      </c>
    </row>
    <row r="160" spans="2:9" ht="15.45" x14ac:dyDescent="0.4">
      <c r="B160" s="1">
        <v>140</v>
      </c>
      <c r="C160" s="1">
        <v>1252.3336449861683</v>
      </c>
      <c r="D160" s="1">
        <v>3940.0576680960348</v>
      </c>
      <c r="E160" s="1">
        <v>3988.1433643125738</v>
      </c>
      <c r="F160" s="1">
        <v>8.049671455698217</v>
      </c>
      <c r="G160" s="1">
        <v>2687.7240231098667</v>
      </c>
      <c r="H160" s="1">
        <v>48.085696216538963</v>
      </c>
      <c r="I160" s="1">
        <v>2735.8097193264057</v>
      </c>
    </row>
    <row r="161" spans="2:9" ht="15.45" x14ac:dyDescent="0.4">
      <c r="B161" s="1">
        <v>141</v>
      </c>
      <c r="C161" s="1">
        <v>1258.2953875380667</v>
      </c>
      <c r="D161" s="1">
        <v>3988.1433643125738</v>
      </c>
      <c r="E161" s="1">
        <v>3995.6488488816885</v>
      </c>
      <c r="F161" s="1">
        <v>5.9617425518983964</v>
      </c>
      <c r="G161" s="1">
        <v>2729.8479767745071</v>
      </c>
      <c r="H161" s="1">
        <v>7.505484569114742</v>
      </c>
      <c r="I161" s="1">
        <v>2737.3534613436218</v>
      </c>
    </row>
    <row r="162" spans="2:9" ht="15.45" x14ac:dyDescent="0.4">
      <c r="B162" s="1">
        <v>142</v>
      </c>
      <c r="C162" s="1">
        <v>1302.5402099252833</v>
      </c>
      <c r="D162" s="1">
        <v>3995.6488488816885</v>
      </c>
      <c r="E162" s="1">
        <v>4028.0980351694889</v>
      </c>
      <c r="F162" s="1">
        <v>44.244822387216573</v>
      </c>
      <c r="G162" s="1">
        <v>2693.1086389564052</v>
      </c>
      <c r="H162" s="1">
        <v>32.44918628780033</v>
      </c>
      <c r="I162" s="1">
        <v>2725.5578252442056</v>
      </c>
    </row>
    <row r="163" spans="2:9" ht="15.45" x14ac:dyDescent="0.4">
      <c r="B163" s="1">
        <v>143</v>
      </c>
      <c r="C163" s="1">
        <v>1306.2369684137873</v>
      </c>
      <c r="D163" s="1">
        <v>4028.0980351694889</v>
      </c>
      <c r="E163" s="1">
        <v>4031.4180819006633</v>
      </c>
      <c r="F163" s="1">
        <v>3.6967584885039741</v>
      </c>
      <c r="G163" s="1">
        <v>2721.8610667557014</v>
      </c>
      <c r="H163" s="1">
        <v>3.3200467311744433</v>
      </c>
      <c r="I163" s="1">
        <v>2725.1811134868758</v>
      </c>
    </row>
    <row r="164" spans="2:9" ht="15.45" x14ac:dyDescent="0.4">
      <c r="B164" s="1">
        <v>144</v>
      </c>
      <c r="C164" s="1">
        <v>1317.7001590794662</v>
      </c>
      <c r="D164" s="1">
        <v>4031.4180819006633</v>
      </c>
      <c r="E164" s="1">
        <v>4039.2017911600169</v>
      </c>
      <c r="F164" s="1">
        <v>11.463190665678894</v>
      </c>
      <c r="G164" s="1">
        <v>2713.7179228211971</v>
      </c>
      <c r="H164" s="1">
        <v>7.7837092593535999</v>
      </c>
      <c r="I164" s="1">
        <v>2721.5016320805507</v>
      </c>
    </row>
    <row r="165" spans="2:9" ht="15.45" x14ac:dyDescent="0.4">
      <c r="B165" s="1">
        <v>145</v>
      </c>
      <c r="C165" s="1">
        <v>1318.046775330946</v>
      </c>
      <c r="D165" s="1">
        <v>4039.2017911600169</v>
      </c>
      <c r="E165" s="1">
        <v>4043.9775387172876</v>
      </c>
      <c r="F165" s="1">
        <v>0.34661625147987252</v>
      </c>
      <c r="G165" s="1">
        <v>2721.1550158290711</v>
      </c>
      <c r="H165" s="1">
        <v>4.7757475572707335</v>
      </c>
      <c r="I165" s="1">
        <v>2725.9307633863418</v>
      </c>
    </row>
    <row r="166" spans="2:9" ht="15.45" x14ac:dyDescent="0.4">
      <c r="B166" s="1">
        <v>146</v>
      </c>
      <c r="C166" s="1">
        <v>1323.7321622759468</v>
      </c>
      <c r="D166" s="1">
        <v>4043.9775387172876</v>
      </c>
      <c r="E166" s="1">
        <v>4058.7388697021283</v>
      </c>
      <c r="F166" s="1">
        <v>5.6853869450008006</v>
      </c>
      <c r="G166" s="1">
        <v>2720.2453764413408</v>
      </c>
      <c r="H166" s="1">
        <v>14.761330984840697</v>
      </c>
      <c r="I166" s="1">
        <v>2735.0067074261815</v>
      </c>
    </row>
    <row r="167" spans="2:9" ht="15.45" x14ac:dyDescent="0.4">
      <c r="B167" s="1">
        <v>147</v>
      </c>
      <c r="C167" s="1">
        <v>1327.555009648707</v>
      </c>
      <c r="D167" s="1">
        <v>4058.7388697021279</v>
      </c>
      <c r="E167" s="1">
        <v>4076.855484806541</v>
      </c>
      <c r="F167" s="1">
        <v>3.8228473727601795</v>
      </c>
      <c r="G167" s="1">
        <v>2731.1838600534211</v>
      </c>
      <c r="H167" s="1">
        <v>18.116615104413086</v>
      </c>
      <c r="I167" s="1">
        <v>2749.3004751578337</v>
      </c>
    </row>
    <row r="168" spans="2:9" ht="15.45" x14ac:dyDescent="0.4">
      <c r="B168" s="1">
        <v>148</v>
      </c>
      <c r="C168" s="1">
        <v>1328.5805311165755</v>
      </c>
      <c r="D168" s="1">
        <v>4076.855484806541</v>
      </c>
      <c r="E168" s="1">
        <v>4117.3945726144957</v>
      </c>
      <c r="F168" s="1">
        <v>1.0255214678684297</v>
      </c>
      <c r="G168" s="1">
        <v>2748.2749536899655</v>
      </c>
      <c r="H168" s="1">
        <v>40.539087807954729</v>
      </c>
      <c r="I168" s="1">
        <v>2788.8140414979202</v>
      </c>
    </row>
    <row r="169" spans="2:9" ht="15.45" x14ac:dyDescent="0.4">
      <c r="B169" s="1">
        <v>149</v>
      </c>
      <c r="C169" s="1">
        <v>1341.8475033074424</v>
      </c>
      <c r="D169" s="1">
        <v>4117.3945726144957</v>
      </c>
      <c r="E169" s="1">
        <v>4121.5107175366447</v>
      </c>
      <c r="F169" s="1">
        <v>13.266972190866909</v>
      </c>
      <c r="G169" s="1">
        <v>2775.5470693070533</v>
      </c>
      <c r="H169" s="1">
        <v>4.1161449221490329</v>
      </c>
      <c r="I169" s="1">
        <v>2779.6632142292024</v>
      </c>
    </row>
    <row r="170" spans="2:9" ht="15.45" x14ac:dyDescent="0.4">
      <c r="B170" s="1">
        <v>150</v>
      </c>
      <c r="C170" s="1">
        <v>1364.5589168988843</v>
      </c>
      <c r="D170" s="1">
        <v>4121.5107175366447</v>
      </c>
      <c r="E170" s="1">
        <v>4126.6999087313834</v>
      </c>
      <c r="F170" s="1">
        <v>22.711413591441897</v>
      </c>
      <c r="G170" s="1">
        <v>2756.9518006377602</v>
      </c>
      <c r="H170" s="1">
        <v>5.1891911947386689</v>
      </c>
      <c r="I170" s="1">
        <v>2762.1409918324989</v>
      </c>
    </row>
    <row r="171" spans="2:9" ht="15.45" x14ac:dyDescent="0.4">
      <c r="B171" s="1">
        <v>151</v>
      </c>
      <c r="C171" s="1">
        <v>1388.2267541213785</v>
      </c>
      <c r="D171" s="1">
        <v>4126.6999087313834</v>
      </c>
      <c r="E171" s="1">
        <v>4139.8381872300542</v>
      </c>
      <c r="F171" s="1">
        <v>23.6678372224942</v>
      </c>
      <c r="G171" s="1">
        <v>2738.4731546100047</v>
      </c>
      <c r="H171" s="1">
        <v>13.138278498670843</v>
      </c>
      <c r="I171" s="1">
        <v>2751.6114331086756</v>
      </c>
    </row>
    <row r="172" spans="2:9" ht="15.45" x14ac:dyDescent="0.4">
      <c r="B172" s="1">
        <v>152</v>
      </c>
      <c r="C172" s="1">
        <v>1409.2416970622398</v>
      </c>
      <c r="D172" s="1">
        <v>4139.8381872300542</v>
      </c>
      <c r="E172" s="1">
        <v>4163.9872015971496</v>
      </c>
      <c r="F172" s="1">
        <v>21.014942940861374</v>
      </c>
      <c r="G172" s="1">
        <v>2730.5964901678144</v>
      </c>
      <c r="H172" s="1">
        <v>24.149014367095333</v>
      </c>
      <c r="I172" s="1">
        <v>2754.7455045349097</v>
      </c>
    </row>
    <row r="173" spans="2:9" ht="15.45" x14ac:dyDescent="0.4">
      <c r="B173" s="1">
        <v>153</v>
      </c>
      <c r="C173" s="1">
        <v>1441.5219099227652</v>
      </c>
      <c r="D173" s="1">
        <v>4163.9872015971496</v>
      </c>
      <c r="E173" s="1">
        <v>4181.872429252845</v>
      </c>
      <c r="F173" s="1">
        <v>32.280212860525353</v>
      </c>
      <c r="G173" s="1">
        <v>2722.4652916743844</v>
      </c>
      <c r="H173" s="1">
        <v>17.885227655695417</v>
      </c>
      <c r="I173" s="1">
        <v>2740.3505193300798</v>
      </c>
    </row>
    <row r="174" spans="2:9" ht="15.45" x14ac:dyDescent="0.4">
      <c r="B174" s="1">
        <v>154</v>
      </c>
      <c r="C174" s="1">
        <v>1453.40677552795</v>
      </c>
      <c r="D174" s="1">
        <v>4181.872429252845</v>
      </c>
      <c r="E174" s="1">
        <v>4314.6068964144943</v>
      </c>
      <c r="F174" s="1">
        <v>11.884865605184814</v>
      </c>
      <c r="G174" s="1">
        <v>2728.4656537248948</v>
      </c>
      <c r="H174" s="1">
        <v>132.73446716164926</v>
      </c>
      <c r="I174" s="1">
        <v>2861.200120886544</v>
      </c>
    </row>
    <row r="175" spans="2:9" ht="15.45" x14ac:dyDescent="0.4">
      <c r="B175" s="1">
        <v>155</v>
      </c>
      <c r="C175" s="1">
        <v>1461.6096622790774</v>
      </c>
      <c r="D175" s="1">
        <v>4314.6068964144943</v>
      </c>
      <c r="E175" s="1">
        <v>4325.697171880006</v>
      </c>
      <c r="F175" s="1">
        <v>8.2028867511273802</v>
      </c>
      <c r="G175" s="1">
        <v>2852.9972341354169</v>
      </c>
      <c r="H175" s="1">
        <v>11.090275465511695</v>
      </c>
      <c r="I175" s="1">
        <v>2864.0875096009286</v>
      </c>
    </row>
    <row r="176" spans="2:9" ht="15.45" x14ac:dyDescent="0.4">
      <c r="B176" s="1">
        <v>156</v>
      </c>
      <c r="C176" s="1">
        <v>1473.6262935148798</v>
      </c>
      <c r="D176" s="1">
        <v>4325.697171880006</v>
      </c>
      <c r="E176" s="1">
        <v>4360.0867438770429</v>
      </c>
      <c r="F176" s="1">
        <v>12.016631235802379</v>
      </c>
      <c r="G176" s="1">
        <v>2852.0708783651262</v>
      </c>
      <c r="H176" s="1">
        <v>34.38957199703691</v>
      </c>
      <c r="I176" s="1">
        <v>2886.4604503621631</v>
      </c>
    </row>
    <row r="177" spans="2:9" ht="15.45" x14ac:dyDescent="0.4">
      <c r="B177" s="1">
        <v>157</v>
      </c>
      <c r="C177" s="1">
        <v>1476.7392311023443</v>
      </c>
      <c r="D177" s="1">
        <v>4360.0867438770429</v>
      </c>
      <c r="E177" s="1">
        <v>4361.1265926314827</v>
      </c>
      <c r="F177" s="1">
        <v>3.1129375874645575</v>
      </c>
      <c r="G177" s="1">
        <v>2883.3475127746988</v>
      </c>
      <c r="H177" s="1">
        <v>1.0398487544398449</v>
      </c>
      <c r="I177" s="1">
        <v>2884.3873615291386</v>
      </c>
    </row>
    <row r="178" spans="2:9" ht="15.45" x14ac:dyDescent="0.4">
      <c r="B178" s="1">
        <v>158</v>
      </c>
      <c r="C178" s="1">
        <v>1484.3095614588888</v>
      </c>
      <c r="D178" s="1">
        <v>4361.1265926314827</v>
      </c>
      <c r="E178" s="1">
        <v>4378.1827534664853</v>
      </c>
      <c r="F178" s="1">
        <v>7.5703303565444457</v>
      </c>
      <c r="G178" s="1">
        <v>2876.8170311725939</v>
      </c>
      <c r="H178" s="1">
        <v>17.056160835002629</v>
      </c>
      <c r="I178" s="1">
        <v>2893.8731920075966</v>
      </c>
    </row>
    <row r="179" spans="2:9" ht="15.45" x14ac:dyDescent="0.4">
      <c r="B179" s="1">
        <v>159</v>
      </c>
      <c r="C179" s="1">
        <v>1491.5610993649091</v>
      </c>
      <c r="D179" s="1">
        <v>4378.1827534664853</v>
      </c>
      <c r="E179" s="1">
        <v>4389.6512955847656</v>
      </c>
      <c r="F179" s="1">
        <v>7.2515379060203031</v>
      </c>
      <c r="G179" s="1">
        <v>2886.6216541015765</v>
      </c>
      <c r="H179" s="1">
        <v>11.468542118280311</v>
      </c>
      <c r="I179" s="1">
        <v>2898.0901962198568</v>
      </c>
    </row>
    <row r="180" spans="2:9" ht="15.45" x14ac:dyDescent="0.4">
      <c r="B180" s="1">
        <v>160</v>
      </c>
      <c r="C180" s="1">
        <v>1508.8534994574479</v>
      </c>
      <c r="D180" s="1">
        <v>4389.6512955847656</v>
      </c>
      <c r="E180" s="1">
        <v>4392.7278599883712</v>
      </c>
      <c r="F180" s="1">
        <v>17.292400092538855</v>
      </c>
      <c r="G180" s="1">
        <v>2880.7977961273177</v>
      </c>
      <c r="H180" s="1">
        <v>3.0765644036055164</v>
      </c>
      <c r="I180" s="1">
        <v>2883.8743605309232</v>
      </c>
    </row>
    <row r="181" spans="2:9" ht="15.45" x14ac:dyDescent="0.4">
      <c r="B181" s="1">
        <v>161</v>
      </c>
      <c r="C181" s="1">
        <v>1530.6843313700303</v>
      </c>
      <c r="D181" s="1">
        <v>4392.7278599883712</v>
      </c>
      <c r="E181" s="1">
        <v>4432.5287765609719</v>
      </c>
      <c r="F181" s="1">
        <v>21.830831912582426</v>
      </c>
      <c r="G181" s="1">
        <v>2862.043528618341</v>
      </c>
      <c r="H181" s="1">
        <v>39.800916572600727</v>
      </c>
      <c r="I181" s="1">
        <v>2901.8444451909418</v>
      </c>
    </row>
    <row r="182" spans="2:9" ht="15.45" x14ac:dyDescent="0.4">
      <c r="B182" s="1">
        <v>162</v>
      </c>
      <c r="C182" s="1">
        <v>1557.8439981647311</v>
      </c>
      <c r="D182" s="1">
        <v>4432.5287765609719</v>
      </c>
      <c r="E182" s="1">
        <v>4500.6630173352978</v>
      </c>
      <c r="F182" s="1">
        <v>27.159666794700797</v>
      </c>
      <c r="G182" s="1">
        <v>2874.6847783962407</v>
      </c>
      <c r="H182" s="1">
        <v>68.134240774325917</v>
      </c>
      <c r="I182" s="1">
        <v>2942.8190191705667</v>
      </c>
    </row>
    <row r="183" spans="2:9" ht="15.45" x14ac:dyDescent="0.4">
      <c r="B183" s="1">
        <v>163</v>
      </c>
      <c r="C183" s="1">
        <v>1573.3813747056681</v>
      </c>
      <c r="D183" s="1">
        <v>4500.6630173352978</v>
      </c>
      <c r="E183" s="1">
        <v>4571.6665290027804</v>
      </c>
      <c r="F183" s="1">
        <v>15.537376540936975</v>
      </c>
      <c r="G183" s="1">
        <v>2927.2816426296295</v>
      </c>
      <c r="H183" s="1">
        <v>71.003511667482599</v>
      </c>
      <c r="I183" s="1">
        <v>2998.2851542971121</v>
      </c>
    </row>
    <row r="184" spans="2:9" ht="15.45" x14ac:dyDescent="0.4">
      <c r="B184" s="1">
        <v>164</v>
      </c>
      <c r="C184" s="1">
        <v>1576.338355539322</v>
      </c>
      <c r="D184" s="1">
        <v>4571.6665290027804</v>
      </c>
      <c r="E184" s="1">
        <v>4634.7113578253648</v>
      </c>
      <c r="F184" s="1">
        <v>2.9569808336539154</v>
      </c>
      <c r="G184" s="1">
        <v>2995.3281734634584</v>
      </c>
      <c r="H184" s="1">
        <v>63.04482882258435</v>
      </c>
      <c r="I184" s="1">
        <v>3058.3730022860427</v>
      </c>
    </row>
    <row r="185" spans="2:9" ht="15.45" x14ac:dyDescent="0.4">
      <c r="B185" s="1">
        <v>165</v>
      </c>
      <c r="C185" s="1">
        <v>1584.6356824369866</v>
      </c>
      <c r="D185" s="1">
        <v>4634.7113578253648</v>
      </c>
      <c r="E185" s="1">
        <v>4731.5519964069408</v>
      </c>
      <c r="F185" s="1">
        <v>8.2973268976645613</v>
      </c>
      <c r="G185" s="1">
        <v>3050.0756753883779</v>
      </c>
      <c r="H185" s="1">
        <v>96.840638581576059</v>
      </c>
      <c r="I185" s="1">
        <v>3146.916313969954</v>
      </c>
    </row>
    <row r="186" spans="2:9" ht="15.45" x14ac:dyDescent="0.4">
      <c r="B186" s="1">
        <v>166</v>
      </c>
      <c r="C186" s="1">
        <v>1590.0046478696052</v>
      </c>
      <c r="D186" s="1">
        <v>4731.5519964069408</v>
      </c>
      <c r="E186" s="1">
        <v>4767.2065932224959</v>
      </c>
      <c r="F186" s="1">
        <v>5.3689654326185519</v>
      </c>
      <c r="G186" s="1">
        <v>3141.5473485373359</v>
      </c>
      <c r="H186" s="1">
        <v>35.654596815555124</v>
      </c>
      <c r="I186" s="1">
        <v>3177.201945352891</v>
      </c>
    </row>
    <row r="187" spans="2:9" ht="15.45" x14ac:dyDescent="0.4">
      <c r="B187" s="1">
        <v>167</v>
      </c>
      <c r="C187" s="1">
        <v>1590.9007685016923</v>
      </c>
      <c r="D187" s="1">
        <v>4767.2065932224959</v>
      </c>
      <c r="E187" s="1">
        <v>4791.8152534758783</v>
      </c>
      <c r="F187" s="1">
        <v>0.89612063208710424</v>
      </c>
      <c r="G187" s="1">
        <v>3176.3058247208037</v>
      </c>
      <c r="H187" s="1">
        <v>24.608660253382368</v>
      </c>
      <c r="I187" s="1">
        <v>3200.9144849741861</v>
      </c>
    </row>
    <row r="188" spans="2:9" ht="15.45" x14ac:dyDescent="0.4">
      <c r="B188" s="1">
        <v>168</v>
      </c>
      <c r="C188" s="1">
        <v>1605.4097062727819</v>
      </c>
      <c r="D188" s="1">
        <v>4791.8152534758783</v>
      </c>
      <c r="E188" s="1">
        <v>4827.8651471832854</v>
      </c>
      <c r="F188" s="1">
        <v>14.508937771089677</v>
      </c>
      <c r="G188" s="1">
        <v>3186.4055472030964</v>
      </c>
      <c r="H188" s="1">
        <v>36.049893707407136</v>
      </c>
      <c r="I188" s="1">
        <v>3222.4554409105035</v>
      </c>
    </row>
    <row r="189" spans="2:9" ht="15.45" x14ac:dyDescent="0.4">
      <c r="B189" s="1">
        <v>169</v>
      </c>
      <c r="C189" s="1">
        <v>1621.9521829873734</v>
      </c>
      <c r="D189" s="1">
        <v>4827.8651471832854</v>
      </c>
      <c r="E189" s="1">
        <v>4837.2039599456793</v>
      </c>
      <c r="F189" s="1">
        <v>16.54247671459143</v>
      </c>
      <c r="G189" s="1">
        <v>3205.9129641959121</v>
      </c>
      <c r="H189" s="1">
        <v>9.3388127623938999</v>
      </c>
      <c r="I189" s="1">
        <v>3215.251776958306</v>
      </c>
    </row>
    <row r="190" spans="2:9" ht="15.45" x14ac:dyDescent="0.4">
      <c r="B190" s="1">
        <v>170</v>
      </c>
      <c r="C190" s="1">
        <v>1624.0167718270693</v>
      </c>
      <c r="D190" s="1">
        <v>4837.2039599456793</v>
      </c>
      <c r="E190" s="1">
        <v>4859.9149510153129</v>
      </c>
      <c r="F190" s="1">
        <v>2.0645888396959435</v>
      </c>
      <c r="G190" s="1">
        <v>3213.1871881186098</v>
      </c>
      <c r="H190" s="1">
        <v>22.710991069633565</v>
      </c>
      <c r="I190" s="1">
        <v>3235.8981791882434</v>
      </c>
    </row>
    <row r="191" spans="2:9" ht="15.45" x14ac:dyDescent="0.4">
      <c r="B191" s="1">
        <v>171</v>
      </c>
      <c r="C191" s="1">
        <v>1638.096110220921</v>
      </c>
      <c r="D191" s="1">
        <v>4859.9149510153129</v>
      </c>
      <c r="E191" s="1">
        <v>4881.6695647333736</v>
      </c>
      <c r="F191" s="1">
        <v>14.079338393851685</v>
      </c>
      <c r="G191" s="1">
        <v>3221.8188407943917</v>
      </c>
      <c r="H191" s="1">
        <v>21.754613718060682</v>
      </c>
      <c r="I191" s="1">
        <v>3243.5734545124524</v>
      </c>
    </row>
    <row r="192" spans="2:9" ht="15.45" x14ac:dyDescent="0.4">
      <c r="B192" s="1">
        <v>172</v>
      </c>
      <c r="C192" s="1">
        <v>1656.340461288431</v>
      </c>
      <c r="D192" s="1">
        <v>4881.6695647333736</v>
      </c>
      <c r="E192" s="1">
        <v>4933.5467650109904</v>
      </c>
      <c r="F192" s="1">
        <v>18.244351067510024</v>
      </c>
      <c r="G192" s="1">
        <v>3225.3291034449426</v>
      </c>
      <c r="H192" s="1">
        <v>51.877200277616794</v>
      </c>
      <c r="I192" s="1">
        <v>3277.2063037225594</v>
      </c>
    </row>
    <row r="193" spans="2:9" ht="15.45" x14ac:dyDescent="0.4">
      <c r="B193" s="1">
        <v>173</v>
      </c>
      <c r="C193" s="1">
        <v>1657.1879681035825</v>
      </c>
      <c r="D193" s="1">
        <v>4933.5467650109904</v>
      </c>
      <c r="E193" s="1">
        <v>4999.0392607487374</v>
      </c>
      <c r="F193" s="1">
        <v>0.84750681515151882</v>
      </c>
      <c r="G193" s="1">
        <v>3276.3587969074079</v>
      </c>
      <c r="H193" s="1">
        <v>65.492495737747049</v>
      </c>
      <c r="I193" s="1">
        <v>3341.8512926451549</v>
      </c>
    </row>
    <row r="194" spans="2:9" ht="15.45" x14ac:dyDescent="0.4">
      <c r="B194" s="1">
        <v>174</v>
      </c>
      <c r="C194" s="1">
        <v>1660.7204179371963</v>
      </c>
      <c r="D194" s="1">
        <v>4999.0392607487374</v>
      </c>
      <c r="E194" s="1">
        <v>5080.5182611328401</v>
      </c>
      <c r="F194" s="1">
        <v>3.5324498336137822</v>
      </c>
      <c r="G194" s="1">
        <v>3338.3188428115409</v>
      </c>
      <c r="H194" s="1">
        <v>81.479000384102619</v>
      </c>
      <c r="I194" s="1">
        <v>3419.7978431956435</v>
      </c>
    </row>
    <row r="195" spans="2:9" ht="15.45" x14ac:dyDescent="0.4">
      <c r="B195" s="1">
        <v>175</v>
      </c>
      <c r="C195" s="1">
        <v>1673.2303925773806</v>
      </c>
      <c r="D195" s="1">
        <v>5080.5182611328401</v>
      </c>
      <c r="E195" s="1">
        <v>5127.1303907556512</v>
      </c>
      <c r="F195" s="1">
        <v>12.509974640184282</v>
      </c>
      <c r="G195" s="1">
        <v>3407.2878685554597</v>
      </c>
      <c r="H195" s="1">
        <v>46.612129622811153</v>
      </c>
      <c r="I195" s="1">
        <v>3453.8999981782708</v>
      </c>
    </row>
    <row r="196" spans="2:9" ht="15.45" x14ac:dyDescent="0.4">
      <c r="B196" s="1">
        <v>176</v>
      </c>
      <c r="C196" s="1">
        <v>1703.5299028282234</v>
      </c>
      <c r="D196" s="1">
        <v>5127.1303907556512</v>
      </c>
      <c r="E196" s="1">
        <v>5136.0013332566132</v>
      </c>
      <c r="F196" s="1">
        <v>30.299510250842786</v>
      </c>
      <c r="G196" s="1">
        <v>3423.6004879274278</v>
      </c>
      <c r="H196" s="1">
        <v>8.8709425009619736</v>
      </c>
      <c r="I196" s="1">
        <v>3432.4714304283898</v>
      </c>
    </row>
    <row r="197" spans="2:9" ht="15.45" x14ac:dyDescent="0.4">
      <c r="B197" s="1">
        <v>177</v>
      </c>
      <c r="C197" s="1">
        <v>1716.5040925527674</v>
      </c>
      <c r="D197" s="1">
        <v>5136.0013332566132</v>
      </c>
      <c r="E197" s="1">
        <v>5160.8933139496066</v>
      </c>
      <c r="F197" s="1">
        <v>12.974189724543976</v>
      </c>
      <c r="G197" s="1">
        <v>3419.4972407038458</v>
      </c>
      <c r="H197" s="1">
        <v>24.891980692993457</v>
      </c>
      <c r="I197" s="1">
        <v>3444.3892213968393</v>
      </c>
    </row>
    <row r="198" spans="2:9" ht="15.45" x14ac:dyDescent="0.4">
      <c r="B198" s="1">
        <v>178</v>
      </c>
      <c r="C198" s="1">
        <v>1722.6706694323771</v>
      </c>
      <c r="D198" s="1">
        <v>5160.8933139496066</v>
      </c>
      <c r="E198" s="1">
        <v>5177.0002102474618</v>
      </c>
      <c r="F198" s="1">
        <v>6.1665768796096927</v>
      </c>
      <c r="G198" s="1">
        <v>3438.2226445172296</v>
      </c>
      <c r="H198" s="1">
        <v>16.106896297855201</v>
      </c>
      <c r="I198" s="1">
        <v>3454.3295408150848</v>
      </c>
    </row>
    <row r="199" spans="2:9" ht="15.45" x14ac:dyDescent="0.4">
      <c r="B199" s="1">
        <v>179</v>
      </c>
      <c r="C199" s="1">
        <v>1755.8039341796007</v>
      </c>
      <c r="D199" s="1">
        <v>5177.0002102474618</v>
      </c>
      <c r="E199" s="1">
        <v>5179.6885721437229</v>
      </c>
      <c r="F199" s="1">
        <v>33.13326474722362</v>
      </c>
      <c r="G199" s="1">
        <v>3421.1962760678612</v>
      </c>
      <c r="H199" s="1">
        <v>2.6883618962610853</v>
      </c>
      <c r="I199" s="1">
        <v>3423.8846379641222</v>
      </c>
    </row>
    <row r="200" spans="2:9" ht="15.45" x14ac:dyDescent="0.4">
      <c r="B200" s="1">
        <v>180</v>
      </c>
      <c r="C200" s="1">
        <v>1761.1002681604245</v>
      </c>
      <c r="D200" s="1">
        <v>5179.6885721437229</v>
      </c>
      <c r="E200" s="1">
        <v>5223.2153854569915</v>
      </c>
      <c r="F200" s="1">
        <v>5.2963339808238743</v>
      </c>
      <c r="G200" s="1">
        <v>3418.5883039832984</v>
      </c>
      <c r="H200" s="1">
        <v>43.526813313268576</v>
      </c>
      <c r="I200" s="1">
        <v>3462.115117296567</v>
      </c>
    </row>
    <row r="201" spans="2:9" ht="15.45" x14ac:dyDescent="0.4">
      <c r="B201" s="1">
        <v>181</v>
      </c>
      <c r="C201" s="1">
        <v>1765.9759727465885</v>
      </c>
      <c r="D201" s="1">
        <v>5223.2153854569915</v>
      </c>
      <c r="E201" s="1">
        <v>5272.8428156007658</v>
      </c>
      <c r="F201" s="1">
        <v>4.8757045861639199</v>
      </c>
      <c r="G201" s="1">
        <v>3457.239412710403</v>
      </c>
      <c r="H201" s="1">
        <v>49.627430143774291</v>
      </c>
      <c r="I201" s="1">
        <v>3506.8668428541773</v>
      </c>
    </row>
    <row r="202" spans="2:9" ht="15.45" x14ac:dyDescent="0.4">
      <c r="B202" s="1">
        <v>182</v>
      </c>
      <c r="C202" s="1">
        <v>1791.1139668345313</v>
      </c>
      <c r="D202" s="1">
        <v>5272.8428156007658</v>
      </c>
      <c r="E202" s="1">
        <v>5279.0365821198538</v>
      </c>
      <c r="F202" s="1">
        <v>25.137994087942843</v>
      </c>
      <c r="G202" s="1">
        <v>3481.7288487662345</v>
      </c>
      <c r="H202" s="1">
        <v>6.193766519088058</v>
      </c>
      <c r="I202" s="1">
        <v>3487.9226152853225</v>
      </c>
    </row>
    <row r="203" spans="2:9" ht="15.45" x14ac:dyDescent="0.4">
      <c r="B203" s="1">
        <v>183</v>
      </c>
      <c r="C203" s="1">
        <v>1799.7269203750759</v>
      </c>
      <c r="D203" s="1">
        <v>5279.0365821198538</v>
      </c>
      <c r="E203" s="1">
        <v>5321.2745973014089</v>
      </c>
      <c r="F203" s="1">
        <v>8.6129535405445949</v>
      </c>
      <c r="G203" s="1">
        <v>3479.3096617447782</v>
      </c>
      <c r="H203" s="1">
        <v>42.238015181555056</v>
      </c>
      <c r="I203" s="1">
        <v>3521.5476769263332</v>
      </c>
    </row>
    <row r="204" spans="2:9" ht="15.45" x14ac:dyDescent="0.4">
      <c r="B204" s="1">
        <v>184</v>
      </c>
      <c r="C204" s="1">
        <v>1822.7909253353794</v>
      </c>
      <c r="D204" s="1">
        <v>5321.2745973014089</v>
      </c>
      <c r="E204" s="1">
        <v>5376.0076505039387</v>
      </c>
      <c r="F204" s="1">
        <v>23.064004960303464</v>
      </c>
      <c r="G204" s="1">
        <v>3498.4836719660298</v>
      </c>
      <c r="H204" s="1">
        <v>54.733053202529845</v>
      </c>
      <c r="I204" s="1">
        <v>3553.2167251685596</v>
      </c>
    </row>
    <row r="205" spans="2:9" ht="15.45" x14ac:dyDescent="0.4">
      <c r="B205" s="1">
        <v>185</v>
      </c>
      <c r="C205" s="1">
        <v>1833.0684802770757</v>
      </c>
      <c r="D205" s="1">
        <v>5376.0076505039387</v>
      </c>
      <c r="E205" s="1">
        <v>5378.5501709493929</v>
      </c>
      <c r="F205" s="1">
        <v>10.27755494169628</v>
      </c>
      <c r="G205" s="1">
        <v>3542.9391702268631</v>
      </c>
      <c r="H205" s="1">
        <v>2.5425204454541017</v>
      </c>
      <c r="I205" s="1">
        <v>3545.4816906723172</v>
      </c>
    </row>
    <row r="206" spans="2:9" ht="15.45" x14ac:dyDescent="0.4">
      <c r="B206" s="1">
        <v>186</v>
      </c>
      <c r="C206" s="1">
        <v>1845.8081387274638</v>
      </c>
      <c r="D206" s="1">
        <v>5378.5501709493929</v>
      </c>
      <c r="E206" s="1">
        <v>5389.147520450234</v>
      </c>
      <c r="F206" s="1">
        <v>12.739658450388106</v>
      </c>
      <c r="G206" s="1">
        <v>3532.7420322219291</v>
      </c>
      <c r="H206" s="1">
        <v>10.597349500841119</v>
      </c>
      <c r="I206" s="1">
        <v>3543.3393817227702</v>
      </c>
    </row>
    <row r="207" spans="2:9" ht="15.45" x14ac:dyDescent="0.4">
      <c r="B207" s="1">
        <v>187</v>
      </c>
      <c r="C207" s="1">
        <v>1848.0165712883293</v>
      </c>
      <c r="D207" s="1">
        <v>5389.147520450234</v>
      </c>
      <c r="E207" s="1">
        <v>5426.6774443707873</v>
      </c>
      <c r="F207" s="1">
        <v>2.2084325608655035</v>
      </c>
      <c r="G207" s="1">
        <v>3541.1309491619049</v>
      </c>
      <c r="H207" s="1">
        <v>37.529923920553301</v>
      </c>
      <c r="I207" s="1">
        <v>3578.6608730824582</v>
      </c>
    </row>
    <row r="208" spans="2:9" ht="15.45" x14ac:dyDescent="0.4">
      <c r="B208" s="1">
        <v>188</v>
      </c>
      <c r="C208" s="1">
        <v>1860.8985994167654</v>
      </c>
      <c r="D208" s="1">
        <v>5426.6774443707873</v>
      </c>
      <c r="E208" s="1">
        <v>5517.5759751233154</v>
      </c>
      <c r="F208" s="1">
        <v>12.882028128436104</v>
      </c>
      <c r="G208" s="1">
        <v>3565.7788449540221</v>
      </c>
      <c r="H208" s="1">
        <v>90.898530752528131</v>
      </c>
      <c r="I208" s="1">
        <v>3656.6773757065503</v>
      </c>
    </row>
    <row r="209" spans="2:9" ht="15.45" x14ac:dyDescent="0.4">
      <c r="B209" s="1">
        <v>189</v>
      </c>
      <c r="C209" s="1">
        <v>1886.76850529231</v>
      </c>
      <c r="D209" s="1">
        <v>5517.5759751233154</v>
      </c>
      <c r="E209" s="1">
        <v>5556.4985442969473</v>
      </c>
      <c r="F209" s="1">
        <v>25.869905875544646</v>
      </c>
      <c r="G209" s="1">
        <v>3630.8074698310056</v>
      </c>
      <c r="H209" s="1">
        <v>38.922569173631928</v>
      </c>
      <c r="I209" s="1">
        <v>3669.7300390046375</v>
      </c>
    </row>
    <row r="210" spans="2:9" ht="15.45" x14ac:dyDescent="0.4">
      <c r="B210" s="1">
        <v>190</v>
      </c>
      <c r="C210" s="1">
        <v>1903.8498201710938</v>
      </c>
      <c r="D210" s="1">
        <v>5556.4985442969473</v>
      </c>
      <c r="E210" s="1">
        <v>5574.998274935776</v>
      </c>
      <c r="F210" s="1">
        <v>17.081314878783814</v>
      </c>
      <c r="G210" s="1">
        <v>3652.6487241258537</v>
      </c>
      <c r="H210" s="1">
        <v>18.499730638828623</v>
      </c>
      <c r="I210" s="1">
        <v>3671.1484547646824</v>
      </c>
    </row>
    <row r="211" spans="2:9" ht="15.45" x14ac:dyDescent="0.4">
      <c r="B211" s="1">
        <v>191</v>
      </c>
      <c r="C211" s="1">
        <v>1905.4937275258349</v>
      </c>
      <c r="D211" s="1">
        <v>5574.998274935776</v>
      </c>
      <c r="E211" s="1">
        <v>5674.3980691774468</v>
      </c>
      <c r="F211" s="1">
        <v>1.6439073547410317</v>
      </c>
      <c r="G211" s="1">
        <v>3669.5045474099411</v>
      </c>
      <c r="H211" s="1">
        <v>99.399794241670861</v>
      </c>
      <c r="I211" s="1">
        <v>3768.904341651612</v>
      </c>
    </row>
    <row r="212" spans="2:9" ht="15.45" x14ac:dyDescent="0.4">
      <c r="B212" s="1">
        <v>192</v>
      </c>
      <c r="C212" s="1">
        <v>1906.4210998803189</v>
      </c>
      <c r="D212" s="1">
        <v>5674.3980691774468</v>
      </c>
      <c r="E212" s="1">
        <v>5690.2870711199184</v>
      </c>
      <c r="F212" s="1">
        <v>0.92737235448407773</v>
      </c>
      <c r="G212" s="1">
        <v>3767.9769692971277</v>
      </c>
      <c r="H212" s="1">
        <v>15.889001942471623</v>
      </c>
      <c r="I212" s="1">
        <v>3783.8659712395993</v>
      </c>
    </row>
    <row r="213" spans="2:9" ht="15.45" x14ac:dyDescent="0.4">
      <c r="B213" s="1">
        <v>193</v>
      </c>
      <c r="C213" s="1">
        <v>1914.5303419948757</v>
      </c>
      <c r="D213" s="1">
        <v>5690.2870711199184</v>
      </c>
      <c r="E213" s="1">
        <v>5704.9141848784102</v>
      </c>
      <c r="F213" s="1">
        <v>8.1092421145567641</v>
      </c>
      <c r="G213" s="1">
        <v>3775.7567291250425</v>
      </c>
      <c r="H213" s="1">
        <v>14.62711375849176</v>
      </c>
      <c r="I213" s="1">
        <v>3790.3838428835343</v>
      </c>
    </row>
    <row r="214" spans="2:9" ht="15.45" x14ac:dyDescent="0.4">
      <c r="B214" s="1">
        <v>194</v>
      </c>
      <c r="C214" s="1">
        <v>1945.539068566442</v>
      </c>
      <c r="D214" s="1">
        <v>5704.9141848784102</v>
      </c>
      <c r="E214" s="1">
        <v>5780.3281671422392</v>
      </c>
      <c r="F214" s="1">
        <v>31.008726571566285</v>
      </c>
      <c r="G214" s="1">
        <v>3759.3751163119682</v>
      </c>
      <c r="H214" s="1">
        <v>75.413982263828984</v>
      </c>
      <c r="I214" s="1">
        <v>3834.7890985757972</v>
      </c>
    </row>
    <row r="215" spans="2:9" ht="15.45" x14ac:dyDescent="0.4">
      <c r="B215" s="1">
        <v>195</v>
      </c>
      <c r="C215" s="1">
        <v>1951.4242128942776</v>
      </c>
      <c r="D215" s="1">
        <v>5780.3281671422392</v>
      </c>
      <c r="E215" s="1">
        <v>5806.1670277638732</v>
      </c>
      <c r="F215" s="1">
        <v>5.8851443278356328</v>
      </c>
      <c r="G215" s="1">
        <v>3828.9039542479613</v>
      </c>
      <c r="H215" s="1">
        <v>25.838860621634012</v>
      </c>
      <c r="I215" s="1">
        <v>3854.7428148695953</v>
      </c>
    </row>
    <row r="216" spans="2:9" ht="15.45" x14ac:dyDescent="0.4">
      <c r="B216" s="1">
        <v>196</v>
      </c>
      <c r="C216" s="1">
        <v>1954.7558236172667</v>
      </c>
      <c r="D216" s="1">
        <v>5806.1670277638732</v>
      </c>
      <c r="E216" s="1">
        <v>5875.3590426447836</v>
      </c>
      <c r="F216" s="1">
        <v>3.3316107229891259</v>
      </c>
      <c r="G216" s="1">
        <v>3851.4112041466065</v>
      </c>
      <c r="H216" s="1">
        <v>69.192014880910392</v>
      </c>
      <c r="I216" s="1">
        <v>3920.6032190275168</v>
      </c>
    </row>
    <row r="217" spans="2:9" ht="15.45" x14ac:dyDescent="0.4">
      <c r="B217" s="1">
        <v>197</v>
      </c>
      <c r="C217" s="1">
        <v>1957.0192208229748</v>
      </c>
      <c r="D217" s="1">
        <v>5875.3590426447836</v>
      </c>
      <c r="E217" s="1">
        <v>5906.1917074698722</v>
      </c>
      <c r="F217" s="1">
        <v>2.2633972057080882</v>
      </c>
      <c r="G217" s="1">
        <v>3918.339821821809</v>
      </c>
      <c r="H217" s="1">
        <v>30.832664825088614</v>
      </c>
      <c r="I217" s="1">
        <v>3949.1724866468976</v>
      </c>
    </row>
    <row r="218" spans="2:9" ht="15.45" x14ac:dyDescent="0.4">
      <c r="B218" s="1">
        <v>198</v>
      </c>
      <c r="C218" s="1">
        <v>1962.8555777367619</v>
      </c>
      <c r="D218" s="1">
        <v>5906.1917074698722</v>
      </c>
      <c r="E218" s="1">
        <v>5944.410682821037</v>
      </c>
      <c r="F218" s="1">
        <v>5.8363569137870854</v>
      </c>
      <c r="G218" s="1">
        <v>3943.3361297331103</v>
      </c>
      <c r="H218" s="1">
        <v>38.218975351164772</v>
      </c>
      <c r="I218" s="1">
        <v>3981.5551050842751</v>
      </c>
    </row>
    <row r="219" spans="2:9" ht="15.45" x14ac:dyDescent="0.4">
      <c r="B219" s="1">
        <v>199</v>
      </c>
      <c r="C219" s="1">
        <v>1977.6400364884491</v>
      </c>
      <c r="D219" s="1">
        <v>5944.410682821037</v>
      </c>
      <c r="E219" s="1">
        <v>5951.0359805036333</v>
      </c>
      <c r="F219" s="1">
        <v>14.784458751687225</v>
      </c>
      <c r="G219" s="1">
        <v>3966.7706463325876</v>
      </c>
      <c r="H219" s="1">
        <v>6.6252976825962833</v>
      </c>
      <c r="I219" s="1">
        <v>3973.3959440151839</v>
      </c>
    </row>
    <row r="220" spans="2:9" ht="15.45" x14ac:dyDescent="0.4">
      <c r="B220" s="1">
        <v>200</v>
      </c>
      <c r="C220" s="1">
        <v>1977.8648795502288</v>
      </c>
      <c r="D220" s="1">
        <v>5951.0359805036333</v>
      </c>
      <c r="E220" s="1">
        <v>5989.6820648889416</v>
      </c>
      <c r="F220" s="1">
        <v>0.22484306177966573</v>
      </c>
      <c r="G220" s="1">
        <v>3973.1711009534047</v>
      </c>
      <c r="H220" s="1">
        <v>38.646084385308313</v>
      </c>
      <c r="I220" s="1">
        <v>4011.817185338713</v>
      </c>
    </row>
    <row r="221" spans="2:9" ht="15.45" x14ac:dyDescent="0.4">
      <c r="B221" s="1">
        <v>201</v>
      </c>
      <c r="C221" s="1">
        <v>1984.1606466416486</v>
      </c>
      <c r="D221" s="1">
        <v>5989.6820648889416</v>
      </c>
      <c r="E221" s="1">
        <v>6067.2917825155755</v>
      </c>
      <c r="F221" s="1">
        <v>6.2957670914197479</v>
      </c>
      <c r="G221" s="1">
        <v>4005.5214182472928</v>
      </c>
      <c r="H221" s="1">
        <v>77.609717626633937</v>
      </c>
      <c r="I221" s="1">
        <v>4083.1311358739267</v>
      </c>
    </row>
    <row r="222" spans="2:9" ht="15.45" x14ac:dyDescent="0.4">
      <c r="B222" s="1">
        <v>202</v>
      </c>
      <c r="C222" s="1">
        <v>1986.5705010171187</v>
      </c>
      <c r="D222" s="1">
        <v>6067.2917825155755</v>
      </c>
      <c r="E222" s="1">
        <v>6118.5357271519269</v>
      </c>
      <c r="F222" s="1">
        <v>2.4098543754701041</v>
      </c>
      <c r="G222" s="1">
        <v>4080.7212814984568</v>
      </c>
      <c r="H222" s="1">
        <v>51.243944636351443</v>
      </c>
      <c r="I222" s="1">
        <v>4131.9652261348083</v>
      </c>
    </row>
    <row r="223" spans="2:9" ht="15.45" x14ac:dyDescent="0.4">
      <c r="B223" s="1">
        <v>203</v>
      </c>
      <c r="C223" s="1">
        <v>1991.8205601614618</v>
      </c>
      <c r="D223" s="1">
        <v>6118.5357271519269</v>
      </c>
      <c r="E223" s="1">
        <v>6123.4674492161503</v>
      </c>
      <c r="F223" s="1">
        <v>5.2500591443431404</v>
      </c>
      <c r="G223" s="1">
        <v>4126.7151669904651</v>
      </c>
      <c r="H223" s="1">
        <v>4.9317220642233224</v>
      </c>
      <c r="I223" s="1">
        <v>4131.6468890546885</v>
      </c>
    </row>
    <row r="224" spans="2:9" ht="15.45" x14ac:dyDescent="0.4">
      <c r="B224" s="1">
        <v>204</v>
      </c>
      <c r="C224" s="1">
        <v>2011.6281487594699</v>
      </c>
      <c r="D224" s="1">
        <v>6123.4674492161503</v>
      </c>
      <c r="E224" s="1">
        <v>6126.2495662796027</v>
      </c>
      <c r="F224" s="1">
        <v>19.807588598008124</v>
      </c>
      <c r="G224" s="1">
        <v>4111.8393004566806</v>
      </c>
      <c r="H224" s="1">
        <v>2.7821170634524606</v>
      </c>
      <c r="I224" s="1">
        <v>4114.621417520133</v>
      </c>
    </row>
    <row r="225" spans="2:9" ht="15.45" x14ac:dyDescent="0.4">
      <c r="B225" s="1">
        <v>205</v>
      </c>
      <c r="C225" s="1">
        <v>2026.2438505511457</v>
      </c>
      <c r="D225" s="1">
        <v>6126.2495662796027</v>
      </c>
      <c r="E225" s="1">
        <v>6150.577292623273</v>
      </c>
      <c r="F225" s="1">
        <v>14.615701791675747</v>
      </c>
      <c r="G225" s="1">
        <v>4100.0057157284573</v>
      </c>
      <c r="H225" s="1">
        <v>24.327726343670292</v>
      </c>
      <c r="I225" s="1">
        <v>4124.3334420721276</v>
      </c>
    </row>
    <row r="226" spans="2:9" ht="15.45" x14ac:dyDescent="0.4">
      <c r="B226" s="1">
        <v>206</v>
      </c>
      <c r="C226" s="1">
        <v>2030.1712028852994</v>
      </c>
      <c r="D226" s="1">
        <v>6150.577292623273</v>
      </c>
      <c r="E226" s="1">
        <v>6243.6034723379726</v>
      </c>
      <c r="F226" s="1">
        <v>3.9273523341537384</v>
      </c>
      <c r="G226" s="1">
        <v>4120.4060897379732</v>
      </c>
      <c r="H226" s="1">
        <v>93.026179714699538</v>
      </c>
      <c r="I226" s="1">
        <v>4213.4322694526727</v>
      </c>
    </row>
    <row r="227" spans="2:9" ht="15.45" x14ac:dyDescent="0.4">
      <c r="B227" s="1">
        <v>207</v>
      </c>
      <c r="C227" s="1">
        <v>2034.6847563898784</v>
      </c>
      <c r="D227" s="1">
        <v>6243.6034723379726</v>
      </c>
      <c r="E227" s="1">
        <v>6261.2589053214797</v>
      </c>
      <c r="F227" s="1">
        <v>4.513553504579022</v>
      </c>
      <c r="G227" s="1">
        <v>4208.9187159480944</v>
      </c>
      <c r="H227" s="1">
        <v>17.655432983507126</v>
      </c>
      <c r="I227" s="1">
        <v>4226.5741489316015</v>
      </c>
    </row>
    <row r="228" spans="2:9" ht="15.45" x14ac:dyDescent="0.4">
      <c r="B228" s="1">
        <v>208</v>
      </c>
      <c r="C228" s="1">
        <v>2070.4471734622089</v>
      </c>
      <c r="D228" s="1">
        <v>6261.2589053214797</v>
      </c>
      <c r="E228" s="1">
        <v>6271.2537374904468</v>
      </c>
      <c r="F228" s="1">
        <v>35.762417072330436</v>
      </c>
      <c r="G228" s="1">
        <v>4190.8117318592704</v>
      </c>
      <c r="H228" s="1">
        <v>9.9948321689671502</v>
      </c>
      <c r="I228" s="1">
        <v>4200.8065640282384</v>
      </c>
    </row>
    <row r="229" spans="2:9" ht="15.45" x14ac:dyDescent="0.4">
      <c r="B229" s="1">
        <v>209</v>
      </c>
      <c r="C229" s="1">
        <v>2075.1843350110335</v>
      </c>
      <c r="D229" s="1">
        <v>6271.2537374904477</v>
      </c>
      <c r="E229" s="1">
        <v>6278.0439291075718</v>
      </c>
      <c r="F229" s="1">
        <v>4.737161548824588</v>
      </c>
      <c r="G229" s="1">
        <v>4196.0694024794138</v>
      </c>
      <c r="H229" s="1">
        <v>6.7901916171240373</v>
      </c>
      <c r="I229" s="1">
        <v>4202.8595940965388</v>
      </c>
    </row>
    <row r="230" spans="2:9" ht="15.45" x14ac:dyDescent="0.4">
      <c r="B230" s="1">
        <v>210</v>
      </c>
      <c r="C230" s="1">
        <v>2081.8538876792031</v>
      </c>
      <c r="D230" s="1">
        <v>6278.0439291075709</v>
      </c>
      <c r="E230" s="1">
        <v>6295.5529998489319</v>
      </c>
      <c r="F230" s="1">
        <v>6.669552668169672</v>
      </c>
      <c r="G230" s="1">
        <v>4196.1900414283682</v>
      </c>
      <c r="H230" s="1">
        <v>17.509070741361029</v>
      </c>
      <c r="I230" s="1">
        <v>4213.6991121697283</v>
      </c>
    </row>
    <row r="231" spans="2:9" ht="15.45" x14ac:dyDescent="0.4">
      <c r="B231" s="1">
        <v>211</v>
      </c>
      <c r="C231" s="1">
        <v>2092.2453694005771</v>
      </c>
      <c r="D231" s="1">
        <v>6295.5529998489319</v>
      </c>
      <c r="E231" s="1">
        <v>6339.9063761039934</v>
      </c>
      <c r="F231" s="1">
        <v>10.391481721374021</v>
      </c>
      <c r="G231" s="1">
        <v>4203.3076304483548</v>
      </c>
      <c r="H231" s="1">
        <v>44.353376255061448</v>
      </c>
      <c r="I231" s="1">
        <v>4247.6610067034162</v>
      </c>
    </row>
    <row r="232" spans="2:9" ht="15.45" x14ac:dyDescent="0.4">
      <c r="B232" s="1">
        <v>212</v>
      </c>
      <c r="C232" s="1">
        <v>2098.0059847074717</v>
      </c>
      <c r="D232" s="1">
        <v>6339.9063761039934</v>
      </c>
      <c r="E232" s="1">
        <v>6340.5809052893328</v>
      </c>
      <c r="F232" s="1">
        <v>5.7606153068945787</v>
      </c>
      <c r="G232" s="1">
        <v>4241.9003913965216</v>
      </c>
      <c r="H232" s="1">
        <v>0.67452918533945194</v>
      </c>
      <c r="I232" s="1">
        <v>4242.5749205818611</v>
      </c>
    </row>
    <row r="233" spans="2:9" ht="15.45" x14ac:dyDescent="0.4">
      <c r="B233" s="1">
        <v>213</v>
      </c>
      <c r="C233" s="1">
        <v>2098.1558382531243</v>
      </c>
      <c r="D233" s="1">
        <v>6340.5809052893328</v>
      </c>
      <c r="E233" s="1">
        <v>6359.4682065635916</v>
      </c>
      <c r="F233" s="1">
        <v>0.14985354565260423</v>
      </c>
      <c r="G233" s="1">
        <v>4242.4250670362089</v>
      </c>
      <c r="H233" s="1">
        <v>18.887301274258789</v>
      </c>
      <c r="I233" s="1">
        <v>4261.3123683104677</v>
      </c>
    </row>
    <row r="234" spans="2:9" ht="15.45" x14ac:dyDescent="0.4">
      <c r="B234" s="1">
        <v>214</v>
      </c>
      <c r="C234" s="1">
        <v>2100.4545861533898</v>
      </c>
      <c r="D234" s="1">
        <v>6359.4682065635916</v>
      </c>
      <c r="E234" s="1">
        <v>6366.6977696900021</v>
      </c>
      <c r="F234" s="1">
        <v>2.2987479002654254</v>
      </c>
      <c r="G234" s="1">
        <v>4259.0136204102018</v>
      </c>
      <c r="H234" s="1">
        <v>7.2295631264105396</v>
      </c>
      <c r="I234" s="1">
        <v>4266.2431835366124</v>
      </c>
    </row>
    <row r="235" spans="2:9" ht="15.45" x14ac:dyDescent="0.4">
      <c r="B235" s="1">
        <v>215</v>
      </c>
      <c r="C235" s="1">
        <v>2102.9002601458242</v>
      </c>
      <c r="D235" s="1">
        <v>6366.6977696900021</v>
      </c>
      <c r="E235" s="1">
        <v>6382.4479471230316</v>
      </c>
      <c r="F235" s="1">
        <v>2.445673992434422</v>
      </c>
      <c r="G235" s="1">
        <v>4263.797509544178</v>
      </c>
      <c r="H235" s="1">
        <v>15.750177433029421</v>
      </c>
      <c r="I235" s="1">
        <v>4279.5476869772074</v>
      </c>
    </row>
    <row r="236" spans="2:9" ht="15.45" x14ac:dyDescent="0.4">
      <c r="B236" s="1">
        <v>216</v>
      </c>
      <c r="C236" s="1">
        <v>2104.9108571268521</v>
      </c>
      <c r="D236" s="1">
        <v>6382.4479471230316</v>
      </c>
      <c r="E236" s="1">
        <v>6441.8707129170562</v>
      </c>
      <c r="F236" s="1">
        <v>2.0105969810279021</v>
      </c>
      <c r="G236" s="1">
        <v>4277.5370899961799</v>
      </c>
      <c r="H236" s="1">
        <v>59.422765794024599</v>
      </c>
      <c r="I236" s="1">
        <v>4336.9598557902045</v>
      </c>
    </row>
    <row r="237" spans="2:9" ht="15.45" x14ac:dyDescent="0.4">
      <c r="B237" s="1">
        <v>217</v>
      </c>
      <c r="C237" s="1">
        <v>2108.2813926207</v>
      </c>
      <c r="D237" s="1">
        <v>6441.8707129170562</v>
      </c>
      <c r="E237" s="1">
        <v>6485.7178182920834</v>
      </c>
      <c r="F237" s="1">
        <v>3.3705354938479104</v>
      </c>
      <c r="G237" s="1">
        <v>4333.5893202963562</v>
      </c>
      <c r="H237" s="1">
        <v>43.84710537502724</v>
      </c>
      <c r="I237" s="1">
        <v>4377.4364256713834</v>
      </c>
    </row>
    <row r="238" spans="2:9" ht="15.45" x14ac:dyDescent="0.4">
      <c r="B238" s="1">
        <v>218</v>
      </c>
      <c r="C238" s="1">
        <v>2121.9471248646746</v>
      </c>
      <c r="D238" s="1">
        <v>6485.7178182920834</v>
      </c>
      <c r="E238" s="1">
        <v>6497.4998752945448</v>
      </c>
      <c r="F238" s="1">
        <v>13.665732243974617</v>
      </c>
      <c r="G238" s="1">
        <v>4363.7706934274083</v>
      </c>
      <c r="H238" s="1">
        <v>11.782057002461443</v>
      </c>
      <c r="I238" s="1">
        <v>4375.5527504298698</v>
      </c>
    </row>
    <row r="239" spans="2:9" ht="15.45" x14ac:dyDescent="0.4">
      <c r="B239" s="1">
        <v>219</v>
      </c>
      <c r="C239" s="1">
        <v>2142.2020131873091</v>
      </c>
      <c r="D239" s="1">
        <v>6497.4998752945448</v>
      </c>
      <c r="E239" s="1">
        <v>6511.0405358082817</v>
      </c>
      <c r="F239" s="1">
        <v>20.254888322634542</v>
      </c>
      <c r="G239" s="1">
        <v>4355.2978621072361</v>
      </c>
      <c r="H239" s="1">
        <v>13.540660513736839</v>
      </c>
      <c r="I239" s="1">
        <v>4368.8385226209721</v>
      </c>
    </row>
    <row r="240" spans="2:9" ht="15.45" x14ac:dyDescent="0.4">
      <c r="B240" s="1">
        <v>220</v>
      </c>
      <c r="C240" s="1">
        <v>2184.2654309397135</v>
      </c>
      <c r="D240" s="1">
        <v>6511.0405358082808</v>
      </c>
      <c r="E240" s="1">
        <v>6618.3277870252723</v>
      </c>
      <c r="F240" s="1">
        <v>42.063417752404348</v>
      </c>
      <c r="G240" s="1">
        <v>4326.7751048685677</v>
      </c>
      <c r="H240" s="1">
        <v>107.28725121699154</v>
      </c>
      <c r="I240" s="1">
        <v>4434.0623560855583</v>
      </c>
    </row>
    <row r="241" spans="2:9" ht="15.45" x14ac:dyDescent="0.4">
      <c r="B241" s="1">
        <v>221</v>
      </c>
      <c r="C241" s="1">
        <v>2193.4060209281997</v>
      </c>
      <c r="D241" s="1">
        <v>6618.3277870252723</v>
      </c>
      <c r="E241" s="1">
        <v>6632.5392716717461</v>
      </c>
      <c r="F241" s="1">
        <v>9.1405899884862265</v>
      </c>
      <c r="G241" s="1">
        <v>4424.9217660970726</v>
      </c>
      <c r="H241" s="1">
        <v>14.211484646473764</v>
      </c>
      <c r="I241" s="1">
        <v>4439.1332507435463</v>
      </c>
    </row>
    <row r="242" spans="2:9" ht="15.45" x14ac:dyDescent="0.4">
      <c r="B242" s="1">
        <v>222</v>
      </c>
      <c r="C242" s="1">
        <v>2211.8849972005182</v>
      </c>
      <c r="D242" s="1">
        <v>6632.5392716717461</v>
      </c>
      <c r="E242" s="1">
        <v>6652.5479296762551</v>
      </c>
      <c r="F242" s="1">
        <v>18.478976272318505</v>
      </c>
      <c r="G242" s="1">
        <v>4420.6542744712278</v>
      </c>
      <c r="H242" s="1">
        <v>20.008658004509016</v>
      </c>
      <c r="I242" s="1">
        <v>4440.6629324757369</v>
      </c>
    </row>
    <row r="243" spans="2:9" ht="15.45" x14ac:dyDescent="0.4">
      <c r="B243" s="1">
        <v>223</v>
      </c>
      <c r="C243" s="1">
        <v>2229.5326201223957</v>
      </c>
      <c r="D243" s="1">
        <v>6652.5479296762551</v>
      </c>
      <c r="E243" s="1">
        <v>6683.7223748403767</v>
      </c>
      <c r="F243" s="1">
        <v>17.647622921877428</v>
      </c>
      <c r="G243" s="1">
        <v>4423.015309553859</v>
      </c>
      <c r="H243" s="1">
        <v>31.174445164121607</v>
      </c>
      <c r="I243" s="1">
        <v>4454.1897547179815</v>
      </c>
    </row>
    <row r="244" spans="2:9" ht="15.45" x14ac:dyDescent="0.4">
      <c r="B244" s="1">
        <v>224</v>
      </c>
      <c r="C244" s="1">
        <v>2230.7711929971688</v>
      </c>
      <c r="D244" s="1">
        <v>6683.7223748403758</v>
      </c>
      <c r="E244" s="1">
        <v>6701.0042207610595</v>
      </c>
      <c r="F244" s="1">
        <v>1.2385728747731264</v>
      </c>
      <c r="G244" s="1">
        <v>4452.9511818432075</v>
      </c>
      <c r="H244" s="1">
        <v>17.281845920683736</v>
      </c>
      <c r="I244" s="1">
        <v>4470.2330277638903</v>
      </c>
    </row>
    <row r="245" spans="2:9" ht="15.45" x14ac:dyDescent="0.4">
      <c r="B245" s="1">
        <v>225</v>
      </c>
      <c r="C245" s="1">
        <v>2232.9249310680984</v>
      </c>
      <c r="D245" s="1">
        <v>6701.0042207610604</v>
      </c>
      <c r="E245" s="1">
        <v>6701.4537813980178</v>
      </c>
      <c r="F245" s="1">
        <v>2.1537380709296485</v>
      </c>
      <c r="G245" s="1">
        <v>4468.0792896929615</v>
      </c>
      <c r="H245" s="1">
        <v>0.44956063695735793</v>
      </c>
      <c r="I245" s="1">
        <v>4468.5288503299198</v>
      </c>
    </row>
    <row r="246" spans="2:9" ht="15.45" x14ac:dyDescent="0.4">
      <c r="B246" s="1">
        <v>226</v>
      </c>
      <c r="C246" s="1">
        <v>2235.8234158785381</v>
      </c>
      <c r="D246" s="1">
        <v>6701.4537813980178</v>
      </c>
      <c r="E246" s="1">
        <v>6708.3500250988136</v>
      </c>
      <c r="F246" s="1">
        <v>2.8984848104396406</v>
      </c>
      <c r="G246" s="1">
        <v>4465.6303655194797</v>
      </c>
      <c r="H246" s="1">
        <v>6.8962437007958215</v>
      </c>
      <c r="I246" s="1">
        <v>4472.5266092202755</v>
      </c>
    </row>
    <row r="247" spans="2:9" ht="15.45" x14ac:dyDescent="0.4">
      <c r="B247" s="1">
        <v>227</v>
      </c>
      <c r="C247" s="1">
        <v>2236.6225192779243</v>
      </c>
      <c r="D247" s="1">
        <v>6708.3500250988127</v>
      </c>
      <c r="E247" s="1">
        <v>6715.687047076116</v>
      </c>
      <c r="F247" s="1">
        <v>0.7991033993862402</v>
      </c>
      <c r="G247" s="1">
        <v>4471.7275058208888</v>
      </c>
      <c r="H247" s="1">
        <v>7.3370219773032659</v>
      </c>
      <c r="I247" s="1">
        <v>4479.0645277981912</v>
      </c>
    </row>
    <row r="248" spans="2:9" ht="15.45" x14ac:dyDescent="0.4">
      <c r="B248" s="1">
        <v>228</v>
      </c>
      <c r="C248" s="1">
        <v>2245.4961590314151</v>
      </c>
      <c r="D248" s="1">
        <v>6715.687047076116</v>
      </c>
      <c r="E248" s="1">
        <v>6721.7188380191992</v>
      </c>
      <c r="F248" s="1">
        <v>8.8736397534908065</v>
      </c>
      <c r="G248" s="1">
        <v>4470.1908880447008</v>
      </c>
      <c r="H248" s="1">
        <v>6.0317909430832515</v>
      </c>
      <c r="I248" s="1">
        <v>4476.2226789877841</v>
      </c>
    </row>
    <row r="249" spans="2:9" ht="15.45" x14ac:dyDescent="0.4">
      <c r="B249" s="1">
        <v>229</v>
      </c>
      <c r="C249" s="1">
        <v>2266.0328058962418</v>
      </c>
      <c r="D249" s="1">
        <v>6721.7188380192001</v>
      </c>
      <c r="E249" s="1">
        <v>6731.8304445007443</v>
      </c>
      <c r="F249" s="1">
        <v>20.536646864826707</v>
      </c>
      <c r="G249" s="1">
        <v>4455.6860321229578</v>
      </c>
      <c r="H249" s="1">
        <v>10.111606481544186</v>
      </c>
      <c r="I249" s="1">
        <v>4465.7976386045029</v>
      </c>
    </row>
    <row r="250" spans="2:9" ht="15.45" x14ac:dyDescent="0.4">
      <c r="B250" s="1">
        <v>230</v>
      </c>
      <c r="C250" s="1">
        <v>2279.3952021582591</v>
      </c>
      <c r="D250" s="1">
        <v>6731.8304445007443</v>
      </c>
      <c r="E250" s="1">
        <v>6772.8276412326677</v>
      </c>
      <c r="F250" s="1">
        <v>13.362396262017228</v>
      </c>
      <c r="G250" s="1">
        <v>4452.4352423424853</v>
      </c>
      <c r="H250" s="1">
        <v>40.997196731923395</v>
      </c>
      <c r="I250" s="1">
        <v>4493.4324390744086</v>
      </c>
    </row>
    <row r="251" spans="2:9" ht="15.45" x14ac:dyDescent="0.4">
      <c r="B251" s="1">
        <v>231</v>
      </c>
      <c r="C251" s="1">
        <v>2284.9582672160027</v>
      </c>
      <c r="D251" s="1">
        <v>6772.8276412326686</v>
      </c>
      <c r="E251" s="1">
        <v>6833.5923062005713</v>
      </c>
      <c r="F251" s="1">
        <v>5.5630650577436427</v>
      </c>
      <c r="G251" s="1">
        <v>4487.8693740166655</v>
      </c>
      <c r="H251" s="1">
        <v>60.764664967902718</v>
      </c>
      <c r="I251" s="1">
        <v>4548.6340389845682</v>
      </c>
    </row>
    <row r="252" spans="2:9" ht="15.45" x14ac:dyDescent="0.4">
      <c r="B252" s="1">
        <v>232</v>
      </c>
      <c r="C252" s="1">
        <v>2285.4749912507896</v>
      </c>
      <c r="D252" s="1">
        <v>6833.5923062005713</v>
      </c>
      <c r="E252" s="1">
        <v>6959.7825594577853</v>
      </c>
      <c r="F252" s="1">
        <v>0.51672403478687556</v>
      </c>
      <c r="G252" s="1">
        <v>4548.1173149497818</v>
      </c>
      <c r="H252" s="1">
        <v>126.19025325721395</v>
      </c>
      <c r="I252" s="1">
        <v>4674.3075682069957</v>
      </c>
    </row>
    <row r="253" spans="2:9" ht="15.45" x14ac:dyDescent="0.4">
      <c r="B253" s="1">
        <v>233</v>
      </c>
      <c r="C253" s="1">
        <v>2286.5321305376488</v>
      </c>
      <c r="D253" s="1">
        <v>6959.7825594577862</v>
      </c>
      <c r="E253" s="1">
        <v>6987.2043294232453</v>
      </c>
      <c r="F253" s="1">
        <v>1.0571392868591829</v>
      </c>
      <c r="G253" s="1">
        <v>4673.250428920137</v>
      </c>
      <c r="H253" s="1">
        <v>27.421769965459134</v>
      </c>
      <c r="I253" s="1">
        <v>4700.672198885597</v>
      </c>
    </row>
    <row r="254" spans="2:9" ht="15.45" x14ac:dyDescent="0.4">
      <c r="B254" s="1">
        <v>234</v>
      </c>
      <c r="C254" s="1">
        <v>2293.9261953621758</v>
      </c>
      <c r="D254" s="1">
        <v>6987.2043294232444</v>
      </c>
      <c r="E254" s="1">
        <v>7042.641258240199</v>
      </c>
      <c r="F254" s="1">
        <v>7.3940648245270495</v>
      </c>
      <c r="G254" s="1">
        <v>4693.2781340610691</v>
      </c>
      <c r="H254" s="1">
        <v>55.436928816954605</v>
      </c>
      <c r="I254" s="1">
        <v>4748.7150628780237</v>
      </c>
    </row>
    <row r="255" spans="2:9" ht="15.45" x14ac:dyDescent="0.4">
      <c r="B255" s="1">
        <v>235</v>
      </c>
      <c r="C255" s="1">
        <v>2294.3192775580055</v>
      </c>
      <c r="D255" s="1">
        <v>7042.641258240199</v>
      </c>
      <c r="E255" s="1">
        <v>7095.5841270058318</v>
      </c>
      <c r="F255" s="1">
        <v>0.39308219582972015</v>
      </c>
      <c r="G255" s="1">
        <v>4748.3219806821935</v>
      </c>
      <c r="H255" s="1">
        <v>52.942868765632738</v>
      </c>
      <c r="I255" s="1">
        <v>4801.2648494478262</v>
      </c>
    </row>
    <row r="256" spans="2:9" ht="15.45" x14ac:dyDescent="0.4">
      <c r="B256" s="1">
        <v>236</v>
      </c>
      <c r="C256" s="1">
        <v>2295.7750668305926</v>
      </c>
      <c r="D256" s="1">
        <v>7095.5841270058318</v>
      </c>
      <c r="E256" s="1">
        <v>7099.2998456301511</v>
      </c>
      <c r="F256" s="1">
        <v>1.4557892725870261</v>
      </c>
      <c r="G256" s="1">
        <v>4799.8090601752392</v>
      </c>
      <c r="H256" s="1">
        <v>3.7157186243193792</v>
      </c>
      <c r="I256" s="1">
        <v>4803.5247787995586</v>
      </c>
    </row>
    <row r="257" spans="2:9" ht="15.45" x14ac:dyDescent="0.4">
      <c r="B257" s="1">
        <v>237</v>
      </c>
      <c r="C257" s="1">
        <v>2301.2642248238949</v>
      </c>
      <c r="D257" s="1">
        <v>7099.299845630152</v>
      </c>
      <c r="E257" s="1">
        <v>7105.7610598429401</v>
      </c>
      <c r="F257" s="1">
        <v>5.4891579933023422</v>
      </c>
      <c r="G257" s="1">
        <v>4798.0356208062567</v>
      </c>
      <c r="H257" s="1">
        <v>6.4612142127880361</v>
      </c>
      <c r="I257" s="1">
        <v>4804.4968350190447</v>
      </c>
    </row>
    <row r="258" spans="2:9" ht="15.45" x14ac:dyDescent="0.4">
      <c r="B258" s="1">
        <v>238</v>
      </c>
      <c r="C258" s="1">
        <v>2305.6010345706727</v>
      </c>
      <c r="D258" s="1">
        <v>7105.7610598429401</v>
      </c>
      <c r="E258" s="1">
        <v>7114.4565142742595</v>
      </c>
      <c r="F258" s="1">
        <v>4.3368097467778171</v>
      </c>
      <c r="G258" s="1">
        <v>4800.1600252722674</v>
      </c>
      <c r="H258" s="1">
        <v>8.6954544313193765</v>
      </c>
      <c r="I258" s="1">
        <v>4808.8554797035868</v>
      </c>
    </row>
    <row r="259" spans="2:9" ht="15.45" x14ac:dyDescent="0.4">
      <c r="B259" s="1">
        <v>239</v>
      </c>
      <c r="C259" s="1">
        <v>2359.2958143196597</v>
      </c>
      <c r="D259" s="1">
        <v>7114.4565142742595</v>
      </c>
      <c r="E259" s="1">
        <v>7116.8538244724177</v>
      </c>
      <c r="F259" s="1">
        <v>53.694779748987003</v>
      </c>
      <c r="G259" s="1">
        <v>4755.1606999546002</v>
      </c>
      <c r="H259" s="1">
        <v>2.3973101981582658</v>
      </c>
      <c r="I259" s="1">
        <v>4757.5580101527576</v>
      </c>
    </row>
    <row r="260" spans="2:9" ht="15.45" x14ac:dyDescent="0.4">
      <c r="B260" s="1">
        <v>240</v>
      </c>
      <c r="C260" s="1">
        <v>2362.5067605871091</v>
      </c>
      <c r="D260" s="1">
        <v>7116.8538244724177</v>
      </c>
      <c r="E260" s="1">
        <v>7143.4747437328906</v>
      </c>
      <c r="F260" s="1">
        <v>3.2109462674493443</v>
      </c>
      <c r="G260" s="1">
        <v>4754.3470638853087</v>
      </c>
      <c r="H260" s="1">
        <v>26.620919260472874</v>
      </c>
      <c r="I260" s="1">
        <v>4780.9679831457815</v>
      </c>
    </row>
    <row r="261" spans="2:9" ht="15.45" x14ac:dyDescent="0.4">
      <c r="B261" s="1">
        <v>241</v>
      </c>
      <c r="C261" s="1">
        <v>2377.4625783353831</v>
      </c>
      <c r="D261" s="1">
        <v>7143.4747437328906</v>
      </c>
      <c r="E261" s="1">
        <v>7205.0846843273712</v>
      </c>
      <c r="F261" s="1">
        <v>14.955817748274058</v>
      </c>
      <c r="G261" s="1">
        <v>4766.0121653975075</v>
      </c>
      <c r="H261" s="1">
        <v>61.609940594480577</v>
      </c>
      <c r="I261" s="1">
        <v>4827.6221059919881</v>
      </c>
    </row>
    <row r="262" spans="2:9" ht="15.45" x14ac:dyDescent="0.4">
      <c r="B262" s="1">
        <v>242</v>
      </c>
      <c r="C262" s="1">
        <v>2392.5295634957506</v>
      </c>
      <c r="D262" s="1">
        <v>7205.0846843273721</v>
      </c>
      <c r="E262" s="1">
        <v>7245.1718731134233</v>
      </c>
      <c r="F262" s="1">
        <v>15.066985160367494</v>
      </c>
      <c r="G262" s="1">
        <v>4812.555120831621</v>
      </c>
      <c r="H262" s="1">
        <v>40.087188786051229</v>
      </c>
      <c r="I262" s="1">
        <v>4852.6423096176732</v>
      </c>
    </row>
    <row r="263" spans="2:9" ht="15.45" x14ac:dyDescent="0.4">
      <c r="B263" s="1">
        <v>243</v>
      </c>
      <c r="C263" s="1">
        <v>2395.9611401426146</v>
      </c>
      <c r="D263" s="1">
        <v>7245.1718731134233</v>
      </c>
      <c r="E263" s="1">
        <v>7261.8610682866547</v>
      </c>
      <c r="F263" s="1">
        <v>3.4315766468639595</v>
      </c>
      <c r="G263" s="1">
        <v>4849.2107329708087</v>
      </c>
      <c r="H263" s="1">
        <v>16.689195173231383</v>
      </c>
      <c r="I263" s="1">
        <v>4865.8999281440401</v>
      </c>
    </row>
    <row r="264" spans="2:9" ht="15.45" x14ac:dyDescent="0.4">
      <c r="B264" s="1">
        <v>244</v>
      </c>
      <c r="C264" s="1">
        <v>2402.2062866830811</v>
      </c>
      <c r="D264" s="1">
        <v>7261.8610682866547</v>
      </c>
      <c r="E264" s="1">
        <v>7263.4112403910158</v>
      </c>
      <c r="F264" s="1">
        <v>6.2451465404665214</v>
      </c>
      <c r="G264" s="1">
        <v>4859.6547816035736</v>
      </c>
      <c r="H264" s="1">
        <v>1.5501721043610814</v>
      </c>
      <c r="I264" s="1">
        <v>4861.2049537079347</v>
      </c>
    </row>
    <row r="265" spans="2:9" ht="15.45" x14ac:dyDescent="0.4">
      <c r="B265" s="1">
        <v>245</v>
      </c>
      <c r="C265" s="1">
        <v>2414.5785513858955</v>
      </c>
      <c r="D265" s="1">
        <v>7263.4112403910158</v>
      </c>
      <c r="E265" s="1">
        <v>7266.5826582515938</v>
      </c>
      <c r="F265" s="1">
        <v>12.372264702814391</v>
      </c>
      <c r="G265" s="1">
        <v>4848.8326890051203</v>
      </c>
      <c r="H265" s="1">
        <v>3.1714178605780035</v>
      </c>
      <c r="I265" s="1">
        <v>4852.0041068656983</v>
      </c>
    </row>
    <row r="266" spans="2:9" ht="15.45" x14ac:dyDescent="0.4">
      <c r="B266" s="1">
        <v>246</v>
      </c>
      <c r="C266" s="1">
        <v>2417.2300343293596</v>
      </c>
      <c r="D266" s="1">
        <v>7266.5826582515929</v>
      </c>
      <c r="E266" s="1">
        <v>7288.764852725174</v>
      </c>
      <c r="F266" s="1">
        <v>2.6514829434640887</v>
      </c>
      <c r="G266" s="1">
        <v>4849.3526239222338</v>
      </c>
      <c r="H266" s="1">
        <v>22.182194473581148</v>
      </c>
      <c r="I266" s="1">
        <v>4871.534818395814</v>
      </c>
    </row>
    <row r="267" spans="2:9" ht="15.45" x14ac:dyDescent="0.4">
      <c r="B267" s="1">
        <v>247</v>
      </c>
      <c r="C267" s="1">
        <v>2427.1417818270961</v>
      </c>
      <c r="D267" s="1">
        <v>7288.7648527251749</v>
      </c>
      <c r="E267" s="1">
        <v>7289.9440993126645</v>
      </c>
      <c r="F267" s="1">
        <v>9.9117474977365418</v>
      </c>
      <c r="G267" s="1">
        <v>4861.6230708980784</v>
      </c>
      <c r="H267" s="1">
        <v>1.1792465874896152</v>
      </c>
      <c r="I267" s="1">
        <v>4862.802317485568</v>
      </c>
    </row>
    <row r="268" spans="2:9" ht="15.45" x14ac:dyDescent="0.4">
      <c r="B268" s="1">
        <v>248</v>
      </c>
      <c r="C268" s="1">
        <v>2429.4959432170217</v>
      </c>
      <c r="D268" s="1">
        <v>7289.9440993126645</v>
      </c>
      <c r="E268" s="1">
        <v>7294.3114671304256</v>
      </c>
      <c r="F268" s="1">
        <v>2.3541613899255935</v>
      </c>
      <c r="G268" s="1">
        <v>4860.4481560956428</v>
      </c>
      <c r="H268" s="1">
        <v>4.3673678177610782</v>
      </c>
      <c r="I268" s="1">
        <v>4864.8155239134039</v>
      </c>
    </row>
    <row r="269" spans="2:9" ht="15.45" x14ac:dyDescent="0.4">
      <c r="B269" s="1">
        <v>249</v>
      </c>
      <c r="C269" s="1">
        <v>2441.2972215962586</v>
      </c>
      <c r="D269" s="1">
        <v>7294.3114671304247</v>
      </c>
      <c r="E269" s="1">
        <v>7310.7789411103313</v>
      </c>
      <c r="F269" s="1">
        <v>11.801278379236919</v>
      </c>
      <c r="G269" s="1">
        <v>4853.0142455341665</v>
      </c>
      <c r="H269" s="1">
        <v>16.467473979906572</v>
      </c>
      <c r="I269" s="1">
        <v>4869.4817195140731</v>
      </c>
    </row>
    <row r="270" spans="2:9" ht="15.45" x14ac:dyDescent="0.4">
      <c r="B270" s="1">
        <v>250</v>
      </c>
      <c r="C270" s="1">
        <v>2514.8802566671111</v>
      </c>
      <c r="D270" s="1">
        <v>7310.7789411103313</v>
      </c>
      <c r="E270" s="1">
        <v>7323.7893703506652</v>
      </c>
      <c r="F270" s="1">
        <v>73.583035070852475</v>
      </c>
      <c r="G270" s="1">
        <v>4795.8986844432202</v>
      </c>
      <c r="H270" s="1">
        <v>13.010429240333906</v>
      </c>
      <c r="I270" s="1">
        <v>4808.9091136835541</v>
      </c>
    </row>
    <row r="271" spans="2:9" ht="15.45" x14ac:dyDescent="0.4">
      <c r="B271" s="1">
        <v>251</v>
      </c>
      <c r="C271" s="1">
        <v>2522.5076359921654</v>
      </c>
      <c r="D271" s="1">
        <v>7323.7893703506652</v>
      </c>
      <c r="E271" s="1">
        <v>7484.8737095976267</v>
      </c>
      <c r="F271" s="1">
        <v>7.6273793250543349</v>
      </c>
      <c r="G271" s="1">
        <v>4801.2817343584993</v>
      </c>
      <c r="H271" s="1">
        <v>161.08433924696146</v>
      </c>
      <c r="I271" s="1">
        <v>4962.3660736054608</v>
      </c>
    </row>
    <row r="272" spans="2:9" ht="15.45" x14ac:dyDescent="0.4">
      <c r="B272" s="1">
        <v>252</v>
      </c>
      <c r="C272" s="1">
        <v>2522.5378435874313</v>
      </c>
      <c r="D272" s="1">
        <v>7484.8737095976267</v>
      </c>
      <c r="E272" s="1">
        <v>7494.5065483999742</v>
      </c>
      <c r="F272" s="1">
        <v>3.0207595265892451E-2</v>
      </c>
      <c r="G272" s="1">
        <v>4962.3358660101949</v>
      </c>
      <c r="H272" s="1">
        <v>9.6328388023475782</v>
      </c>
      <c r="I272" s="1">
        <v>4971.9687048125434</v>
      </c>
    </row>
    <row r="273" spans="2:9" ht="15.45" x14ac:dyDescent="0.4">
      <c r="B273" s="1">
        <v>253</v>
      </c>
      <c r="C273" s="1">
        <v>2525.2833322146994</v>
      </c>
      <c r="D273" s="1">
        <v>7494.5065483999751</v>
      </c>
      <c r="E273" s="1">
        <v>7539.3740016447964</v>
      </c>
      <c r="F273" s="1">
        <v>2.7454886272680596</v>
      </c>
      <c r="G273" s="1">
        <v>4969.2232161852753</v>
      </c>
      <c r="H273" s="1">
        <v>44.867453244821263</v>
      </c>
      <c r="I273" s="1">
        <v>5014.0906694300975</v>
      </c>
    </row>
    <row r="274" spans="2:9" ht="15.45" x14ac:dyDescent="0.4">
      <c r="B274" s="1">
        <v>254</v>
      </c>
      <c r="C274" s="1">
        <v>2526.4717721848701</v>
      </c>
      <c r="D274" s="1">
        <v>7539.3740016447964</v>
      </c>
      <c r="E274" s="1">
        <v>7584.5749571258984</v>
      </c>
      <c r="F274" s="1">
        <v>1.188439970170748</v>
      </c>
      <c r="G274" s="1">
        <v>5012.9022294599263</v>
      </c>
      <c r="H274" s="1">
        <v>45.200955481102028</v>
      </c>
      <c r="I274" s="1">
        <v>5058.1031849410283</v>
      </c>
    </row>
    <row r="275" spans="2:9" ht="15.45" x14ac:dyDescent="0.4">
      <c r="B275" s="1">
        <v>255</v>
      </c>
      <c r="C275" s="1">
        <v>2533.1939214044</v>
      </c>
      <c r="D275" s="1">
        <v>7584.5749571258984</v>
      </c>
      <c r="E275" s="1">
        <v>7594.8696870664908</v>
      </c>
      <c r="F275" s="1">
        <v>6.7221492195299106</v>
      </c>
      <c r="G275" s="1">
        <v>5051.3810357214988</v>
      </c>
      <c r="H275" s="1">
        <v>10.294729940592333</v>
      </c>
      <c r="I275" s="1">
        <v>5061.6757656620903</v>
      </c>
    </row>
    <row r="276" spans="2:9" ht="15.45" x14ac:dyDescent="0.4">
      <c r="B276" s="1">
        <v>256</v>
      </c>
      <c r="C276" s="1">
        <v>2534.7526627314951</v>
      </c>
      <c r="D276" s="1">
        <v>7594.8696870664899</v>
      </c>
      <c r="E276" s="1">
        <v>7613.6051266878903</v>
      </c>
      <c r="F276" s="1">
        <v>1.5587413270950492</v>
      </c>
      <c r="G276" s="1">
        <v>5060.1170243349952</v>
      </c>
      <c r="H276" s="1">
        <v>18.735439621400474</v>
      </c>
      <c r="I276" s="1">
        <v>5078.8524639563948</v>
      </c>
    </row>
    <row r="277" spans="2:9" ht="15.45" x14ac:dyDescent="0.4">
      <c r="B277" s="1">
        <v>257</v>
      </c>
      <c r="C277" s="1">
        <v>2544.0998012249011</v>
      </c>
      <c r="D277" s="1">
        <v>7613.6051266878903</v>
      </c>
      <c r="E277" s="1">
        <v>7650.7219207963326</v>
      </c>
      <c r="F277" s="1">
        <v>9.3471384934059643</v>
      </c>
      <c r="G277" s="1">
        <v>5069.5053254629893</v>
      </c>
      <c r="H277" s="1">
        <v>37.116794108442264</v>
      </c>
      <c r="I277" s="1">
        <v>5106.6221195714315</v>
      </c>
    </row>
    <row r="278" spans="2:9" ht="15.45" x14ac:dyDescent="0.4">
      <c r="B278" s="1">
        <v>258</v>
      </c>
      <c r="C278" s="1">
        <v>2547.3709159191094</v>
      </c>
      <c r="D278" s="1">
        <v>7650.7219207963326</v>
      </c>
      <c r="E278" s="1">
        <v>7658.6763696267253</v>
      </c>
      <c r="F278" s="1">
        <v>3.271114694208336</v>
      </c>
      <c r="G278" s="1">
        <v>5103.3510048772232</v>
      </c>
      <c r="H278" s="1">
        <v>7.954448830392721</v>
      </c>
      <c r="I278" s="1">
        <v>5111.3054537076159</v>
      </c>
    </row>
    <row r="279" spans="2:9" ht="15.45" x14ac:dyDescent="0.4">
      <c r="B279" s="1">
        <v>259</v>
      </c>
      <c r="C279" s="1">
        <v>2554.2589100846599</v>
      </c>
      <c r="D279" s="1">
        <v>7658.6763696267253</v>
      </c>
      <c r="E279" s="1">
        <v>7688.4116121199359</v>
      </c>
      <c r="F279" s="1">
        <v>6.8879941655504808</v>
      </c>
      <c r="G279" s="1">
        <v>5104.4174595420654</v>
      </c>
      <c r="H279" s="1">
        <v>29.735242493210535</v>
      </c>
      <c r="I279" s="1">
        <v>5134.152702035276</v>
      </c>
    </row>
    <row r="280" spans="2:9" ht="15.45" x14ac:dyDescent="0.4">
      <c r="B280" s="1">
        <v>260</v>
      </c>
      <c r="C280" s="1">
        <v>2563.778389118972</v>
      </c>
      <c r="D280" s="1">
        <v>7688.4116121199359</v>
      </c>
      <c r="E280" s="1">
        <v>7695.4740962897131</v>
      </c>
      <c r="F280" s="1">
        <v>9.5194790343120985</v>
      </c>
      <c r="G280" s="1">
        <v>5124.6332230009639</v>
      </c>
      <c r="H280" s="1">
        <v>7.0624841697772354</v>
      </c>
      <c r="I280" s="1">
        <v>5131.6957071707411</v>
      </c>
    </row>
    <row r="281" spans="2:9" ht="15.45" x14ac:dyDescent="0.4">
      <c r="B281" s="1">
        <v>261</v>
      </c>
      <c r="C281" s="1">
        <v>2571.4954222474094</v>
      </c>
      <c r="D281" s="1">
        <v>7695.474096289714</v>
      </c>
      <c r="E281" s="1">
        <v>7730.8779314274243</v>
      </c>
      <c r="F281" s="1">
        <v>7.7170331284373788</v>
      </c>
      <c r="G281" s="1">
        <v>5123.9786740423042</v>
      </c>
      <c r="H281" s="1">
        <v>35.403835137710303</v>
      </c>
      <c r="I281" s="1">
        <v>5159.3825091800154</v>
      </c>
    </row>
    <row r="282" spans="2:9" ht="15.45" x14ac:dyDescent="0.4">
      <c r="B282" s="1">
        <v>262</v>
      </c>
      <c r="C282" s="1">
        <v>2585.8397065583449</v>
      </c>
      <c r="D282" s="1">
        <v>7730.8779314274243</v>
      </c>
      <c r="E282" s="1">
        <v>7951.6270366399822</v>
      </c>
      <c r="F282" s="1">
        <v>14.344284310935564</v>
      </c>
      <c r="G282" s="1">
        <v>5145.0382248690794</v>
      </c>
      <c r="H282" s="1">
        <v>220.74910521255788</v>
      </c>
      <c r="I282" s="1">
        <v>5365.7873300816373</v>
      </c>
    </row>
    <row r="283" spans="2:9" ht="15.45" x14ac:dyDescent="0.4">
      <c r="B283" s="1">
        <v>263</v>
      </c>
      <c r="C283" s="1">
        <v>2586.4339455171316</v>
      </c>
      <c r="D283" s="1">
        <v>7951.6270366399822</v>
      </c>
      <c r="E283" s="1">
        <v>7974.5091746151447</v>
      </c>
      <c r="F283" s="1">
        <v>0.59423895878671829</v>
      </c>
      <c r="G283" s="1">
        <v>5365.1930911228501</v>
      </c>
      <c r="H283" s="1">
        <v>22.88213797516255</v>
      </c>
      <c r="I283" s="1">
        <v>5388.0752290980126</v>
      </c>
    </row>
    <row r="284" spans="2:9" ht="15.45" x14ac:dyDescent="0.4">
      <c r="B284" s="1">
        <v>264</v>
      </c>
      <c r="C284" s="1">
        <v>2590.9908004526924</v>
      </c>
      <c r="D284" s="1">
        <v>7974.5091746151447</v>
      </c>
      <c r="E284" s="1">
        <v>7974.5997974009424</v>
      </c>
      <c r="F284" s="1">
        <v>4.5568549355607502</v>
      </c>
      <c r="G284" s="1">
        <v>5383.5183741624523</v>
      </c>
      <c r="H284" s="1">
        <v>9.0622785797677352E-2</v>
      </c>
      <c r="I284" s="1">
        <v>5383.60899694825</v>
      </c>
    </row>
    <row r="285" spans="2:9" ht="15.45" x14ac:dyDescent="0.4">
      <c r="B285" s="1">
        <v>265</v>
      </c>
      <c r="C285" s="1">
        <v>2598.328998505398</v>
      </c>
      <c r="D285" s="1">
        <v>7974.5997974009424</v>
      </c>
      <c r="E285" s="1">
        <v>7982.8362632827466</v>
      </c>
      <c r="F285" s="1">
        <v>7.338198052705593</v>
      </c>
      <c r="G285" s="1">
        <v>5376.2707988955444</v>
      </c>
      <c r="H285" s="1">
        <v>8.2364658818041789</v>
      </c>
      <c r="I285" s="1">
        <v>5384.5072647773486</v>
      </c>
    </row>
    <row r="286" spans="2:9" ht="15.45" x14ac:dyDescent="0.4">
      <c r="B286" s="1">
        <v>266</v>
      </c>
      <c r="C286" s="1">
        <v>2606.286303465447</v>
      </c>
      <c r="D286" s="1">
        <v>7982.8362632827466</v>
      </c>
      <c r="E286" s="1">
        <v>7986.4015831932584</v>
      </c>
      <c r="F286" s="1">
        <v>7.9573049600489867</v>
      </c>
      <c r="G286" s="1">
        <v>5376.5499598172992</v>
      </c>
      <c r="H286" s="1">
        <v>3.5653199105117892</v>
      </c>
      <c r="I286" s="1">
        <v>5380.1152797278119</v>
      </c>
    </row>
    <row r="287" spans="2:9" ht="15.45" x14ac:dyDescent="0.4">
      <c r="B287" s="1">
        <v>267</v>
      </c>
      <c r="C287" s="1">
        <v>2619.4059195745172</v>
      </c>
      <c r="D287" s="1">
        <v>7986.4015831932593</v>
      </c>
      <c r="E287" s="1">
        <v>8006.5680308518486</v>
      </c>
      <c r="F287" s="1">
        <v>13.119616109070193</v>
      </c>
      <c r="G287" s="1">
        <v>5366.9956636187417</v>
      </c>
      <c r="H287" s="1">
        <v>20.166447658589277</v>
      </c>
      <c r="I287" s="1">
        <v>5387.1621112773319</v>
      </c>
    </row>
    <row r="288" spans="2:9" ht="15.45" x14ac:dyDescent="0.4">
      <c r="B288" s="1">
        <v>268</v>
      </c>
      <c r="C288" s="1">
        <v>2621.1882917212397</v>
      </c>
      <c r="D288" s="1">
        <v>8006.5680308518486</v>
      </c>
      <c r="E288" s="1">
        <v>8011.2442548331337</v>
      </c>
      <c r="F288" s="1">
        <v>1.7823721467225369</v>
      </c>
      <c r="G288" s="1">
        <v>5385.3797391306089</v>
      </c>
      <c r="H288" s="1">
        <v>4.6762239812851476</v>
      </c>
      <c r="I288" s="1">
        <v>5390.055963111894</v>
      </c>
    </row>
    <row r="289" spans="2:9" ht="15.45" x14ac:dyDescent="0.4">
      <c r="B289" s="1">
        <v>269</v>
      </c>
      <c r="C289" s="1">
        <v>2621.7352168942666</v>
      </c>
      <c r="D289" s="1">
        <v>8011.2442548331346</v>
      </c>
      <c r="E289" s="1">
        <v>8039.285670313353</v>
      </c>
      <c r="F289" s="1">
        <v>0.54692517302692067</v>
      </c>
      <c r="G289" s="1">
        <v>5389.5090379388676</v>
      </c>
      <c r="H289" s="1">
        <v>28.041415480218348</v>
      </c>
      <c r="I289" s="1">
        <v>5417.5504534190859</v>
      </c>
    </row>
    <row r="290" spans="2:9" ht="15.45" x14ac:dyDescent="0.4">
      <c r="B290" s="1">
        <v>270</v>
      </c>
      <c r="C290" s="1">
        <v>2632.3161694109363</v>
      </c>
      <c r="D290" s="1">
        <v>8039.285670313353</v>
      </c>
      <c r="E290" s="1">
        <v>8049.099014395978</v>
      </c>
      <c r="F290" s="1">
        <v>10.58095251666964</v>
      </c>
      <c r="G290" s="1">
        <v>5406.9695009024163</v>
      </c>
      <c r="H290" s="1">
        <v>9.813344082625008</v>
      </c>
      <c r="I290" s="1">
        <v>5416.7828449850422</v>
      </c>
    </row>
    <row r="291" spans="2:9" ht="15.45" x14ac:dyDescent="0.4">
      <c r="B291" s="1">
        <v>271</v>
      </c>
      <c r="C291" s="1">
        <v>2643.9881971083214</v>
      </c>
      <c r="D291" s="1">
        <v>8049.099014395978</v>
      </c>
      <c r="E291" s="1">
        <v>8069.7629968926294</v>
      </c>
      <c r="F291" s="1">
        <v>11.672027697385147</v>
      </c>
      <c r="G291" s="1">
        <v>5405.1108172876566</v>
      </c>
      <c r="H291" s="1">
        <v>20.663982496651442</v>
      </c>
      <c r="I291" s="1">
        <v>5425.774799784308</v>
      </c>
    </row>
    <row r="292" spans="2:9" ht="15.45" x14ac:dyDescent="0.4">
      <c r="B292" s="1">
        <v>272</v>
      </c>
      <c r="C292" s="1">
        <v>2647.5825864718204</v>
      </c>
      <c r="D292" s="1">
        <v>8069.7629968926303</v>
      </c>
      <c r="E292" s="1">
        <v>8098.3214339955666</v>
      </c>
      <c r="F292" s="1">
        <v>3.5943893634989763</v>
      </c>
      <c r="G292" s="1">
        <v>5422.1804104208095</v>
      </c>
      <c r="H292" s="1">
        <v>28.558437102936296</v>
      </c>
      <c r="I292" s="1">
        <v>5450.7388475237458</v>
      </c>
    </row>
    <row r="293" spans="2:9" ht="15.45" x14ac:dyDescent="0.4">
      <c r="B293" s="1">
        <v>273</v>
      </c>
      <c r="C293" s="1">
        <v>2653.220052774122</v>
      </c>
      <c r="D293" s="1">
        <v>8098.3214339955666</v>
      </c>
      <c r="E293" s="1">
        <v>8121.4725333808792</v>
      </c>
      <c r="F293" s="1">
        <v>5.6374663023016183</v>
      </c>
      <c r="G293" s="1">
        <v>5445.1013812214442</v>
      </c>
      <c r="H293" s="1">
        <v>23.151099385312591</v>
      </c>
      <c r="I293" s="1">
        <v>5468.2524806067577</v>
      </c>
    </row>
    <row r="294" spans="2:9" ht="15.45" x14ac:dyDescent="0.4">
      <c r="B294" s="1">
        <v>274</v>
      </c>
      <c r="C294" s="1">
        <v>2669.4404567159008</v>
      </c>
      <c r="D294" s="1">
        <v>8121.4725333808792</v>
      </c>
      <c r="E294" s="1">
        <v>8164.5053863136854</v>
      </c>
      <c r="F294" s="1">
        <v>16.220403941778841</v>
      </c>
      <c r="G294" s="1">
        <v>5452.0320766649784</v>
      </c>
      <c r="H294" s="1">
        <v>43.032852932806236</v>
      </c>
      <c r="I294" s="1">
        <v>5495.0649295977846</v>
      </c>
    </row>
    <row r="295" spans="2:9" ht="15.45" x14ac:dyDescent="0.4">
      <c r="B295" s="1">
        <v>275</v>
      </c>
      <c r="C295" s="1">
        <v>2698.0595029918377</v>
      </c>
      <c r="D295" s="1">
        <v>8164.5053863136854</v>
      </c>
      <c r="E295" s="1">
        <v>8166.2881031900461</v>
      </c>
      <c r="F295" s="1">
        <v>28.619046275936853</v>
      </c>
      <c r="G295" s="1">
        <v>5466.4458833218478</v>
      </c>
      <c r="H295" s="1">
        <v>1.7827168763606096</v>
      </c>
      <c r="I295" s="1">
        <v>5468.2286001982084</v>
      </c>
    </row>
    <row r="296" spans="2:9" ht="15.45" x14ac:dyDescent="0.4">
      <c r="B296" s="1">
        <v>276</v>
      </c>
      <c r="C296" s="1">
        <v>2712.2415377635029</v>
      </c>
      <c r="D296" s="1">
        <v>8166.2881031900451</v>
      </c>
      <c r="E296" s="1">
        <v>8179.9586679967269</v>
      </c>
      <c r="F296" s="1">
        <v>14.182034771665258</v>
      </c>
      <c r="G296" s="1">
        <v>5454.0465654265427</v>
      </c>
      <c r="H296" s="1">
        <v>13.670564806681796</v>
      </c>
      <c r="I296" s="1">
        <v>5467.7171302332245</v>
      </c>
    </row>
    <row r="297" spans="2:9" ht="15.45" x14ac:dyDescent="0.4">
      <c r="B297" s="1">
        <v>277</v>
      </c>
      <c r="C297" s="1">
        <v>2716.6878247483369</v>
      </c>
      <c r="D297" s="1">
        <v>8179.9586679967269</v>
      </c>
      <c r="E297" s="1">
        <v>8201.9732621548428</v>
      </c>
      <c r="F297" s="1">
        <v>4.4462869848339324</v>
      </c>
      <c r="G297" s="1">
        <v>5463.2708432483905</v>
      </c>
      <c r="H297" s="1">
        <v>22.01459415811587</v>
      </c>
      <c r="I297" s="1">
        <v>5485.2854374065064</v>
      </c>
    </row>
    <row r="298" spans="2:9" ht="15.45" x14ac:dyDescent="0.4">
      <c r="B298" s="1">
        <v>278</v>
      </c>
      <c r="C298" s="1">
        <v>2719.7036101792032</v>
      </c>
      <c r="D298" s="1">
        <v>8201.9732621548428</v>
      </c>
      <c r="E298" s="1">
        <v>8225.8451770349893</v>
      </c>
      <c r="F298" s="1">
        <v>3.0157854308663445</v>
      </c>
      <c r="G298" s="1">
        <v>5482.2696519756391</v>
      </c>
      <c r="H298" s="1">
        <v>23.871914880146505</v>
      </c>
      <c r="I298" s="1">
        <v>5506.1415668557856</v>
      </c>
    </row>
    <row r="299" spans="2:9" ht="15.45" x14ac:dyDescent="0.4">
      <c r="B299" s="1">
        <v>279</v>
      </c>
      <c r="C299" s="1">
        <v>2722.8761866154873</v>
      </c>
      <c r="D299" s="1">
        <v>8225.8451770349893</v>
      </c>
      <c r="E299" s="1">
        <v>8265.2040253621999</v>
      </c>
      <c r="F299" s="1">
        <v>3.1725764362840891</v>
      </c>
      <c r="G299" s="1">
        <v>5502.968990419502</v>
      </c>
      <c r="H299" s="1">
        <v>39.35884832721058</v>
      </c>
      <c r="I299" s="1">
        <v>5542.3278387467126</v>
      </c>
    </row>
    <row r="300" spans="2:9" ht="15.45" x14ac:dyDescent="0.4">
      <c r="B300" s="1">
        <v>280</v>
      </c>
      <c r="C300" s="1">
        <v>2725.5848760816034</v>
      </c>
      <c r="D300" s="1">
        <v>8265.2040253621999</v>
      </c>
      <c r="E300" s="1">
        <v>8270.5511418023671</v>
      </c>
      <c r="F300" s="1">
        <v>2.7086894661160841</v>
      </c>
      <c r="G300" s="1">
        <v>5539.6191492805965</v>
      </c>
      <c r="H300" s="1">
        <v>5.3471164401671558</v>
      </c>
      <c r="I300" s="1">
        <v>5544.9662657207637</v>
      </c>
    </row>
    <row r="301" spans="2:9" ht="15.45" x14ac:dyDescent="0.4">
      <c r="B301" s="1">
        <v>281</v>
      </c>
      <c r="C301" s="1">
        <v>2729.747709870057</v>
      </c>
      <c r="D301" s="1">
        <v>8270.5511418023671</v>
      </c>
      <c r="E301" s="1">
        <v>8272.1919173214483</v>
      </c>
      <c r="F301" s="1">
        <v>4.162833788453554</v>
      </c>
      <c r="G301" s="1">
        <v>5540.8034319323106</v>
      </c>
      <c r="H301" s="1">
        <v>1.6407755190812168</v>
      </c>
      <c r="I301" s="1">
        <v>5542.4442074513918</v>
      </c>
    </row>
    <row r="302" spans="2:9" ht="15.45" x14ac:dyDescent="0.4">
      <c r="B302" s="1">
        <v>282</v>
      </c>
      <c r="C302" s="1">
        <v>2730.0185125701564</v>
      </c>
      <c r="D302" s="1">
        <v>8272.1919173214483</v>
      </c>
      <c r="E302" s="1">
        <v>8303.9347748714572</v>
      </c>
      <c r="F302" s="1">
        <v>0.27080270009946616</v>
      </c>
      <c r="G302" s="1">
        <v>5542.1734047512919</v>
      </c>
      <c r="H302" s="1">
        <v>31.742857550008921</v>
      </c>
      <c r="I302" s="1">
        <v>5573.9162623013008</v>
      </c>
    </row>
    <row r="303" spans="2:9" ht="15.45" x14ac:dyDescent="0.4">
      <c r="B303" s="1">
        <v>283</v>
      </c>
      <c r="C303" s="1">
        <v>2731.8877895199848</v>
      </c>
      <c r="D303" s="1">
        <v>8303.9347748714572</v>
      </c>
      <c r="E303" s="1">
        <v>8338.9508579636131</v>
      </c>
      <c r="F303" s="1">
        <v>1.8692769498284179</v>
      </c>
      <c r="G303" s="1">
        <v>5572.0469853514724</v>
      </c>
      <c r="H303" s="1">
        <v>35.016083092155895</v>
      </c>
      <c r="I303" s="1">
        <v>5607.0630684436283</v>
      </c>
    </row>
    <row r="304" spans="2:9" ht="15.45" x14ac:dyDescent="0.4">
      <c r="B304" s="1">
        <v>284</v>
      </c>
      <c r="C304" s="1">
        <v>2735.7513233855207</v>
      </c>
      <c r="D304" s="1">
        <v>8338.9508579636131</v>
      </c>
      <c r="E304" s="1">
        <v>8349.7340260541096</v>
      </c>
      <c r="F304" s="1">
        <v>3.8635338655358282</v>
      </c>
      <c r="G304" s="1">
        <v>5603.1995345780924</v>
      </c>
      <c r="H304" s="1">
        <v>10.783168090496474</v>
      </c>
      <c r="I304" s="1">
        <v>5613.9827026685889</v>
      </c>
    </row>
    <row r="305" spans="2:9" ht="15.45" x14ac:dyDescent="0.4">
      <c r="B305" s="1">
        <v>285</v>
      </c>
      <c r="C305" s="1">
        <v>2746.2579127873555</v>
      </c>
      <c r="D305" s="1">
        <v>8349.7340260541096</v>
      </c>
      <c r="E305" s="1">
        <v>8366.6464249610144</v>
      </c>
      <c r="F305" s="1">
        <v>10.506589401834844</v>
      </c>
      <c r="G305" s="1">
        <v>5603.4761132667536</v>
      </c>
      <c r="H305" s="1">
        <v>16.912398906904855</v>
      </c>
      <c r="I305" s="1">
        <v>5620.3885121736585</v>
      </c>
    </row>
    <row r="306" spans="2:9" ht="15.45" x14ac:dyDescent="0.4">
      <c r="B306" s="1">
        <v>286</v>
      </c>
      <c r="C306" s="1">
        <v>2747.765058505157</v>
      </c>
      <c r="D306" s="1">
        <v>8366.6464249610144</v>
      </c>
      <c r="E306" s="1">
        <v>8415.3076367863505</v>
      </c>
      <c r="F306" s="1">
        <v>1.5071457178014498</v>
      </c>
      <c r="G306" s="1">
        <v>5618.8813664558575</v>
      </c>
      <c r="H306" s="1">
        <v>48.661211825336068</v>
      </c>
      <c r="I306" s="1">
        <v>5667.5425782811935</v>
      </c>
    </row>
    <row r="307" spans="2:9" ht="15.45" x14ac:dyDescent="0.4">
      <c r="B307" s="1">
        <v>287</v>
      </c>
      <c r="C307" s="1">
        <v>2749.0863696775746</v>
      </c>
      <c r="D307" s="1">
        <v>8415.3076367863505</v>
      </c>
      <c r="E307" s="1">
        <v>8501.164775614161</v>
      </c>
      <c r="F307" s="1">
        <v>1.3213111724176088</v>
      </c>
      <c r="G307" s="1">
        <v>5666.2212671087764</v>
      </c>
      <c r="H307" s="1">
        <v>85.857138827810559</v>
      </c>
      <c r="I307" s="1">
        <v>5752.0784059365869</v>
      </c>
    </row>
    <row r="308" spans="2:9" ht="15.45" x14ac:dyDescent="0.4">
      <c r="B308" s="1">
        <v>288</v>
      </c>
      <c r="C308" s="1">
        <v>2755.1749285091205</v>
      </c>
      <c r="D308" s="1">
        <v>8501.164775614161</v>
      </c>
      <c r="E308" s="1">
        <v>8543.7108799291564</v>
      </c>
      <c r="F308" s="1">
        <v>6.0885588315459245</v>
      </c>
      <c r="G308" s="1">
        <v>5745.9898471050401</v>
      </c>
      <c r="H308" s="1">
        <v>42.546104314995318</v>
      </c>
      <c r="I308" s="1">
        <v>5788.5359514200354</v>
      </c>
    </row>
    <row r="309" spans="2:9" ht="15.45" x14ac:dyDescent="0.4">
      <c r="B309" s="1">
        <v>289</v>
      </c>
      <c r="C309" s="1">
        <v>2758.0361056838942</v>
      </c>
      <c r="D309" s="1">
        <v>8543.7108799291564</v>
      </c>
      <c r="E309" s="1">
        <v>8557.0497408836582</v>
      </c>
      <c r="F309" s="1">
        <v>2.8611771747737293</v>
      </c>
      <c r="G309" s="1">
        <v>5785.6747742452626</v>
      </c>
      <c r="H309" s="1">
        <v>13.338860954501797</v>
      </c>
      <c r="I309" s="1">
        <v>5799.0136351997644</v>
      </c>
    </row>
    <row r="310" spans="2:9" ht="15.45" x14ac:dyDescent="0.4">
      <c r="B310" s="1">
        <v>290</v>
      </c>
      <c r="C310" s="1">
        <v>2761.692782227899</v>
      </c>
      <c r="D310" s="1">
        <v>8557.0497408836582</v>
      </c>
      <c r="E310" s="1">
        <v>8566.0970971762563</v>
      </c>
      <c r="F310" s="1">
        <v>3.6566765440047675</v>
      </c>
      <c r="G310" s="1">
        <v>5795.3569586557587</v>
      </c>
      <c r="H310" s="1">
        <v>9.0473562925981241</v>
      </c>
      <c r="I310" s="1">
        <v>5804.4043149483568</v>
      </c>
    </row>
    <row r="311" spans="2:9" ht="15.45" x14ac:dyDescent="0.4">
      <c r="B311" s="1">
        <v>291</v>
      </c>
      <c r="C311" s="1">
        <v>2763.1157996832585</v>
      </c>
      <c r="D311" s="1">
        <v>8566.0970971762563</v>
      </c>
      <c r="E311" s="1">
        <v>8575.614826485109</v>
      </c>
      <c r="F311" s="1">
        <v>1.4230174553595134</v>
      </c>
      <c r="G311" s="1">
        <v>5802.9812974929973</v>
      </c>
      <c r="H311" s="1">
        <v>9.5177293088527222</v>
      </c>
      <c r="I311" s="1">
        <v>5812.4990268018501</v>
      </c>
    </row>
    <row r="312" spans="2:9" ht="15.45" x14ac:dyDescent="0.4">
      <c r="B312" s="1">
        <v>292</v>
      </c>
      <c r="C312" s="1">
        <v>2773.3209878591706</v>
      </c>
      <c r="D312" s="1">
        <v>8575.614826485109</v>
      </c>
      <c r="E312" s="1">
        <v>8583.7408948834563</v>
      </c>
      <c r="F312" s="1">
        <v>10.205188175912099</v>
      </c>
      <c r="G312" s="1">
        <v>5802.2938386259384</v>
      </c>
      <c r="H312" s="1">
        <v>8.1260683983473427</v>
      </c>
      <c r="I312" s="1">
        <v>5810.4199070242857</v>
      </c>
    </row>
    <row r="313" spans="2:9" ht="15.45" x14ac:dyDescent="0.4">
      <c r="B313" s="1">
        <v>293</v>
      </c>
      <c r="C313" s="1">
        <v>2775.2435724786274</v>
      </c>
      <c r="D313" s="1">
        <v>8583.7408948834563</v>
      </c>
      <c r="E313" s="1">
        <v>8596.2293962488184</v>
      </c>
      <c r="F313" s="1">
        <v>1.9225846194567566</v>
      </c>
      <c r="G313" s="1">
        <v>5808.497322404829</v>
      </c>
      <c r="H313" s="1">
        <v>12.488501365362026</v>
      </c>
      <c r="I313" s="1">
        <v>5820.985823770191</v>
      </c>
    </row>
    <row r="314" spans="2:9" ht="15.45" x14ac:dyDescent="0.4">
      <c r="B314" s="1">
        <v>294</v>
      </c>
      <c r="C314" s="1">
        <v>2790.6649984618002</v>
      </c>
      <c r="D314" s="1">
        <v>8596.2293962488184</v>
      </c>
      <c r="E314" s="1">
        <v>8597.0418043491172</v>
      </c>
      <c r="F314" s="1">
        <v>15.421425983172867</v>
      </c>
      <c r="G314" s="1">
        <v>5805.5643977870186</v>
      </c>
      <c r="H314" s="1">
        <v>0.81240810029885324</v>
      </c>
      <c r="I314" s="1">
        <v>5806.3768058873175</v>
      </c>
    </row>
    <row r="315" spans="2:9" ht="15.45" x14ac:dyDescent="0.4">
      <c r="B315" s="1">
        <v>295</v>
      </c>
      <c r="C315" s="1">
        <v>2804.4296577064724</v>
      </c>
      <c r="D315" s="1">
        <v>8597.0418043491172</v>
      </c>
      <c r="E315" s="1">
        <v>8602.6496351986025</v>
      </c>
      <c r="F315" s="1">
        <v>13.764659244672202</v>
      </c>
      <c r="G315" s="1">
        <v>5792.6121466426448</v>
      </c>
      <c r="H315" s="1">
        <v>5.6078308494852536</v>
      </c>
      <c r="I315" s="1">
        <v>5798.2199774921301</v>
      </c>
    </row>
    <row r="316" spans="2:9" ht="15.45" x14ac:dyDescent="0.4">
      <c r="B316" s="1">
        <v>296</v>
      </c>
      <c r="C316" s="1">
        <v>2809.420308496547</v>
      </c>
      <c r="D316" s="1">
        <v>8602.6496351986025</v>
      </c>
      <c r="E316" s="1">
        <v>8614.2402367952091</v>
      </c>
      <c r="F316" s="1">
        <v>4.9906507900745964</v>
      </c>
      <c r="G316" s="1">
        <v>5793.2293267020559</v>
      </c>
      <c r="H316" s="1">
        <v>11.590601596606575</v>
      </c>
      <c r="I316" s="1">
        <v>5804.8199282986625</v>
      </c>
    </row>
    <row r="317" spans="2:9" ht="15.45" x14ac:dyDescent="0.4">
      <c r="B317" s="1">
        <v>297</v>
      </c>
      <c r="C317" s="1">
        <v>2811.1164507275089</v>
      </c>
      <c r="D317" s="1">
        <v>8614.2402367952091</v>
      </c>
      <c r="E317" s="1">
        <v>8645.7600050007131</v>
      </c>
      <c r="F317" s="1">
        <v>1.6961422309618683</v>
      </c>
      <c r="G317" s="1">
        <v>5803.1237860677002</v>
      </c>
      <c r="H317" s="1">
        <v>31.519768205504079</v>
      </c>
      <c r="I317" s="1">
        <v>5834.6435542732042</v>
      </c>
    </row>
    <row r="318" spans="2:9" ht="15.45" x14ac:dyDescent="0.4">
      <c r="B318" s="1">
        <v>298</v>
      </c>
      <c r="C318" s="1">
        <v>2819.6670790115654</v>
      </c>
      <c r="D318" s="1">
        <v>8645.7600050007131</v>
      </c>
      <c r="E318" s="1">
        <v>8650.281442154117</v>
      </c>
      <c r="F318" s="1">
        <v>8.5506282840565291</v>
      </c>
      <c r="G318" s="1">
        <v>5826.0929259891473</v>
      </c>
      <c r="H318" s="1">
        <v>4.5214371534038946</v>
      </c>
      <c r="I318" s="1">
        <v>5830.6143631425512</v>
      </c>
    </row>
    <row r="319" spans="2:9" ht="15.45" x14ac:dyDescent="0.4">
      <c r="B319" s="1">
        <v>299</v>
      </c>
      <c r="C319" s="1">
        <v>2824.4732965877761</v>
      </c>
      <c r="D319" s="1">
        <v>8650.281442154117</v>
      </c>
      <c r="E319" s="1">
        <v>8654.2453756713694</v>
      </c>
      <c r="F319" s="1">
        <v>4.8062175762106563</v>
      </c>
      <c r="G319" s="1">
        <v>5825.8081455663414</v>
      </c>
      <c r="H319" s="1">
        <v>3.9639335172523715</v>
      </c>
      <c r="I319" s="1">
        <v>5829.7720790835938</v>
      </c>
    </row>
    <row r="320" spans="2:9" ht="15.45" x14ac:dyDescent="0.4">
      <c r="B320" s="1">
        <v>300</v>
      </c>
      <c r="C320" s="1">
        <v>2826.5921416065225</v>
      </c>
      <c r="D320" s="1">
        <v>8654.2453756713694</v>
      </c>
      <c r="E320" s="1">
        <v>8672.5110521660063</v>
      </c>
      <c r="F320" s="1">
        <v>2.1188450187464696</v>
      </c>
      <c r="G320" s="1">
        <v>5827.6532340648464</v>
      </c>
      <c r="H320" s="1">
        <v>18.265676494636864</v>
      </c>
      <c r="I320" s="1">
        <v>5845.9189105594833</v>
      </c>
    </row>
    <row r="321" spans="2:9" ht="15.45" x14ac:dyDescent="0.4">
      <c r="B321" s="1">
        <v>301</v>
      </c>
      <c r="C321" s="1">
        <v>2833.0474651645113</v>
      </c>
      <c r="D321" s="1">
        <v>8672.5110521660063</v>
      </c>
      <c r="E321" s="1">
        <v>8681.0945836903284</v>
      </c>
      <c r="F321" s="1">
        <v>6.4553235579887769</v>
      </c>
      <c r="G321" s="1">
        <v>5839.4635870014954</v>
      </c>
      <c r="H321" s="1">
        <v>8.5835315243220975</v>
      </c>
      <c r="I321" s="1">
        <v>5848.0471185258175</v>
      </c>
    </row>
    <row r="322" spans="2:9" ht="15.45" x14ac:dyDescent="0.4">
      <c r="B322" s="1">
        <v>302</v>
      </c>
      <c r="C322" s="1">
        <v>2844.3852568158636</v>
      </c>
      <c r="D322" s="1">
        <v>8681.0945836903284</v>
      </c>
      <c r="E322" s="1">
        <v>8692.0646133223418</v>
      </c>
      <c r="F322" s="1">
        <v>11.337791651352291</v>
      </c>
      <c r="G322" s="1">
        <v>5836.7093268744648</v>
      </c>
      <c r="H322" s="1">
        <v>10.970029632013393</v>
      </c>
      <c r="I322" s="1">
        <v>5847.6793565064781</v>
      </c>
    </row>
    <row r="323" spans="2:9" ht="15.45" x14ac:dyDescent="0.4">
      <c r="B323" s="1">
        <v>303</v>
      </c>
      <c r="C323" s="1">
        <v>2848.4829086076334</v>
      </c>
      <c r="D323" s="1">
        <v>8692.0646133223418</v>
      </c>
      <c r="E323" s="1">
        <v>8696.3336656884203</v>
      </c>
      <c r="F323" s="1">
        <v>4.0976517917697493</v>
      </c>
      <c r="G323" s="1">
        <v>5843.5817047147084</v>
      </c>
      <c r="H323" s="1">
        <v>4.2690523660785402</v>
      </c>
      <c r="I323" s="1">
        <v>5847.8507570807869</v>
      </c>
    </row>
    <row r="324" spans="2:9" ht="15.45" x14ac:dyDescent="0.4">
      <c r="B324" s="1">
        <v>304</v>
      </c>
      <c r="C324" s="1">
        <v>2852.4744483491136</v>
      </c>
      <c r="D324" s="1">
        <v>8696.3336656884203</v>
      </c>
      <c r="E324" s="1">
        <v>8726.9492302161561</v>
      </c>
      <c r="F324" s="1">
        <v>3.9915397414802101</v>
      </c>
      <c r="G324" s="1">
        <v>5843.8592173393063</v>
      </c>
      <c r="H324" s="1">
        <v>30.615564527735842</v>
      </c>
      <c r="I324" s="1">
        <v>5874.4747818670421</v>
      </c>
    </row>
    <row r="325" spans="2:9" ht="15.45" x14ac:dyDescent="0.4">
      <c r="B325" s="1">
        <v>305</v>
      </c>
      <c r="C325" s="1">
        <v>2853.1162042999053</v>
      </c>
      <c r="D325" s="1">
        <v>8726.9492302161561</v>
      </c>
      <c r="E325" s="1">
        <v>8732.7169840745264</v>
      </c>
      <c r="F325" s="1">
        <v>0.64175595079177583</v>
      </c>
      <c r="G325" s="1">
        <v>5873.8330259162503</v>
      </c>
      <c r="H325" s="1">
        <v>5.7677538583702699</v>
      </c>
      <c r="I325" s="1">
        <v>5879.6007797746206</v>
      </c>
    </row>
    <row r="326" spans="2:9" ht="15.45" x14ac:dyDescent="0.4">
      <c r="B326" s="1">
        <v>306</v>
      </c>
      <c r="C326" s="1">
        <v>2853.7885034139003</v>
      </c>
      <c r="D326" s="1">
        <v>8732.7169840745264</v>
      </c>
      <c r="E326" s="1">
        <v>8778.9812620240446</v>
      </c>
      <c r="F326" s="1">
        <v>0.67229911399499542</v>
      </c>
      <c r="G326" s="1">
        <v>5878.9284806606265</v>
      </c>
      <c r="H326" s="1">
        <v>46.264277949518146</v>
      </c>
      <c r="I326" s="1">
        <v>5925.1927586101447</v>
      </c>
    </row>
    <row r="327" spans="2:9" ht="15.45" x14ac:dyDescent="0.4">
      <c r="B327" s="1">
        <v>307</v>
      </c>
      <c r="C327" s="1">
        <v>2863.4830390510579</v>
      </c>
      <c r="D327" s="1">
        <v>8778.9812620240446</v>
      </c>
      <c r="E327" s="1">
        <v>8820.2752397580607</v>
      </c>
      <c r="F327" s="1">
        <v>9.6945356371575144</v>
      </c>
      <c r="G327" s="1">
        <v>5915.4982229729867</v>
      </c>
      <c r="H327" s="1">
        <v>41.293977734016153</v>
      </c>
      <c r="I327" s="1">
        <v>5956.7922007070028</v>
      </c>
    </row>
    <row r="328" spans="2:9" ht="15.45" x14ac:dyDescent="0.4">
      <c r="B328" s="1">
        <v>308</v>
      </c>
      <c r="C328" s="1">
        <v>2878.7258318577024</v>
      </c>
      <c r="D328" s="1">
        <v>8820.2752397580607</v>
      </c>
      <c r="E328" s="1">
        <v>8835.247192128285</v>
      </c>
      <c r="F328" s="1">
        <v>15.242792806644502</v>
      </c>
      <c r="G328" s="1">
        <v>5941.5494079003583</v>
      </c>
      <c r="H328" s="1">
        <v>14.971952370224244</v>
      </c>
      <c r="I328" s="1">
        <v>5956.5213602705826</v>
      </c>
    </row>
    <row r="329" spans="2:9" ht="15.45" x14ac:dyDescent="0.4">
      <c r="B329" s="1">
        <v>309</v>
      </c>
      <c r="C329" s="1">
        <v>2927.8579807483566</v>
      </c>
      <c r="D329" s="1">
        <v>8835.247192128285</v>
      </c>
      <c r="E329" s="1">
        <v>8840.3356188211692</v>
      </c>
      <c r="F329" s="1">
        <v>49.132148890654207</v>
      </c>
      <c r="G329" s="1">
        <v>5907.3892113799284</v>
      </c>
      <c r="H329" s="1">
        <v>5.0884266928842408</v>
      </c>
      <c r="I329" s="1">
        <v>5912.4776380728126</v>
      </c>
    </row>
    <row r="330" spans="2:9" ht="15.45" x14ac:dyDescent="0.4">
      <c r="B330" s="1">
        <v>310</v>
      </c>
      <c r="C330" s="1">
        <v>2936.2162246252055</v>
      </c>
      <c r="D330" s="1">
        <v>8840.3356188211692</v>
      </c>
      <c r="E330" s="1">
        <v>8865.9875036733392</v>
      </c>
      <c r="F330" s="1">
        <v>8.3582438768489737</v>
      </c>
      <c r="G330" s="1">
        <v>5904.1193941959637</v>
      </c>
      <c r="H330" s="1">
        <v>25.651884852170042</v>
      </c>
      <c r="I330" s="1">
        <v>5929.7712790481337</v>
      </c>
    </row>
    <row r="331" spans="2:9" ht="15.45" x14ac:dyDescent="0.4">
      <c r="B331" s="1">
        <v>311</v>
      </c>
      <c r="C331" s="1">
        <v>2962.5571362959945</v>
      </c>
      <c r="D331" s="1">
        <v>8865.9875036733392</v>
      </c>
      <c r="E331" s="1">
        <v>8880.4061564019703</v>
      </c>
      <c r="F331" s="1">
        <v>26.340911670788955</v>
      </c>
      <c r="G331" s="1">
        <v>5903.4303673773447</v>
      </c>
      <c r="H331" s="1">
        <v>14.418652728631059</v>
      </c>
      <c r="I331" s="1">
        <v>5917.8490201059758</v>
      </c>
    </row>
    <row r="332" spans="2:9" ht="15.45" x14ac:dyDescent="0.4">
      <c r="B332" s="1">
        <v>312</v>
      </c>
      <c r="C332" s="1">
        <v>2970.4228354209627</v>
      </c>
      <c r="D332" s="1">
        <v>8880.4061564019703</v>
      </c>
      <c r="E332" s="1">
        <v>8886.7626914582106</v>
      </c>
      <c r="F332" s="1">
        <v>7.8656991249681596</v>
      </c>
      <c r="G332" s="1">
        <v>5909.9833209810076</v>
      </c>
      <c r="H332" s="1">
        <v>6.3565350562403182</v>
      </c>
      <c r="I332" s="1">
        <v>5916.339856037248</v>
      </c>
    </row>
    <row r="333" spans="2:9" ht="15.45" x14ac:dyDescent="0.4">
      <c r="B333" s="1">
        <v>313</v>
      </c>
      <c r="C333" s="1">
        <v>3009.6359289412935</v>
      </c>
      <c r="D333" s="1">
        <v>8886.7626914582106</v>
      </c>
      <c r="E333" s="1">
        <v>8906.128662132176</v>
      </c>
      <c r="F333" s="1">
        <v>39.213093520330858</v>
      </c>
      <c r="G333" s="1">
        <v>5877.1267625169166</v>
      </c>
      <c r="H333" s="1">
        <v>19.365970673965421</v>
      </c>
      <c r="I333" s="1">
        <v>5896.4927331908821</v>
      </c>
    </row>
    <row r="334" spans="2:9" ht="15.45" x14ac:dyDescent="0.4">
      <c r="B334" s="1">
        <v>314</v>
      </c>
      <c r="C334" s="1">
        <v>3013.8407159187259</v>
      </c>
      <c r="D334" s="1">
        <v>8906.128662132176</v>
      </c>
      <c r="E334" s="1">
        <v>8940.1420370862324</v>
      </c>
      <c r="F334" s="1">
        <v>4.2047869774323772</v>
      </c>
      <c r="G334" s="1">
        <v>5892.2879462134497</v>
      </c>
      <c r="H334" s="1">
        <v>34.013374954056417</v>
      </c>
      <c r="I334" s="1">
        <v>5926.3013211675061</v>
      </c>
    </row>
    <row r="335" spans="2:9" ht="15.45" x14ac:dyDescent="0.4">
      <c r="B335" s="1">
        <v>315</v>
      </c>
      <c r="C335" s="1">
        <v>3022.6505549010521</v>
      </c>
      <c r="D335" s="1">
        <v>8940.1420370862324</v>
      </c>
      <c r="E335" s="1">
        <v>8952.4349924615417</v>
      </c>
      <c r="F335" s="1">
        <v>8.8098389823262551</v>
      </c>
      <c r="G335" s="1">
        <v>5917.4914821851798</v>
      </c>
      <c r="H335" s="1">
        <v>12.292955375309248</v>
      </c>
      <c r="I335" s="1">
        <v>5929.7844375604891</v>
      </c>
    </row>
    <row r="336" spans="2:9" ht="15.45" x14ac:dyDescent="0.4">
      <c r="B336" s="1">
        <v>316</v>
      </c>
      <c r="C336" s="1">
        <v>3026.9211574933734</v>
      </c>
      <c r="D336" s="1">
        <v>8952.4349924615417</v>
      </c>
      <c r="E336" s="1">
        <v>8964.4096116859819</v>
      </c>
      <c r="F336" s="1">
        <v>4.270602592321211</v>
      </c>
      <c r="G336" s="1">
        <v>5925.5138349681683</v>
      </c>
      <c r="H336" s="1">
        <v>11.974619224440175</v>
      </c>
      <c r="I336" s="1">
        <v>5937.4884541926085</v>
      </c>
    </row>
    <row r="337" spans="2:9" ht="15.45" x14ac:dyDescent="0.4">
      <c r="B337" s="1">
        <v>317</v>
      </c>
      <c r="C337" s="1">
        <v>3030.4141130766066</v>
      </c>
      <c r="D337" s="1">
        <v>8964.4096116859819</v>
      </c>
      <c r="E337" s="1">
        <v>8966.3348795383572</v>
      </c>
      <c r="F337" s="1">
        <v>3.4929555832331971</v>
      </c>
      <c r="G337" s="1">
        <v>5933.9954986093753</v>
      </c>
      <c r="H337" s="1">
        <v>1.9252678523753275</v>
      </c>
      <c r="I337" s="1">
        <v>5935.9207664617506</v>
      </c>
    </row>
    <row r="338" spans="2:9" ht="15.45" x14ac:dyDescent="0.4">
      <c r="B338" s="1">
        <v>318</v>
      </c>
      <c r="C338" s="1">
        <v>3032.2493773136712</v>
      </c>
      <c r="D338" s="1">
        <v>8966.3348795383572</v>
      </c>
      <c r="E338" s="1">
        <v>8968.3517768803413</v>
      </c>
      <c r="F338" s="1">
        <v>1.8352642370646208</v>
      </c>
      <c r="G338" s="1">
        <v>5934.085502224686</v>
      </c>
      <c r="H338" s="1">
        <v>2.0168973419840768</v>
      </c>
      <c r="I338" s="1">
        <v>5936.1023995666701</v>
      </c>
    </row>
    <row r="339" spans="2:9" ht="15.45" x14ac:dyDescent="0.4">
      <c r="B339" s="1">
        <v>319</v>
      </c>
      <c r="C339" s="1">
        <v>3040.0567932009335</v>
      </c>
      <c r="D339" s="1">
        <v>8968.3517768803413</v>
      </c>
      <c r="E339" s="1">
        <v>8997.4353837918134</v>
      </c>
      <c r="F339" s="1">
        <v>7.8074158872623229</v>
      </c>
      <c r="G339" s="1">
        <v>5928.2949836794078</v>
      </c>
      <c r="H339" s="1">
        <v>29.083606911472089</v>
      </c>
      <c r="I339" s="1">
        <v>5957.3785905908799</v>
      </c>
    </row>
    <row r="340" spans="2:9" ht="15.45" x14ac:dyDescent="0.4">
      <c r="B340" s="1">
        <v>320</v>
      </c>
      <c r="C340" s="1">
        <v>3046.6447284473606</v>
      </c>
      <c r="D340" s="1">
        <v>8997.4353837918134</v>
      </c>
      <c r="E340" s="1">
        <v>9043.1637622117469</v>
      </c>
      <c r="F340" s="1">
        <v>6.5879352464271506</v>
      </c>
      <c r="G340" s="1">
        <v>5950.7906553444527</v>
      </c>
      <c r="H340" s="1">
        <v>45.728378419933506</v>
      </c>
      <c r="I340" s="1">
        <v>5996.5190337643862</v>
      </c>
    </row>
    <row r="341" spans="2:9" ht="15.45" x14ac:dyDescent="0.4">
      <c r="B341" s="1">
        <v>321</v>
      </c>
      <c r="C341" s="1">
        <v>3070.6974074363743</v>
      </c>
      <c r="D341" s="1">
        <v>9043.1637622117469</v>
      </c>
      <c r="E341" s="1">
        <v>9190.5602088837095</v>
      </c>
      <c r="F341" s="1">
        <v>24.052678989013657</v>
      </c>
      <c r="G341" s="1">
        <v>5972.4663547753726</v>
      </c>
      <c r="H341" s="1">
        <v>147.39644667196262</v>
      </c>
      <c r="I341" s="1">
        <v>6119.8628014473352</v>
      </c>
    </row>
    <row r="342" spans="2:9" ht="15.45" x14ac:dyDescent="0.4">
      <c r="B342" s="1">
        <v>322</v>
      </c>
      <c r="C342" s="1">
        <v>3080.1115177804145</v>
      </c>
      <c r="D342" s="1">
        <v>9190.5602088837095</v>
      </c>
      <c r="E342" s="1">
        <v>9215.6349405142555</v>
      </c>
      <c r="F342" s="1">
        <v>9.4141103440401821</v>
      </c>
      <c r="G342" s="1">
        <v>6110.4486911032945</v>
      </c>
      <c r="H342" s="1">
        <v>25.074731630546012</v>
      </c>
      <c r="I342" s="1">
        <v>6135.5234227338406</v>
      </c>
    </row>
    <row r="343" spans="2:9" ht="15.45" x14ac:dyDescent="0.4">
      <c r="B343" s="1">
        <v>323</v>
      </c>
      <c r="C343" s="1">
        <v>3096.8549966315172</v>
      </c>
      <c r="D343" s="1">
        <v>9215.6349405142555</v>
      </c>
      <c r="E343" s="1">
        <v>9294.6576755266233</v>
      </c>
      <c r="F343" s="1">
        <v>16.743478851102736</v>
      </c>
      <c r="G343" s="1">
        <v>6118.7799438827387</v>
      </c>
      <c r="H343" s="1">
        <v>79.022735012367775</v>
      </c>
      <c r="I343" s="1">
        <v>6197.8026788951065</v>
      </c>
    </row>
    <row r="344" spans="2:9" ht="15.45" x14ac:dyDescent="0.4">
      <c r="B344" s="1">
        <v>324</v>
      </c>
      <c r="C344" s="1">
        <v>3121.5694040908406</v>
      </c>
      <c r="D344" s="1">
        <v>9294.6576755266233</v>
      </c>
      <c r="E344" s="1">
        <v>9318.2547729015278</v>
      </c>
      <c r="F344" s="1">
        <v>24.714407459323411</v>
      </c>
      <c r="G344" s="1">
        <v>6173.0882714357831</v>
      </c>
      <c r="H344" s="1">
        <v>23.597097374904479</v>
      </c>
      <c r="I344" s="1">
        <v>6196.6853688106876</v>
      </c>
    </row>
    <row r="345" spans="2:9" ht="15.45" x14ac:dyDescent="0.4">
      <c r="B345" s="1">
        <v>325</v>
      </c>
      <c r="C345" s="1">
        <v>3140.4443584842047</v>
      </c>
      <c r="D345" s="1">
        <v>9318.2547729015278</v>
      </c>
      <c r="E345" s="1">
        <v>9435.8940534625199</v>
      </c>
      <c r="F345" s="1">
        <v>18.874954393364078</v>
      </c>
      <c r="G345" s="1">
        <v>6177.810414417323</v>
      </c>
      <c r="H345" s="1">
        <v>117.63928056099212</v>
      </c>
      <c r="I345" s="1">
        <v>6295.4496949783152</v>
      </c>
    </row>
    <row r="346" spans="2:9" ht="15.45" x14ac:dyDescent="0.4">
      <c r="B346" s="1">
        <v>326</v>
      </c>
      <c r="C346" s="1">
        <v>3140.9140957938575</v>
      </c>
      <c r="D346" s="1">
        <v>9435.8940534625199</v>
      </c>
      <c r="E346" s="1">
        <v>9448.508414394817</v>
      </c>
      <c r="F346" s="1">
        <v>0.46973730965282812</v>
      </c>
      <c r="G346" s="1">
        <v>6294.9799576686619</v>
      </c>
      <c r="H346" s="1">
        <v>12.614360932297132</v>
      </c>
      <c r="I346" s="1">
        <v>6307.594318600959</v>
      </c>
    </row>
    <row r="347" spans="2:9" ht="15.45" x14ac:dyDescent="0.4">
      <c r="B347" s="1">
        <v>327</v>
      </c>
      <c r="C347" s="1">
        <v>3146.0208950485098</v>
      </c>
      <c r="D347" s="1">
        <v>9448.508414394817</v>
      </c>
      <c r="E347" s="1">
        <v>9474.9379313417958</v>
      </c>
      <c r="F347" s="1">
        <v>5.1067992546522873</v>
      </c>
      <c r="G347" s="1">
        <v>6302.4875193463067</v>
      </c>
      <c r="H347" s="1">
        <v>26.429516946978765</v>
      </c>
      <c r="I347" s="1">
        <v>6328.9170362932855</v>
      </c>
    </row>
    <row r="348" spans="2:9" ht="15.45" x14ac:dyDescent="0.4">
      <c r="B348" s="1">
        <v>328</v>
      </c>
      <c r="C348" s="1">
        <v>3151.462969066456</v>
      </c>
      <c r="D348" s="1">
        <v>9474.9379313417958</v>
      </c>
      <c r="E348" s="1">
        <v>9487.749739118759</v>
      </c>
      <c r="F348" s="1">
        <v>5.4420740179461973</v>
      </c>
      <c r="G348" s="1">
        <v>6323.4749622753397</v>
      </c>
      <c r="H348" s="1">
        <v>12.811807776963178</v>
      </c>
      <c r="I348" s="1">
        <v>6336.2867700523029</v>
      </c>
    </row>
    <row r="349" spans="2:9" ht="15.45" x14ac:dyDescent="0.4">
      <c r="B349" s="1">
        <v>329</v>
      </c>
      <c r="C349" s="1">
        <v>3169.3328259475675</v>
      </c>
      <c r="D349" s="1">
        <v>9487.749739118759</v>
      </c>
      <c r="E349" s="1">
        <v>9498.2286058684585</v>
      </c>
      <c r="F349" s="1">
        <v>17.869856881111446</v>
      </c>
      <c r="G349" s="1">
        <v>6318.4169131711915</v>
      </c>
      <c r="H349" s="1">
        <v>10.478866749699591</v>
      </c>
      <c r="I349" s="1">
        <v>6328.8957799208911</v>
      </c>
    </row>
    <row r="350" spans="2:9" ht="15.45" x14ac:dyDescent="0.4">
      <c r="B350" s="1">
        <v>330</v>
      </c>
      <c r="C350" s="1">
        <v>3188.876338539209</v>
      </c>
      <c r="D350" s="1">
        <v>9498.2286058684585</v>
      </c>
      <c r="E350" s="1">
        <v>9503.7343985796524</v>
      </c>
      <c r="F350" s="1">
        <v>19.543512591641502</v>
      </c>
      <c r="G350" s="1">
        <v>6309.35226732925</v>
      </c>
      <c r="H350" s="1">
        <v>5.5057927111938625</v>
      </c>
      <c r="I350" s="1">
        <v>6314.8580600404439</v>
      </c>
    </row>
    <row r="351" spans="2:9" ht="15.45" x14ac:dyDescent="0.4">
      <c r="B351" s="1">
        <v>331</v>
      </c>
      <c r="C351" s="1">
        <v>3188.9807295947148</v>
      </c>
      <c r="D351" s="1">
        <v>9503.7343985796524</v>
      </c>
      <c r="E351" s="1">
        <v>9527.1566462414394</v>
      </c>
      <c r="F351" s="1">
        <v>0.10439105550585737</v>
      </c>
      <c r="G351" s="1">
        <v>6314.7536689849376</v>
      </c>
      <c r="H351" s="1">
        <v>23.422247661786969</v>
      </c>
      <c r="I351" s="1">
        <v>6338.1759166467245</v>
      </c>
    </row>
    <row r="352" spans="2:9" ht="15.45" x14ac:dyDescent="0.4">
      <c r="B352" s="1">
        <v>332</v>
      </c>
      <c r="C352" s="1">
        <v>3195.9223661374726</v>
      </c>
      <c r="D352" s="1">
        <v>9527.1566462414394</v>
      </c>
      <c r="E352" s="1">
        <v>9546.9204519807208</v>
      </c>
      <c r="F352" s="1">
        <v>6.9416365427578057</v>
      </c>
      <c r="G352" s="1">
        <v>6331.2342801039667</v>
      </c>
      <c r="H352" s="1">
        <v>19.763805739281452</v>
      </c>
      <c r="I352" s="1">
        <v>6350.9980858432482</v>
      </c>
    </row>
    <row r="353" spans="2:9" ht="15.45" x14ac:dyDescent="0.4">
      <c r="B353" s="1">
        <v>333</v>
      </c>
      <c r="C353" s="1">
        <v>3197.0788130611199</v>
      </c>
      <c r="D353" s="1">
        <v>9546.9204519807208</v>
      </c>
      <c r="E353" s="1">
        <v>9619.0784889477618</v>
      </c>
      <c r="F353" s="1">
        <v>1.1564469236473087</v>
      </c>
      <c r="G353" s="1">
        <v>6349.8416389196009</v>
      </c>
      <c r="H353" s="1">
        <v>72.158036967040971</v>
      </c>
      <c r="I353" s="1">
        <v>6421.9996758866419</v>
      </c>
    </row>
    <row r="354" spans="2:9" ht="15.45" x14ac:dyDescent="0.4">
      <c r="B354" s="1">
        <v>334</v>
      </c>
      <c r="C354" s="1">
        <v>3209.2287902756789</v>
      </c>
      <c r="D354" s="1">
        <v>9619.0784889477618</v>
      </c>
      <c r="E354" s="1">
        <v>9647.3208199798828</v>
      </c>
      <c r="F354" s="1">
        <v>12.14997721455893</v>
      </c>
      <c r="G354" s="1">
        <v>6409.8496986720829</v>
      </c>
      <c r="H354" s="1">
        <v>28.242331032121001</v>
      </c>
      <c r="I354" s="1">
        <v>6438.0920297042039</v>
      </c>
    </row>
    <row r="355" spans="2:9" ht="15.45" x14ac:dyDescent="0.4">
      <c r="B355" s="1">
        <v>335</v>
      </c>
      <c r="C355" s="1">
        <v>3247.0062815441115</v>
      </c>
      <c r="D355" s="1">
        <v>9647.3208199798828</v>
      </c>
      <c r="E355" s="1">
        <v>9697.5512565331919</v>
      </c>
      <c r="F355" s="1">
        <v>37.777491268432641</v>
      </c>
      <c r="G355" s="1">
        <v>6400.3145384357713</v>
      </c>
      <c r="H355" s="1">
        <v>50.230436553309119</v>
      </c>
      <c r="I355" s="1">
        <v>6450.5449749890804</v>
      </c>
    </row>
    <row r="356" spans="2:9" ht="15.45" x14ac:dyDescent="0.4">
      <c r="B356" s="1">
        <v>336</v>
      </c>
      <c r="C356" s="1">
        <v>3256.9885034984504</v>
      </c>
      <c r="D356" s="1">
        <v>9697.5512565331919</v>
      </c>
      <c r="E356" s="1">
        <v>9771.6944789111622</v>
      </c>
      <c r="F356" s="1">
        <v>9.982221954338911</v>
      </c>
      <c r="G356" s="1">
        <v>6440.562753034741</v>
      </c>
      <c r="H356" s="1">
        <v>74.143222377970233</v>
      </c>
      <c r="I356" s="1">
        <v>6514.7059754127113</v>
      </c>
    </row>
    <row r="357" spans="2:9" ht="15.45" x14ac:dyDescent="0.4">
      <c r="B357" s="1">
        <v>337</v>
      </c>
      <c r="C357" s="1">
        <v>3270.9093885045872</v>
      </c>
      <c r="D357" s="1">
        <v>9771.6944789111622</v>
      </c>
      <c r="E357" s="1">
        <v>9828.3193420912539</v>
      </c>
      <c r="F357" s="1">
        <v>13.920885006136814</v>
      </c>
      <c r="G357" s="1">
        <v>6500.7850904065745</v>
      </c>
      <c r="H357" s="1">
        <v>56.624863180091779</v>
      </c>
      <c r="I357" s="1">
        <v>6557.4099535866662</v>
      </c>
    </row>
    <row r="358" spans="2:9" ht="15.45" x14ac:dyDescent="0.4">
      <c r="B358" s="1">
        <v>338</v>
      </c>
      <c r="C358" s="1">
        <v>3271.8857272485693</v>
      </c>
      <c r="D358" s="1">
        <v>9828.3193420912539</v>
      </c>
      <c r="E358" s="1">
        <v>9829.728554020212</v>
      </c>
      <c r="F358" s="1">
        <v>0.97633874398206899</v>
      </c>
      <c r="G358" s="1">
        <v>6556.4336148426846</v>
      </c>
      <c r="H358" s="1">
        <v>1.4092119289580296</v>
      </c>
      <c r="I358" s="1">
        <v>6557.8428267716426</v>
      </c>
    </row>
    <row r="359" spans="2:9" ht="15.45" x14ac:dyDescent="0.4">
      <c r="B359" s="1">
        <v>339</v>
      </c>
      <c r="C359" s="1">
        <v>3274.9393441506541</v>
      </c>
      <c r="D359" s="1">
        <v>9829.728554020212</v>
      </c>
      <c r="E359" s="1">
        <v>9845.0489517841688</v>
      </c>
      <c r="F359" s="1">
        <v>3.053616902084741</v>
      </c>
      <c r="G359" s="1">
        <v>6554.7892098695575</v>
      </c>
      <c r="H359" s="1">
        <v>15.320397763956862</v>
      </c>
      <c r="I359" s="1">
        <v>6570.1096076335143</v>
      </c>
    </row>
    <row r="360" spans="2:9" ht="15.45" x14ac:dyDescent="0.4">
      <c r="B360" s="1">
        <v>340</v>
      </c>
      <c r="C360" s="1">
        <v>3275.3622930241063</v>
      </c>
      <c r="D360" s="1">
        <v>9845.0489517841688</v>
      </c>
      <c r="E360" s="1">
        <v>9861.375173838007</v>
      </c>
      <c r="F360" s="1">
        <v>0.42294887345224197</v>
      </c>
      <c r="G360" s="1">
        <v>6569.6866587600625</v>
      </c>
      <c r="H360" s="1">
        <v>16.326222053838137</v>
      </c>
      <c r="I360" s="1">
        <v>6586.0128808139007</v>
      </c>
    </row>
    <row r="361" spans="2:9" ht="15.45" x14ac:dyDescent="0.4">
      <c r="B361" s="1">
        <v>341</v>
      </c>
      <c r="C361" s="1">
        <v>3286.9065569717109</v>
      </c>
      <c r="D361" s="1">
        <v>9861.375173838007</v>
      </c>
      <c r="E361" s="1">
        <v>9914.9847444813404</v>
      </c>
      <c r="F361" s="1">
        <v>11.544263947604577</v>
      </c>
      <c r="G361" s="1">
        <v>6574.4686168662956</v>
      </c>
      <c r="H361" s="1">
        <v>53.609570643333427</v>
      </c>
      <c r="I361" s="1">
        <v>6628.0781875096291</v>
      </c>
    </row>
    <row r="362" spans="2:9" ht="15.45" x14ac:dyDescent="0.4">
      <c r="B362" s="1">
        <v>342</v>
      </c>
      <c r="C362" s="1">
        <v>3295.8805407002369</v>
      </c>
      <c r="D362" s="1">
        <v>9914.9847444813404</v>
      </c>
      <c r="E362" s="1">
        <v>9973.6152822562653</v>
      </c>
      <c r="F362" s="1">
        <v>8.9739837285260364</v>
      </c>
      <c r="G362" s="1">
        <v>6619.1042037811039</v>
      </c>
      <c r="H362" s="1">
        <v>58.63053777492496</v>
      </c>
      <c r="I362" s="1">
        <v>6677.7347415560289</v>
      </c>
    </row>
    <row r="363" spans="2:9" ht="15.45" x14ac:dyDescent="0.4">
      <c r="B363" s="1">
        <v>343</v>
      </c>
      <c r="C363" s="1">
        <v>3305.1239245289521</v>
      </c>
      <c r="D363" s="1">
        <v>9973.6152822562653</v>
      </c>
      <c r="E363" s="1">
        <v>9973.9284554227834</v>
      </c>
      <c r="F363" s="1">
        <v>9.2433838287151957</v>
      </c>
      <c r="G363" s="1">
        <v>6668.4913577273128</v>
      </c>
      <c r="H363" s="1">
        <v>0.31317316651802685</v>
      </c>
      <c r="I363" s="1">
        <v>6668.8045308938308</v>
      </c>
    </row>
    <row r="364" spans="2:9" ht="15.45" x14ac:dyDescent="0.4">
      <c r="B364" s="1">
        <v>344</v>
      </c>
      <c r="C364" s="1">
        <v>3313.5779445798889</v>
      </c>
      <c r="D364" s="1">
        <v>9973.9284554227834</v>
      </c>
      <c r="E364" s="1">
        <v>9994.7533650510577</v>
      </c>
      <c r="F364" s="1">
        <v>8.4540200509368333</v>
      </c>
      <c r="G364" s="1">
        <v>6660.3505108428944</v>
      </c>
      <c r="H364" s="1">
        <v>20.824909628274327</v>
      </c>
      <c r="I364" s="1">
        <v>6681.1754204711688</v>
      </c>
    </row>
    <row r="365" spans="2:9" ht="15.45" x14ac:dyDescent="0.4">
      <c r="B365" s="1">
        <v>345</v>
      </c>
      <c r="C365" s="1">
        <v>3324.5912621143602</v>
      </c>
      <c r="D365" s="1">
        <v>9994.7533650510577</v>
      </c>
      <c r="E365" s="1">
        <v>9998.2227058219996</v>
      </c>
      <c r="F365" s="1">
        <v>11.013317534471298</v>
      </c>
      <c r="G365" s="1">
        <v>6670.1621029366979</v>
      </c>
      <c r="H365" s="1">
        <v>3.4693407709419262</v>
      </c>
      <c r="I365" s="1">
        <v>6673.6314437076398</v>
      </c>
    </row>
    <row r="366" spans="2:9" ht="15.45" x14ac:dyDescent="0.4">
      <c r="B366" s="1">
        <v>346</v>
      </c>
      <c r="C366" s="1">
        <v>3329.2160570293486</v>
      </c>
      <c r="D366" s="1">
        <v>9998.2227058219996</v>
      </c>
      <c r="E366" s="1">
        <v>10034.672637465676</v>
      </c>
      <c r="F366" s="1">
        <v>4.6247949149883425</v>
      </c>
      <c r="G366" s="1">
        <v>6669.0066487926506</v>
      </c>
      <c r="H366" s="1">
        <v>36.449931643675882</v>
      </c>
      <c r="I366" s="1">
        <v>6705.4565804363265</v>
      </c>
    </row>
    <row r="367" spans="2:9" ht="15.45" x14ac:dyDescent="0.4">
      <c r="B367" s="1">
        <v>347</v>
      </c>
      <c r="C367" s="1">
        <v>3331.7743241647199</v>
      </c>
      <c r="D367" s="1">
        <v>10034.672637465676</v>
      </c>
      <c r="E367" s="1">
        <v>10148.005111270973</v>
      </c>
      <c r="F367" s="1">
        <v>2.5582671353713522</v>
      </c>
      <c r="G367" s="1">
        <v>6702.8983133009551</v>
      </c>
      <c r="H367" s="1">
        <v>113.33247380529792</v>
      </c>
      <c r="I367" s="1">
        <v>6816.230787106253</v>
      </c>
    </row>
    <row r="368" spans="2:9" ht="15.45" x14ac:dyDescent="0.4">
      <c r="B368" s="1">
        <v>348</v>
      </c>
      <c r="C368" s="1">
        <v>3336.4674779405755</v>
      </c>
      <c r="D368" s="1">
        <v>10148.005111270973</v>
      </c>
      <c r="E368" s="1">
        <v>10177.951777133991</v>
      </c>
      <c r="F368" s="1">
        <v>4.6931537758555351</v>
      </c>
      <c r="G368" s="1">
        <v>6811.5376333303975</v>
      </c>
      <c r="H368" s="1">
        <v>29.946665863017188</v>
      </c>
      <c r="I368" s="1">
        <v>6841.4842991934147</v>
      </c>
    </row>
    <row r="369" spans="2:9" ht="15.45" x14ac:dyDescent="0.4">
      <c r="B369" s="1">
        <v>349</v>
      </c>
      <c r="C369" s="1">
        <v>3365.6934212813476</v>
      </c>
      <c r="D369" s="1">
        <v>10177.951777133991</v>
      </c>
      <c r="E369" s="1">
        <v>10219.714432152401</v>
      </c>
      <c r="F369" s="1">
        <v>29.225943340772119</v>
      </c>
      <c r="G369" s="1">
        <v>6812.258355852643</v>
      </c>
      <c r="H369" s="1">
        <v>41.762655018410442</v>
      </c>
      <c r="I369" s="1">
        <v>6854.0210108710535</v>
      </c>
    </row>
    <row r="370" spans="2:9" ht="15.45" x14ac:dyDescent="0.4">
      <c r="B370" s="1">
        <v>350</v>
      </c>
      <c r="C370" s="1">
        <v>3372.2003343059091</v>
      </c>
      <c r="D370" s="1">
        <v>10219.714432152401</v>
      </c>
      <c r="E370" s="1">
        <v>10222.643448384348</v>
      </c>
      <c r="F370" s="1">
        <v>6.506913024561527</v>
      </c>
      <c r="G370" s="1">
        <v>6847.5140978464915</v>
      </c>
      <c r="H370" s="1">
        <v>2.9290162319466617</v>
      </c>
      <c r="I370" s="1">
        <v>6850.4431140784382</v>
      </c>
    </row>
    <row r="371" spans="2:9" ht="15.45" x14ac:dyDescent="0.4">
      <c r="B371" s="1">
        <v>351</v>
      </c>
      <c r="C371" s="1">
        <v>3374.1764843082351</v>
      </c>
      <c r="D371" s="1">
        <v>10222.643448384348</v>
      </c>
      <c r="E371" s="1">
        <v>10231.804299090601</v>
      </c>
      <c r="F371" s="1">
        <v>1.9761500023259941</v>
      </c>
      <c r="G371" s="1">
        <v>6848.4669640761131</v>
      </c>
      <c r="H371" s="1">
        <v>9.1608507062537683</v>
      </c>
      <c r="I371" s="1">
        <v>6857.6278147823668</v>
      </c>
    </row>
    <row r="372" spans="2:9" ht="15.45" x14ac:dyDescent="0.4">
      <c r="B372" s="1">
        <v>352</v>
      </c>
      <c r="C372" s="1">
        <v>3381.2873002083948</v>
      </c>
      <c r="D372" s="1">
        <v>10231.804299090601</v>
      </c>
      <c r="E372" s="1">
        <v>10233.073145710958</v>
      </c>
      <c r="F372" s="1">
        <v>7.1108159001596505</v>
      </c>
      <c r="G372" s="1">
        <v>6850.5169988822072</v>
      </c>
      <c r="H372" s="1">
        <v>1.2688466203562712</v>
      </c>
      <c r="I372" s="1">
        <v>6851.7858455025635</v>
      </c>
    </row>
    <row r="373" spans="2:9" ht="15.45" x14ac:dyDescent="0.4">
      <c r="B373" s="1">
        <v>353</v>
      </c>
      <c r="C373" s="1">
        <v>3389.9982599161463</v>
      </c>
      <c r="D373" s="1">
        <v>10233.073145710958</v>
      </c>
      <c r="E373" s="1">
        <v>10267.705937553772</v>
      </c>
      <c r="F373" s="1">
        <v>8.7109597077514991</v>
      </c>
      <c r="G373" s="1">
        <v>6843.0748857948111</v>
      </c>
      <c r="H373" s="1">
        <v>34.632791842814186</v>
      </c>
      <c r="I373" s="1">
        <v>6877.7076776376252</v>
      </c>
    </row>
    <row r="374" spans="2:9" ht="15.45" x14ac:dyDescent="0.4">
      <c r="B374" s="1">
        <v>354</v>
      </c>
      <c r="C374" s="1">
        <v>3400.091404992992</v>
      </c>
      <c r="D374" s="1">
        <v>10267.705937553772</v>
      </c>
      <c r="E374" s="1">
        <v>10294.627888739351</v>
      </c>
      <c r="F374" s="1">
        <v>10.093145076845758</v>
      </c>
      <c r="G374" s="1">
        <v>6867.6145325607795</v>
      </c>
      <c r="H374" s="1">
        <v>26.921951185579019</v>
      </c>
      <c r="I374" s="1">
        <v>6894.5364837463585</v>
      </c>
    </row>
    <row r="375" spans="2:9" ht="15.45" x14ac:dyDescent="0.4">
      <c r="B375" s="1">
        <v>355</v>
      </c>
      <c r="C375" s="1">
        <v>3406.4666636198917</v>
      </c>
      <c r="D375" s="1">
        <v>10294.627888739351</v>
      </c>
      <c r="E375" s="1">
        <v>10322.358040225497</v>
      </c>
      <c r="F375" s="1">
        <v>6.375258626899722</v>
      </c>
      <c r="G375" s="1">
        <v>6888.1612251194592</v>
      </c>
      <c r="H375" s="1">
        <v>27.730151486146497</v>
      </c>
      <c r="I375" s="1">
        <v>6915.8913766056057</v>
      </c>
    </row>
    <row r="376" spans="2:9" ht="15.45" x14ac:dyDescent="0.4">
      <c r="B376" s="1">
        <v>356</v>
      </c>
      <c r="C376" s="1">
        <v>3434.1567148002641</v>
      </c>
      <c r="D376" s="1">
        <v>10322.358040225497</v>
      </c>
      <c r="E376" s="1">
        <v>10347.720100378308</v>
      </c>
      <c r="F376" s="1">
        <v>27.690051180372393</v>
      </c>
      <c r="G376" s="1">
        <v>6888.2013254252333</v>
      </c>
      <c r="H376" s="1">
        <v>25.362060152810955</v>
      </c>
      <c r="I376" s="1">
        <v>6913.5633855780443</v>
      </c>
    </row>
    <row r="377" spans="2:9" ht="15.45" x14ac:dyDescent="0.4">
      <c r="B377" s="1">
        <v>357</v>
      </c>
      <c r="C377" s="1">
        <v>3441.3222632223851</v>
      </c>
      <c r="D377" s="1">
        <v>10347.720100378308</v>
      </c>
      <c r="E377" s="1">
        <v>10380.760052981721</v>
      </c>
      <c r="F377" s="1">
        <v>7.1655484221209917</v>
      </c>
      <c r="G377" s="1">
        <v>6906.3978371559233</v>
      </c>
      <c r="H377" s="1">
        <v>33.03995260341253</v>
      </c>
      <c r="I377" s="1">
        <v>6939.4377897593358</v>
      </c>
    </row>
    <row r="378" spans="2:9" ht="15.45" x14ac:dyDescent="0.4">
      <c r="B378" s="1">
        <v>358</v>
      </c>
      <c r="C378" s="1">
        <v>3442.0904734006463</v>
      </c>
      <c r="D378" s="1">
        <v>10380.760052981721</v>
      </c>
      <c r="E378" s="1">
        <v>10394.634437726687</v>
      </c>
      <c r="F378" s="1">
        <v>0.76821017826114257</v>
      </c>
      <c r="G378" s="1">
        <v>6938.6695795810747</v>
      </c>
      <c r="H378" s="1">
        <v>13.874384744965937</v>
      </c>
      <c r="I378" s="1">
        <v>6952.5439643260406</v>
      </c>
    </row>
    <row r="379" spans="2:9" ht="15.45" x14ac:dyDescent="0.4">
      <c r="B379" s="1">
        <v>359</v>
      </c>
      <c r="C379" s="1">
        <v>3457.997876810517</v>
      </c>
      <c r="D379" s="1">
        <v>10394.634437726687</v>
      </c>
      <c r="E379" s="1">
        <v>10402.309239132801</v>
      </c>
      <c r="F379" s="1">
        <v>15.907403409870767</v>
      </c>
      <c r="G379" s="1">
        <v>6936.6365609161694</v>
      </c>
      <c r="H379" s="1">
        <v>7.6748014061140566</v>
      </c>
      <c r="I379" s="1">
        <v>6944.3113623222835</v>
      </c>
    </row>
    <row r="380" spans="2:9" ht="15.45" x14ac:dyDescent="0.4">
      <c r="B380" s="1">
        <v>360</v>
      </c>
      <c r="C380" s="1">
        <v>3470.5969665272605</v>
      </c>
      <c r="D380" s="1">
        <v>10402.309239132801</v>
      </c>
      <c r="E380" s="1">
        <v>10416.388700460368</v>
      </c>
      <c r="F380" s="1">
        <v>12.599089716743492</v>
      </c>
      <c r="G380" s="1">
        <v>6931.7122726055404</v>
      </c>
      <c r="H380" s="1">
        <v>14.079461327566605</v>
      </c>
      <c r="I380" s="1">
        <v>6945.791733933107</v>
      </c>
    </row>
    <row r="381" spans="2:9" ht="15.45" x14ac:dyDescent="0.4">
      <c r="B381" s="1">
        <v>361</v>
      </c>
      <c r="C381" s="1">
        <v>3477.4017284298184</v>
      </c>
      <c r="D381" s="1">
        <v>10416.388700460368</v>
      </c>
      <c r="E381" s="1">
        <v>10504.066530482683</v>
      </c>
      <c r="F381" s="1">
        <v>6.804761902557857</v>
      </c>
      <c r="G381" s="1">
        <v>6938.9869720305487</v>
      </c>
      <c r="H381" s="1">
        <v>87.677830022315902</v>
      </c>
      <c r="I381" s="1">
        <v>7026.6648020528646</v>
      </c>
    </row>
    <row r="382" spans="2:9" ht="15.45" x14ac:dyDescent="0.4">
      <c r="B382" s="1">
        <v>362</v>
      </c>
      <c r="C382" s="1">
        <v>3498.7186518838475</v>
      </c>
      <c r="D382" s="1">
        <v>10504.066530482683</v>
      </c>
      <c r="E382" s="1">
        <v>10523.587269556368</v>
      </c>
      <c r="F382" s="1">
        <v>21.316923454029165</v>
      </c>
      <c r="G382" s="1">
        <v>7005.3478785988355</v>
      </c>
      <c r="H382" s="1">
        <v>19.520739073685036</v>
      </c>
      <c r="I382" s="1">
        <v>7024.8686176725205</v>
      </c>
    </row>
    <row r="383" spans="2:9" ht="15.45" x14ac:dyDescent="0.4">
      <c r="B383" s="1">
        <v>363</v>
      </c>
      <c r="C383" s="1">
        <v>3510.9548916644121</v>
      </c>
      <c r="D383" s="1">
        <v>10523.587269556368</v>
      </c>
      <c r="E383" s="1">
        <v>10529.515719563347</v>
      </c>
      <c r="F383" s="1">
        <v>12.236239780564574</v>
      </c>
      <c r="G383" s="1">
        <v>7012.6323778919559</v>
      </c>
      <c r="H383" s="1">
        <v>5.9284500069788919</v>
      </c>
      <c r="I383" s="1">
        <v>7018.5608278989348</v>
      </c>
    </row>
    <row r="384" spans="2:9" ht="15.45" x14ac:dyDescent="0.4">
      <c r="B384" s="1">
        <v>364</v>
      </c>
      <c r="C384" s="1">
        <v>3518.4367396583129</v>
      </c>
      <c r="D384" s="1">
        <v>10529.515719563347</v>
      </c>
      <c r="E384" s="1">
        <v>10550.848167263826</v>
      </c>
      <c r="F384" s="1">
        <v>7.4818479939008284</v>
      </c>
      <c r="G384" s="1">
        <v>7011.0789799050344</v>
      </c>
      <c r="H384" s="1">
        <v>21.332447700478951</v>
      </c>
      <c r="I384" s="1">
        <v>7032.4114276055134</v>
      </c>
    </row>
    <row r="385" spans="2:9" ht="15.45" x14ac:dyDescent="0.4">
      <c r="B385" s="1">
        <v>365</v>
      </c>
      <c r="C385" s="1">
        <v>3534.1575887211611</v>
      </c>
      <c r="D385" s="1">
        <v>10550.848167263826</v>
      </c>
      <c r="E385" s="1">
        <v>10576.981046387082</v>
      </c>
      <c r="F385" s="1">
        <v>15.720849062848174</v>
      </c>
      <c r="G385" s="1">
        <v>7016.6905785426652</v>
      </c>
      <c r="H385" s="1">
        <v>26.132879123255407</v>
      </c>
      <c r="I385" s="1">
        <v>7042.8234576659206</v>
      </c>
    </row>
    <row r="386" spans="2:9" ht="15.45" x14ac:dyDescent="0.4">
      <c r="B386" s="1">
        <v>366</v>
      </c>
      <c r="C386" s="1">
        <v>3568.8498772921921</v>
      </c>
      <c r="D386" s="1">
        <v>10576.981046387082</v>
      </c>
      <c r="E386" s="1">
        <v>10607.260481617619</v>
      </c>
      <c r="F386" s="1">
        <v>34.692288571030986</v>
      </c>
      <c r="G386" s="1">
        <v>7008.1311690948896</v>
      </c>
      <c r="H386" s="1">
        <v>30.279435230537274</v>
      </c>
      <c r="I386" s="1">
        <v>7038.4106043254269</v>
      </c>
    </row>
    <row r="387" spans="2:9" ht="15.45" x14ac:dyDescent="0.4">
      <c r="B387" s="1">
        <v>367</v>
      </c>
      <c r="C387" s="1">
        <v>3579.7427449202205</v>
      </c>
      <c r="D387" s="1">
        <v>10607.260481617619</v>
      </c>
      <c r="E387" s="1">
        <v>10626.386257498318</v>
      </c>
      <c r="F387" s="1">
        <v>10.892867628028398</v>
      </c>
      <c r="G387" s="1">
        <v>7027.5177366973985</v>
      </c>
      <c r="H387" s="1">
        <v>19.125775880698711</v>
      </c>
      <c r="I387" s="1">
        <v>7046.6435125780972</v>
      </c>
    </row>
    <row r="388" spans="2:9" ht="15.45" x14ac:dyDescent="0.4">
      <c r="B388" s="1">
        <v>368</v>
      </c>
      <c r="C388" s="1">
        <v>3590.4407949424317</v>
      </c>
      <c r="D388" s="1">
        <v>10626.386257498318</v>
      </c>
      <c r="E388" s="1">
        <v>10709.456411039435</v>
      </c>
      <c r="F388" s="1">
        <v>10.698050022211191</v>
      </c>
      <c r="G388" s="1">
        <v>7035.9454625558865</v>
      </c>
      <c r="H388" s="1">
        <v>83.070153541117179</v>
      </c>
      <c r="I388" s="1">
        <v>7119.0156160970037</v>
      </c>
    </row>
    <row r="389" spans="2:9" ht="15.45" x14ac:dyDescent="0.4">
      <c r="B389" s="1">
        <v>369</v>
      </c>
      <c r="C389" s="1">
        <v>3595.618992928823</v>
      </c>
      <c r="D389" s="1">
        <v>10709.456411039435</v>
      </c>
      <c r="E389" s="1">
        <v>10730.953056305798</v>
      </c>
      <c r="F389" s="1">
        <v>5.1781979863912966</v>
      </c>
      <c r="G389" s="1">
        <v>7113.8374181106119</v>
      </c>
      <c r="H389" s="1">
        <v>21.496645266362975</v>
      </c>
      <c r="I389" s="1">
        <v>7135.3340633769749</v>
      </c>
    </row>
    <row r="390" spans="2:9" ht="15.45" x14ac:dyDescent="0.4">
      <c r="B390" s="1">
        <v>370</v>
      </c>
      <c r="C390" s="1">
        <v>3596.9079252731594</v>
      </c>
      <c r="D390" s="1">
        <v>10730.953056305798</v>
      </c>
      <c r="E390" s="1">
        <v>10733.257686840581</v>
      </c>
      <c r="F390" s="1">
        <v>1.2889323443364447</v>
      </c>
      <c r="G390" s="1">
        <v>7134.0451310326389</v>
      </c>
      <c r="H390" s="1">
        <v>2.3046305347834277</v>
      </c>
      <c r="I390" s="1">
        <v>7136.3497615674223</v>
      </c>
    </row>
    <row r="391" spans="2:9" ht="15.45" x14ac:dyDescent="0.4">
      <c r="B391" s="1">
        <v>371</v>
      </c>
      <c r="C391" s="1">
        <v>3608.0430122957187</v>
      </c>
      <c r="D391" s="1">
        <v>10733.257686840581</v>
      </c>
      <c r="E391" s="1">
        <v>10780.979897070194</v>
      </c>
      <c r="F391" s="1">
        <v>11.135087022559219</v>
      </c>
      <c r="G391" s="1">
        <v>7125.2146745448626</v>
      </c>
      <c r="H391" s="1">
        <v>47.722210229612756</v>
      </c>
      <c r="I391" s="1">
        <v>7172.9368847744754</v>
      </c>
    </row>
    <row r="392" spans="2:9" ht="15.45" x14ac:dyDescent="0.4">
      <c r="B392" s="1">
        <v>372</v>
      </c>
      <c r="C392" s="1">
        <v>3608.7631631139848</v>
      </c>
      <c r="D392" s="1">
        <v>10780.979897070194</v>
      </c>
      <c r="E392" s="1">
        <v>10818.777166220423</v>
      </c>
      <c r="F392" s="1">
        <v>0.72015081826612004</v>
      </c>
      <c r="G392" s="1">
        <v>7172.2167339562093</v>
      </c>
      <c r="H392" s="1">
        <v>37.797269150229113</v>
      </c>
      <c r="I392" s="1">
        <v>7210.0140031064384</v>
      </c>
    </row>
    <row r="393" spans="2:9" ht="15.45" x14ac:dyDescent="0.4">
      <c r="B393" s="1">
        <v>373</v>
      </c>
      <c r="C393" s="1">
        <v>3612.7960139601705</v>
      </c>
      <c r="D393" s="1">
        <v>10818.777166220423</v>
      </c>
      <c r="E393" s="1">
        <v>10839.191451928096</v>
      </c>
      <c r="F393" s="1">
        <v>4.0328508461857382</v>
      </c>
      <c r="G393" s="1">
        <v>7205.9811522602522</v>
      </c>
      <c r="H393" s="1">
        <v>20.414285707673116</v>
      </c>
      <c r="I393" s="1">
        <v>7226.3954379679253</v>
      </c>
    </row>
    <row r="394" spans="2:9" ht="15.45" x14ac:dyDescent="0.4">
      <c r="B394" s="1">
        <v>374</v>
      </c>
      <c r="C394" s="1">
        <v>3622.4218715115685</v>
      </c>
      <c r="D394" s="1">
        <v>10839.191451928096</v>
      </c>
      <c r="E394" s="1">
        <v>10903.142222290184</v>
      </c>
      <c r="F394" s="1">
        <v>9.6258575513979849</v>
      </c>
      <c r="G394" s="1">
        <v>7216.7695804165278</v>
      </c>
      <c r="H394" s="1">
        <v>63.950770362087496</v>
      </c>
      <c r="I394" s="1">
        <v>7280.7203507786153</v>
      </c>
    </row>
    <row r="395" spans="2:9" ht="15.45" x14ac:dyDescent="0.4">
      <c r="B395" s="1">
        <v>375</v>
      </c>
      <c r="C395" s="1">
        <v>3625.2250534277455</v>
      </c>
      <c r="D395" s="1">
        <v>10903.142222290184</v>
      </c>
      <c r="E395" s="1">
        <v>10939.850941631878</v>
      </c>
      <c r="F395" s="1">
        <v>2.8031819161769818</v>
      </c>
      <c r="G395" s="1">
        <v>7277.9171688624383</v>
      </c>
      <c r="H395" s="1">
        <v>36.708719341693723</v>
      </c>
      <c r="I395" s="1">
        <v>7314.625888204132</v>
      </c>
    </row>
    <row r="396" spans="2:9" ht="15.45" x14ac:dyDescent="0.4">
      <c r="B396" s="1">
        <v>376</v>
      </c>
      <c r="C396" s="1">
        <v>3634.3002951434614</v>
      </c>
      <c r="D396" s="1">
        <v>10939.850941631878</v>
      </c>
      <c r="E396" s="1">
        <v>10962.296485613579</v>
      </c>
      <c r="F396" s="1">
        <v>9.0752417157159471</v>
      </c>
      <c r="G396" s="1">
        <v>7305.5506464884165</v>
      </c>
      <c r="H396" s="1">
        <v>22.445543981701121</v>
      </c>
      <c r="I396" s="1">
        <v>7327.9961904701177</v>
      </c>
    </row>
    <row r="397" spans="2:9" ht="15.45" x14ac:dyDescent="0.4">
      <c r="B397" s="1">
        <v>377</v>
      </c>
      <c r="C397" s="1">
        <v>3638.0599195126224</v>
      </c>
      <c r="D397" s="1">
        <v>10962.296485613579</v>
      </c>
      <c r="E397" s="1">
        <v>11009.459032802124</v>
      </c>
      <c r="F397" s="1">
        <v>3.7596243691609743</v>
      </c>
      <c r="G397" s="1">
        <v>7324.2365661009562</v>
      </c>
      <c r="H397" s="1">
        <v>47.162547188545432</v>
      </c>
      <c r="I397" s="1">
        <v>7371.3991132895017</v>
      </c>
    </row>
    <row r="398" spans="2:9" ht="15.45" x14ac:dyDescent="0.4">
      <c r="B398" s="1">
        <v>378</v>
      </c>
      <c r="C398" s="1">
        <v>3643.1212244343296</v>
      </c>
      <c r="D398" s="1">
        <v>11009.459032802124</v>
      </c>
      <c r="E398" s="1">
        <v>11113.535898515218</v>
      </c>
      <c r="F398" s="1">
        <v>5.061304921707233</v>
      </c>
      <c r="G398" s="1">
        <v>7366.3378083677944</v>
      </c>
      <c r="H398" s="1">
        <v>104.07686571309387</v>
      </c>
      <c r="I398" s="1">
        <v>7470.4146740808883</v>
      </c>
    </row>
    <row r="399" spans="2:9" ht="15.45" x14ac:dyDescent="0.4">
      <c r="B399" s="1">
        <v>379</v>
      </c>
      <c r="C399" s="1">
        <v>3665.2773856858994</v>
      </c>
      <c r="D399" s="1">
        <v>11113.535898515218</v>
      </c>
      <c r="E399" s="1">
        <v>11146.214501399303</v>
      </c>
      <c r="F399" s="1">
        <v>22.156161251569756</v>
      </c>
      <c r="G399" s="1">
        <v>7448.2585128293185</v>
      </c>
      <c r="H399" s="1">
        <v>32.678602884085194</v>
      </c>
      <c r="I399" s="1">
        <v>7480.9371157134037</v>
      </c>
    </row>
    <row r="400" spans="2:9" ht="15.45" x14ac:dyDescent="0.4">
      <c r="B400" s="1">
        <v>380</v>
      </c>
      <c r="C400" s="1">
        <v>3676.4911783609036</v>
      </c>
      <c r="D400" s="1">
        <v>11146.214501399303</v>
      </c>
      <c r="E400" s="1">
        <v>11178.308651465937</v>
      </c>
      <c r="F400" s="1">
        <v>11.213792675004242</v>
      </c>
      <c r="G400" s="1">
        <v>7469.723323038399</v>
      </c>
      <c r="H400" s="1">
        <v>32.094150066634029</v>
      </c>
      <c r="I400" s="1">
        <v>7501.8174731050331</v>
      </c>
    </row>
    <row r="401" spans="2:9" ht="15.45" x14ac:dyDescent="0.4">
      <c r="B401" s="1">
        <v>381</v>
      </c>
      <c r="C401" s="1">
        <v>3686.2937894934321</v>
      </c>
      <c r="D401" s="1">
        <v>11178.308651465937</v>
      </c>
      <c r="E401" s="1">
        <v>11193.843245425112</v>
      </c>
      <c r="F401" s="1">
        <v>9.8026111325284546</v>
      </c>
      <c r="G401" s="1">
        <v>7492.0148619725051</v>
      </c>
      <c r="H401" s="1">
        <v>15.534593959175254</v>
      </c>
      <c r="I401" s="1">
        <v>7507.5494559316803</v>
      </c>
    </row>
    <row r="402" spans="2:9" ht="15.45" x14ac:dyDescent="0.4">
      <c r="B402" s="1">
        <v>382</v>
      </c>
      <c r="C402" s="1">
        <v>3693.3196940985194</v>
      </c>
      <c r="D402" s="1">
        <v>11193.843245425112</v>
      </c>
      <c r="E402" s="1">
        <v>11197.710042458122</v>
      </c>
      <c r="F402" s="1">
        <v>7.0259046050873621</v>
      </c>
      <c r="G402" s="1">
        <v>7500.5235513265925</v>
      </c>
      <c r="H402" s="1">
        <v>3.8667970330097887</v>
      </c>
      <c r="I402" s="1">
        <v>7504.3903483596023</v>
      </c>
    </row>
    <row r="403" spans="2:9" ht="15.45" x14ac:dyDescent="0.4">
      <c r="B403" s="1">
        <v>383</v>
      </c>
      <c r="C403" s="1">
        <v>3712.4431298839581</v>
      </c>
      <c r="D403" s="1">
        <v>11197.710042458122</v>
      </c>
      <c r="E403" s="1">
        <v>11231.115303525799</v>
      </c>
      <c r="F403" s="1">
        <v>19.123435785438687</v>
      </c>
      <c r="G403" s="1">
        <v>7485.2669125741641</v>
      </c>
      <c r="H403" s="1">
        <v>33.405261067677202</v>
      </c>
      <c r="I403" s="1">
        <v>7518.6721736418413</v>
      </c>
    </row>
    <row r="404" spans="2:9" ht="15.45" x14ac:dyDescent="0.4">
      <c r="B404" s="1">
        <v>384</v>
      </c>
      <c r="C404" s="1">
        <v>3728.471695289471</v>
      </c>
      <c r="D404" s="1">
        <v>11231.115303525799</v>
      </c>
      <c r="E404" s="1">
        <v>11233.275755980598</v>
      </c>
      <c r="F404" s="1">
        <v>16.028565405512836</v>
      </c>
      <c r="G404" s="1">
        <v>7502.6436082363289</v>
      </c>
      <c r="H404" s="1">
        <v>2.1604524547983601</v>
      </c>
      <c r="I404" s="1">
        <v>7504.8040606911272</v>
      </c>
    </row>
    <row r="405" spans="2:9" ht="15.45" x14ac:dyDescent="0.4">
      <c r="B405" s="1">
        <v>385</v>
      </c>
      <c r="C405" s="1">
        <v>3730.973523479176</v>
      </c>
      <c r="D405" s="1">
        <v>11233.275755980598</v>
      </c>
      <c r="E405" s="1">
        <v>11245.374308519155</v>
      </c>
      <c r="F405" s="1">
        <v>2.5018281897050656</v>
      </c>
      <c r="G405" s="1">
        <v>7502.3022325014217</v>
      </c>
      <c r="H405" s="1">
        <v>12.09855253855676</v>
      </c>
      <c r="I405" s="1">
        <v>7514.4007850399785</v>
      </c>
    </row>
    <row r="406" spans="2:9" ht="15.45" x14ac:dyDescent="0.4">
      <c r="B406" s="1">
        <v>386</v>
      </c>
      <c r="C406" s="1">
        <v>3741.7899189084428</v>
      </c>
      <c r="D406" s="1">
        <v>11245.374308519155</v>
      </c>
      <c r="E406" s="1">
        <v>11274.251881173348</v>
      </c>
      <c r="F406" s="1">
        <v>10.816395429266777</v>
      </c>
      <c r="G406" s="1">
        <v>7503.5843896107117</v>
      </c>
      <c r="H406" s="1">
        <v>28.8775726541935</v>
      </c>
      <c r="I406" s="1">
        <v>7532.4619622649052</v>
      </c>
    </row>
    <row r="407" spans="2:9" ht="15.45" x14ac:dyDescent="0.4">
      <c r="B407" s="1">
        <v>387</v>
      </c>
      <c r="C407" s="1">
        <v>3742.8966011521675</v>
      </c>
      <c r="D407" s="1">
        <v>11274.251881173348</v>
      </c>
      <c r="E407" s="1">
        <v>11282.661426921879</v>
      </c>
      <c r="F407" s="1">
        <v>1.1066822437246628</v>
      </c>
      <c r="G407" s="1">
        <v>7531.3552800211801</v>
      </c>
      <c r="H407" s="1">
        <v>8.4095457485309453</v>
      </c>
      <c r="I407" s="1">
        <v>7539.764825769711</v>
      </c>
    </row>
    <row r="408" spans="2:9" ht="15.45" x14ac:dyDescent="0.4">
      <c r="B408" s="1">
        <v>388</v>
      </c>
      <c r="C408" s="1">
        <v>3745.4911709052853</v>
      </c>
      <c r="D408" s="1">
        <v>11282.661426921879</v>
      </c>
      <c r="E408" s="1">
        <v>11309.887152069028</v>
      </c>
      <c r="F408" s="1">
        <v>2.5945697531178666</v>
      </c>
      <c r="G408" s="1">
        <v>7537.1702560165941</v>
      </c>
      <c r="H408" s="1">
        <v>27.225725147149205</v>
      </c>
      <c r="I408" s="1">
        <v>7564.3959811637433</v>
      </c>
    </row>
    <row r="409" spans="2:9" ht="15.45" x14ac:dyDescent="0.4">
      <c r="B409" s="1">
        <v>389</v>
      </c>
      <c r="C409" s="1">
        <v>3747.0830867577088</v>
      </c>
      <c r="D409" s="1">
        <v>11309.887152069028</v>
      </c>
      <c r="E409" s="1">
        <v>11321.166025176512</v>
      </c>
      <c r="F409" s="1">
        <v>1.5919158524234263</v>
      </c>
      <c r="G409" s="1">
        <v>7562.8040653113194</v>
      </c>
      <c r="H409" s="1">
        <v>11.278873107483378</v>
      </c>
      <c r="I409" s="1">
        <v>7574.0829384188028</v>
      </c>
    </row>
    <row r="410" spans="2:9" ht="15.45" x14ac:dyDescent="0.4">
      <c r="B410" s="1">
        <v>390</v>
      </c>
      <c r="C410" s="1">
        <v>3752.0035304193225</v>
      </c>
      <c r="D410" s="1">
        <v>11321.166025176512</v>
      </c>
      <c r="E410" s="1">
        <v>11336.349939941632</v>
      </c>
      <c r="F410" s="1">
        <v>4.9204436616137173</v>
      </c>
      <c r="G410" s="1">
        <v>7569.1624947571891</v>
      </c>
      <c r="H410" s="1">
        <v>15.18391476512079</v>
      </c>
      <c r="I410" s="1">
        <v>7584.3464095223098</v>
      </c>
    </row>
    <row r="411" spans="2:9" ht="15.45" x14ac:dyDescent="0.4">
      <c r="B411" s="1">
        <v>391</v>
      </c>
      <c r="C411" s="1">
        <v>3758.0424021207937</v>
      </c>
      <c r="D411" s="1">
        <v>11336.349939941632</v>
      </c>
      <c r="E411" s="1">
        <v>11402.818423696343</v>
      </c>
      <c r="F411" s="1">
        <v>6.0388717014711801</v>
      </c>
      <c r="G411" s="1">
        <v>7578.3075378208387</v>
      </c>
      <c r="H411" s="1">
        <v>66.468483754710178</v>
      </c>
      <c r="I411" s="1">
        <v>7644.7760215755488</v>
      </c>
    </row>
    <row r="412" spans="2:9" ht="15.45" x14ac:dyDescent="0.4">
      <c r="B412" s="1">
        <v>392</v>
      </c>
      <c r="C412" s="1">
        <v>3771.5554313901121</v>
      </c>
      <c r="D412" s="1">
        <v>11402.818423696343</v>
      </c>
      <c r="E412" s="1">
        <v>11436.459801721356</v>
      </c>
      <c r="F412" s="1">
        <v>13.513029269318395</v>
      </c>
      <c r="G412" s="1">
        <v>7631.2629923062304</v>
      </c>
      <c r="H412" s="1">
        <v>33.641378025013182</v>
      </c>
      <c r="I412" s="1">
        <v>7664.9043703312436</v>
      </c>
    </row>
    <row r="413" spans="2:9" ht="15.45" x14ac:dyDescent="0.4">
      <c r="B413" s="1">
        <v>393</v>
      </c>
      <c r="C413" s="1">
        <v>3772.9274796974951</v>
      </c>
      <c r="D413" s="1">
        <v>11436.459801721356</v>
      </c>
      <c r="E413" s="1">
        <v>11465.867635118941</v>
      </c>
      <c r="F413" s="1">
        <v>1.372048307383011</v>
      </c>
      <c r="G413" s="1">
        <v>7663.5323220238606</v>
      </c>
      <c r="H413" s="1">
        <v>29.407833397584909</v>
      </c>
      <c r="I413" s="1">
        <v>7692.9401554214455</v>
      </c>
    </row>
    <row r="414" spans="2:9" ht="15.45" x14ac:dyDescent="0.4">
      <c r="B414" s="1">
        <v>394</v>
      </c>
      <c r="C414" s="1">
        <v>3774.6572100957414</v>
      </c>
      <c r="D414" s="1">
        <v>11465.867635118941</v>
      </c>
      <c r="E414" s="1">
        <v>11486.945348934201</v>
      </c>
      <c r="F414" s="1">
        <v>1.7297303982463745</v>
      </c>
      <c r="G414" s="1">
        <v>7691.2104250231987</v>
      </c>
      <c r="H414" s="1">
        <v>21.077713815260722</v>
      </c>
      <c r="I414" s="1">
        <v>7712.2881388384594</v>
      </c>
    </row>
    <row r="415" spans="2:9" ht="15.45" x14ac:dyDescent="0.4">
      <c r="B415" s="1">
        <v>395</v>
      </c>
      <c r="C415" s="1">
        <v>3779.0366362619652</v>
      </c>
      <c r="D415" s="1">
        <v>11486.945348934201</v>
      </c>
      <c r="E415" s="1">
        <v>11544.315656290517</v>
      </c>
      <c r="F415" s="1">
        <v>4.3794261662237659</v>
      </c>
      <c r="G415" s="1">
        <v>7707.9087126722361</v>
      </c>
      <c r="H415" s="1">
        <v>57.370307356315607</v>
      </c>
      <c r="I415" s="1">
        <v>7765.2790200285517</v>
      </c>
    </row>
    <row r="416" spans="2:9" ht="15.45" x14ac:dyDescent="0.4">
      <c r="B416" s="1">
        <v>396</v>
      </c>
      <c r="C416" s="1">
        <v>3787.0863077176637</v>
      </c>
      <c r="D416" s="1">
        <v>11544.315656290517</v>
      </c>
      <c r="E416" s="1">
        <v>11592.401352507057</v>
      </c>
      <c r="F416" s="1">
        <v>8.0496714556984443</v>
      </c>
      <c r="G416" s="1">
        <v>7757.2293485728533</v>
      </c>
      <c r="H416" s="1">
        <v>48.085696216539873</v>
      </c>
      <c r="I416" s="1">
        <v>7805.3150447893931</v>
      </c>
    </row>
    <row r="417" spans="2:9" ht="15.45" x14ac:dyDescent="0.4">
      <c r="B417" s="1">
        <v>397</v>
      </c>
      <c r="C417" s="1">
        <v>3793.0480502695618</v>
      </c>
      <c r="D417" s="1">
        <v>11592.401352507057</v>
      </c>
      <c r="E417" s="1">
        <v>11599.906837076171</v>
      </c>
      <c r="F417" s="1">
        <v>5.961742551898169</v>
      </c>
      <c r="G417" s="1">
        <v>7799.353302237495</v>
      </c>
      <c r="H417" s="1">
        <v>7.5054845691138325</v>
      </c>
      <c r="I417" s="1">
        <v>7806.8587868066088</v>
      </c>
    </row>
    <row r="418" spans="2:9" ht="15.45" x14ac:dyDescent="0.4">
      <c r="B418" s="1">
        <v>398</v>
      </c>
      <c r="C418" s="1">
        <v>3837.2928726567784</v>
      </c>
      <c r="D418" s="1">
        <v>11599.906837076171</v>
      </c>
      <c r="E418" s="1">
        <v>11632.356023363971</v>
      </c>
      <c r="F418" s="1">
        <v>44.244822387216573</v>
      </c>
      <c r="G418" s="1">
        <v>7762.6139644193918</v>
      </c>
      <c r="H418" s="1">
        <v>32.44918628780033</v>
      </c>
      <c r="I418" s="1">
        <v>7795.0631507071921</v>
      </c>
    </row>
    <row r="419" spans="2:9" ht="15.45" x14ac:dyDescent="0.4">
      <c r="B419" s="1">
        <v>399</v>
      </c>
      <c r="C419" s="1">
        <v>3840.9896311452826</v>
      </c>
      <c r="D419" s="1">
        <v>11632.356023363971</v>
      </c>
      <c r="E419" s="1">
        <v>11635.676070095145</v>
      </c>
      <c r="F419" s="1">
        <v>3.6967584885042015</v>
      </c>
      <c r="G419" s="1">
        <v>7791.3663922186879</v>
      </c>
      <c r="H419" s="1">
        <v>3.3200467311744433</v>
      </c>
      <c r="I419" s="1">
        <v>7794.6864389498623</v>
      </c>
    </row>
    <row r="420" spans="2:9" ht="15.45" x14ac:dyDescent="0.4">
      <c r="B420" s="1">
        <v>400</v>
      </c>
      <c r="C420" s="1">
        <v>3852.4528218109617</v>
      </c>
      <c r="D420" s="1">
        <v>11635.676070095145</v>
      </c>
      <c r="E420" s="1">
        <v>11643.4597793545</v>
      </c>
      <c r="F420" s="1">
        <v>11.463190665679122</v>
      </c>
      <c r="G420" s="1">
        <v>7783.2232482841837</v>
      </c>
      <c r="H420" s="1">
        <v>7.7837092593545094</v>
      </c>
      <c r="I420" s="1">
        <v>7791.0069575435382</v>
      </c>
    </row>
    <row r="421" spans="2:9" ht="15.45" x14ac:dyDescent="0.4">
      <c r="B421" s="1">
        <v>401</v>
      </c>
      <c r="C421" s="1">
        <v>3852.7994380624418</v>
      </c>
      <c r="D421" s="1">
        <v>11643.4597793545</v>
      </c>
      <c r="E421" s="1">
        <v>11648.235526911771</v>
      </c>
      <c r="F421" s="1">
        <v>0.34661625148009989</v>
      </c>
      <c r="G421" s="1">
        <v>7790.6603412920576</v>
      </c>
      <c r="H421" s="1">
        <v>4.7757475572707335</v>
      </c>
      <c r="I421" s="1">
        <v>7795.4360888493284</v>
      </c>
    </row>
    <row r="422" spans="2:9" ht="15.45" x14ac:dyDescent="0.4">
      <c r="B422" s="1">
        <v>402</v>
      </c>
      <c r="C422" s="1">
        <v>3858.4848250074424</v>
      </c>
      <c r="D422" s="1">
        <v>11648.235526911771</v>
      </c>
      <c r="E422" s="1">
        <v>11662.996857896611</v>
      </c>
      <c r="F422" s="1">
        <v>5.6853869450005732</v>
      </c>
      <c r="G422" s="1">
        <v>7789.7507019043278</v>
      </c>
      <c r="H422" s="1">
        <v>14.761330984840242</v>
      </c>
      <c r="I422" s="1">
        <v>7804.512032889168</v>
      </c>
    </row>
    <row r="423" spans="2:9" ht="15.45" x14ac:dyDescent="0.4">
      <c r="B423" s="1">
        <v>403</v>
      </c>
      <c r="C423" s="1">
        <v>3862.3076723802023</v>
      </c>
      <c r="D423" s="1">
        <v>11662.996857896611</v>
      </c>
      <c r="E423" s="1">
        <v>11681.113473001024</v>
      </c>
      <c r="F423" s="1">
        <v>3.8228473727599521</v>
      </c>
      <c r="G423" s="1">
        <v>7800.6891855164085</v>
      </c>
      <c r="H423" s="1">
        <v>18.116615104412631</v>
      </c>
      <c r="I423" s="1">
        <v>7818.8058006208212</v>
      </c>
    </row>
    <row r="424" spans="2:9" ht="15.45" x14ac:dyDescent="0.4">
      <c r="B424" s="1">
        <v>404</v>
      </c>
      <c r="C424" s="1">
        <v>3863.333193848071</v>
      </c>
      <c r="D424" s="1">
        <v>11681.113473001024</v>
      </c>
      <c r="E424" s="1">
        <v>11721.652560808978</v>
      </c>
      <c r="F424" s="1">
        <v>1.0255214678686571</v>
      </c>
      <c r="G424" s="1">
        <v>7817.7802791529521</v>
      </c>
      <c r="H424" s="1">
        <v>40.539087807954274</v>
      </c>
      <c r="I424" s="1">
        <v>7858.3193669609063</v>
      </c>
    </row>
    <row r="425" spans="2:9" ht="15.45" x14ac:dyDescent="0.4">
      <c r="B425" s="1">
        <v>405</v>
      </c>
      <c r="C425" s="1">
        <v>3876.6001660389379</v>
      </c>
      <c r="D425" s="1">
        <v>11721.652560808978</v>
      </c>
      <c r="E425" s="1">
        <v>11725.768705731127</v>
      </c>
      <c r="F425" s="1">
        <v>13.266972190866909</v>
      </c>
      <c r="G425" s="1">
        <v>7845.0523947700403</v>
      </c>
      <c r="H425" s="1">
        <v>4.1161449221490329</v>
      </c>
      <c r="I425" s="1">
        <v>7849.1685396921894</v>
      </c>
    </row>
    <row r="426" spans="2:9" ht="15.45" x14ac:dyDescent="0.4">
      <c r="B426" s="1">
        <v>406</v>
      </c>
      <c r="C426" s="1">
        <v>3899.31157963038</v>
      </c>
      <c r="D426" s="1">
        <v>11725.768705731127</v>
      </c>
      <c r="E426" s="1">
        <v>11730.957896925865</v>
      </c>
      <c r="F426" s="1">
        <v>22.711413591442124</v>
      </c>
      <c r="G426" s="1">
        <v>7826.4571261007468</v>
      </c>
      <c r="H426" s="1">
        <v>5.1891911947386689</v>
      </c>
      <c r="I426" s="1">
        <v>7831.6463172954855</v>
      </c>
    </row>
    <row r="427" spans="2:9" ht="15.45" x14ac:dyDescent="0.4">
      <c r="B427" s="1">
        <v>407</v>
      </c>
      <c r="C427" s="1">
        <v>3922.9794168528742</v>
      </c>
      <c r="D427" s="1">
        <v>11730.957896925865</v>
      </c>
      <c r="E427" s="1">
        <v>11744.096175424536</v>
      </c>
      <c r="F427" s="1">
        <v>23.6678372224942</v>
      </c>
      <c r="G427" s="1">
        <v>7807.9784800729913</v>
      </c>
      <c r="H427" s="1">
        <v>13.138278498670843</v>
      </c>
      <c r="I427" s="1">
        <v>7821.1167585716621</v>
      </c>
    </row>
    <row r="428" spans="2:9" ht="15.45" x14ac:dyDescent="0.4">
      <c r="B428" s="1">
        <v>408</v>
      </c>
      <c r="C428" s="1">
        <v>3943.9943597937358</v>
      </c>
      <c r="D428" s="1">
        <v>11744.096175424536</v>
      </c>
      <c r="E428" s="1">
        <v>11768.245189791631</v>
      </c>
      <c r="F428" s="1">
        <v>21.014942940861602</v>
      </c>
      <c r="G428" s="1">
        <v>7800.1018156308</v>
      </c>
      <c r="H428" s="1">
        <v>24.149014367094424</v>
      </c>
      <c r="I428" s="1">
        <v>7824.2508299978945</v>
      </c>
    </row>
    <row r="429" spans="2:9" ht="15.45" x14ac:dyDescent="0.4">
      <c r="B429" s="1">
        <v>409</v>
      </c>
      <c r="C429" s="1">
        <v>3976.2745726542612</v>
      </c>
      <c r="D429" s="1">
        <v>11768.245189791631</v>
      </c>
      <c r="E429" s="1">
        <v>11786.130417447326</v>
      </c>
      <c r="F429" s="1">
        <v>32.280212860525353</v>
      </c>
      <c r="G429" s="1">
        <v>7791.9706171373691</v>
      </c>
      <c r="H429" s="1">
        <v>17.885227655695417</v>
      </c>
      <c r="I429" s="1">
        <v>7809.8558447930645</v>
      </c>
    </row>
    <row r="430" spans="2:9" ht="15.45" x14ac:dyDescent="0.4">
      <c r="B430" s="1">
        <v>410</v>
      </c>
      <c r="C430" s="1">
        <v>3988.1594382594462</v>
      </c>
      <c r="D430" s="1">
        <v>11786.130417447326</v>
      </c>
      <c r="E430" s="1">
        <v>11918.864884608976</v>
      </c>
      <c r="F430" s="1">
        <v>11.884865605185041</v>
      </c>
      <c r="G430" s="1">
        <v>7797.9709791878795</v>
      </c>
      <c r="H430" s="1">
        <v>132.73446716165017</v>
      </c>
      <c r="I430" s="1">
        <v>7930.7054463495297</v>
      </c>
    </row>
    <row r="431" spans="2:9" ht="15.45" x14ac:dyDescent="0.4">
      <c r="B431" s="1">
        <v>411</v>
      </c>
      <c r="C431" s="1">
        <v>3996.3623250105738</v>
      </c>
      <c r="D431" s="1">
        <v>11918.864884608976</v>
      </c>
      <c r="E431" s="1">
        <v>11929.955160074489</v>
      </c>
      <c r="F431" s="1">
        <v>8.2028867511276076</v>
      </c>
      <c r="G431" s="1">
        <v>7922.5025595984025</v>
      </c>
      <c r="H431" s="1">
        <v>11.090275465512605</v>
      </c>
      <c r="I431" s="1">
        <v>7933.5928350639151</v>
      </c>
    </row>
    <row r="432" spans="2:9" ht="15.45" x14ac:dyDescent="0.4">
      <c r="B432" s="1">
        <v>412</v>
      </c>
      <c r="C432" s="1">
        <v>4008.3789562463762</v>
      </c>
      <c r="D432" s="1">
        <v>11929.955160074489</v>
      </c>
      <c r="E432" s="1">
        <v>11964.344732071526</v>
      </c>
      <c r="F432" s="1">
        <v>12.016631235802379</v>
      </c>
      <c r="G432" s="1">
        <v>7921.5762038281127</v>
      </c>
      <c r="H432" s="1">
        <v>34.38957199703691</v>
      </c>
      <c r="I432" s="1">
        <v>7955.9657758251496</v>
      </c>
    </row>
    <row r="433" spans="2:9" ht="15.45" x14ac:dyDescent="0.4">
      <c r="B433" s="1">
        <v>413</v>
      </c>
      <c r="C433" s="1">
        <v>4011.491893833841</v>
      </c>
      <c r="D433" s="1">
        <v>11964.344732071526</v>
      </c>
      <c r="E433" s="1">
        <v>11965.384580825967</v>
      </c>
      <c r="F433" s="1">
        <v>3.1129375874647849</v>
      </c>
      <c r="G433" s="1">
        <v>7952.8528382376844</v>
      </c>
      <c r="H433" s="1">
        <v>1.0398487544407544</v>
      </c>
      <c r="I433" s="1">
        <v>7953.8926869921252</v>
      </c>
    </row>
    <row r="434" spans="2:9" ht="15.45" x14ac:dyDescent="0.4">
      <c r="B434" s="1">
        <v>414</v>
      </c>
      <c r="C434" s="1">
        <v>4019.0622241903852</v>
      </c>
      <c r="D434" s="1">
        <v>11965.384580825967</v>
      </c>
      <c r="E434" s="1">
        <v>11982.440741660968</v>
      </c>
      <c r="F434" s="1">
        <v>7.5703303565442184</v>
      </c>
      <c r="G434" s="1">
        <v>7946.3223566355809</v>
      </c>
      <c r="H434" s="1">
        <v>17.05616083500172</v>
      </c>
      <c r="I434" s="1">
        <v>7963.3785174705827</v>
      </c>
    </row>
    <row r="435" spans="2:9" ht="15.45" x14ac:dyDescent="0.4">
      <c r="B435" s="1">
        <v>415</v>
      </c>
      <c r="C435" s="1">
        <v>4026.3137620964053</v>
      </c>
      <c r="D435" s="1">
        <v>11982.440741660968</v>
      </c>
      <c r="E435" s="1">
        <v>11993.909283779249</v>
      </c>
      <c r="F435" s="1">
        <v>7.2515379060200758</v>
      </c>
      <c r="G435" s="1">
        <v>7956.126979564563</v>
      </c>
      <c r="H435" s="1">
        <v>11.468542118280311</v>
      </c>
      <c r="I435" s="1">
        <v>7967.5955216828434</v>
      </c>
    </row>
    <row r="436" spans="2:9" ht="15.45" x14ac:dyDescent="0.4">
      <c r="B436" s="1">
        <v>416</v>
      </c>
      <c r="C436" s="1">
        <v>4043.6061621889444</v>
      </c>
      <c r="D436" s="1">
        <v>11993.909283779249</v>
      </c>
      <c r="E436" s="1">
        <v>11996.985848182854</v>
      </c>
      <c r="F436" s="1">
        <v>17.292400092539083</v>
      </c>
      <c r="G436" s="1">
        <v>7950.3031215903047</v>
      </c>
      <c r="H436" s="1">
        <v>3.0765644036055164</v>
      </c>
      <c r="I436" s="1">
        <v>7953.3796859939102</v>
      </c>
    </row>
    <row r="437" spans="2:9" ht="15.45" x14ac:dyDescent="0.4">
      <c r="B437" s="1">
        <v>417</v>
      </c>
      <c r="C437" s="1">
        <v>4065.436994101527</v>
      </c>
      <c r="D437" s="1">
        <v>11996.985848182854</v>
      </c>
      <c r="E437" s="1">
        <v>12036.786764755456</v>
      </c>
      <c r="F437" s="1">
        <v>21.830831912582653</v>
      </c>
      <c r="G437" s="1">
        <v>7931.5488540813276</v>
      </c>
      <c r="H437" s="1">
        <v>39.800916572601636</v>
      </c>
      <c r="I437" s="1">
        <v>7971.3497706539292</v>
      </c>
    </row>
    <row r="438" spans="2:9" ht="15.45" x14ac:dyDescent="0.4">
      <c r="B438" s="1">
        <v>418</v>
      </c>
      <c r="C438" s="1">
        <v>4092.5966608962276</v>
      </c>
      <c r="D438" s="1">
        <v>12036.786764755456</v>
      </c>
      <c r="E438" s="1">
        <v>12104.921005529783</v>
      </c>
      <c r="F438" s="1">
        <v>27.15966679470057</v>
      </c>
      <c r="G438" s="1">
        <v>7944.1901038592277</v>
      </c>
      <c r="H438" s="1">
        <v>68.134240774326827</v>
      </c>
      <c r="I438" s="1">
        <v>8012.3243446335546</v>
      </c>
    </row>
    <row r="439" spans="2:9" ht="15.45" x14ac:dyDescent="0.4">
      <c r="B439" s="1">
        <v>419</v>
      </c>
      <c r="C439" s="1">
        <v>4108.1340374371648</v>
      </c>
      <c r="D439" s="1">
        <v>12104.921005529783</v>
      </c>
      <c r="E439" s="1">
        <v>12175.924517197265</v>
      </c>
      <c r="F439" s="1">
        <v>15.537376540937203</v>
      </c>
      <c r="G439" s="1">
        <v>7996.7869680926178</v>
      </c>
      <c r="H439" s="1">
        <v>71.003511667482599</v>
      </c>
      <c r="I439" s="1">
        <v>8067.7904797601004</v>
      </c>
    </row>
    <row r="440" spans="2:9" ht="15.45" x14ac:dyDescent="0.4">
      <c r="B440" s="1">
        <v>420</v>
      </c>
      <c r="C440" s="1">
        <v>4111.0910182708185</v>
      </c>
      <c r="D440" s="1">
        <v>12175.924517197265</v>
      </c>
      <c r="E440" s="1">
        <v>12238.96934601985</v>
      </c>
      <c r="F440" s="1">
        <v>2.956980833653688</v>
      </c>
      <c r="G440" s="1">
        <v>8064.8334989264467</v>
      </c>
      <c r="H440" s="1">
        <v>63.044828822585259</v>
      </c>
      <c r="I440" s="1">
        <v>8127.878327749032</v>
      </c>
    </row>
    <row r="441" spans="2:9" ht="15.45" x14ac:dyDescent="0.4">
      <c r="B441" s="1">
        <v>421</v>
      </c>
      <c r="C441" s="1">
        <v>4119.3883451684833</v>
      </c>
      <c r="D441" s="1">
        <v>12238.96934601985</v>
      </c>
      <c r="E441" s="1">
        <v>12335.809984601427</v>
      </c>
      <c r="F441" s="1">
        <v>8.2973268976647887</v>
      </c>
      <c r="G441" s="1">
        <v>8119.5810008513672</v>
      </c>
      <c r="H441" s="1">
        <v>96.840638581576059</v>
      </c>
      <c r="I441" s="1">
        <v>8216.4216394329433</v>
      </c>
    </row>
    <row r="442" spans="2:9" ht="15.45" x14ac:dyDescent="0.4">
      <c r="B442" s="1">
        <v>422</v>
      </c>
      <c r="C442" s="1">
        <v>4124.7573106011014</v>
      </c>
      <c r="D442" s="1">
        <v>12335.809984601427</v>
      </c>
      <c r="E442" s="1">
        <v>12371.464581416982</v>
      </c>
      <c r="F442" s="1">
        <v>5.3689654326180971</v>
      </c>
      <c r="G442" s="1">
        <v>8211.0526740003261</v>
      </c>
      <c r="H442" s="1">
        <v>35.654596815555124</v>
      </c>
      <c r="I442" s="1">
        <v>8246.7072708158812</v>
      </c>
    </row>
    <row r="443" spans="2:9" ht="15.45" x14ac:dyDescent="0.4">
      <c r="B443" s="1">
        <v>423</v>
      </c>
      <c r="C443" s="1">
        <v>4125.6534312331887</v>
      </c>
      <c r="D443" s="1">
        <v>12371.464581416982</v>
      </c>
      <c r="E443" s="1">
        <v>12396.073241670363</v>
      </c>
      <c r="F443" s="1">
        <v>0.89612063208733161</v>
      </c>
      <c r="G443" s="1">
        <v>8245.8111501837921</v>
      </c>
      <c r="H443" s="1">
        <v>24.608660253381458</v>
      </c>
      <c r="I443" s="1">
        <v>8270.4198104371753</v>
      </c>
    </row>
    <row r="444" spans="2:9" ht="15.45" x14ac:dyDescent="0.4">
      <c r="B444" s="1">
        <v>424</v>
      </c>
      <c r="C444" s="1">
        <v>4140.1623690042779</v>
      </c>
      <c r="D444" s="1">
        <v>12396.073241670363</v>
      </c>
      <c r="E444" s="1">
        <v>12432.123135377771</v>
      </c>
      <c r="F444" s="1">
        <v>14.508937771089222</v>
      </c>
      <c r="G444" s="1">
        <v>8255.9108726660852</v>
      </c>
      <c r="H444" s="1">
        <v>36.049893707408046</v>
      </c>
      <c r="I444" s="1">
        <v>8291.9607663734932</v>
      </c>
    </row>
    <row r="445" spans="2:9" ht="15.45" x14ac:dyDescent="0.4">
      <c r="B445" s="1">
        <v>425</v>
      </c>
      <c r="C445" s="1">
        <v>4156.7048457188694</v>
      </c>
      <c r="D445" s="1">
        <v>12432.123135377769</v>
      </c>
      <c r="E445" s="1">
        <v>12441.461948140164</v>
      </c>
      <c r="F445" s="1">
        <v>16.54247671459143</v>
      </c>
      <c r="G445" s="1">
        <v>8275.4182896589009</v>
      </c>
      <c r="H445" s="1">
        <v>9.3388127623948094</v>
      </c>
      <c r="I445" s="1">
        <v>8284.7571024212957</v>
      </c>
    </row>
    <row r="446" spans="2:9" ht="15.45" x14ac:dyDescent="0.4">
      <c r="B446" s="1">
        <v>426</v>
      </c>
      <c r="C446" s="1">
        <v>4158.7694345585651</v>
      </c>
      <c r="D446" s="1">
        <v>12441.461948140164</v>
      </c>
      <c r="E446" s="1">
        <v>12464.172939209797</v>
      </c>
      <c r="F446" s="1">
        <v>2.0645888396957162</v>
      </c>
      <c r="G446" s="1">
        <v>8282.6925135815982</v>
      </c>
      <c r="H446" s="1">
        <v>22.710991069632655</v>
      </c>
      <c r="I446" s="1">
        <v>8305.4035046512327</v>
      </c>
    </row>
    <row r="447" spans="2:9" ht="15.45" x14ac:dyDescent="0.4">
      <c r="B447" s="1">
        <v>427</v>
      </c>
      <c r="C447" s="1">
        <v>4172.8487729524168</v>
      </c>
      <c r="D447" s="1">
        <v>12464.172939209797</v>
      </c>
      <c r="E447" s="1">
        <v>12485.927552927857</v>
      </c>
      <c r="F447" s="1">
        <v>14.079338393851685</v>
      </c>
      <c r="G447" s="1">
        <v>8291.3241662573801</v>
      </c>
      <c r="H447" s="1">
        <v>21.754613718059773</v>
      </c>
      <c r="I447" s="1">
        <v>8313.0787799754398</v>
      </c>
    </row>
    <row r="448" spans="2:9" ht="15.45" x14ac:dyDescent="0.4">
      <c r="B448" s="1">
        <v>428</v>
      </c>
      <c r="C448" s="1">
        <v>4191.093124019927</v>
      </c>
      <c r="D448" s="1">
        <v>12485.927552927857</v>
      </c>
      <c r="E448" s="1">
        <v>12537.804753205473</v>
      </c>
      <c r="F448" s="1">
        <v>18.244351067510252</v>
      </c>
      <c r="G448" s="1">
        <v>8294.8344289079287</v>
      </c>
      <c r="H448" s="1">
        <v>51.877200277616794</v>
      </c>
      <c r="I448" s="1">
        <v>8346.7116291855455</v>
      </c>
    </row>
    <row r="449" spans="2:9" ht="15.45" x14ac:dyDescent="0.4">
      <c r="B449" s="1">
        <v>429</v>
      </c>
      <c r="C449" s="1">
        <v>4191.9406308350781</v>
      </c>
      <c r="D449" s="1">
        <v>12537.804753205473</v>
      </c>
      <c r="E449" s="1">
        <v>12603.297248943221</v>
      </c>
      <c r="F449" s="1">
        <v>0.84750681515106407</v>
      </c>
      <c r="G449" s="1">
        <v>8345.8641223703962</v>
      </c>
      <c r="H449" s="1">
        <v>65.492495737747959</v>
      </c>
      <c r="I449" s="1">
        <v>8411.3566181081442</v>
      </c>
    </row>
    <row r="450" spans="2:9" ht="15.45" x14ac:dyDescent="0.4">
      <c r="B450" s="1">
        <v>430</v>
      </c>
      <c r="C450" s="1">
        <v>4195.4730806686921</v>
      </c>
      <c r="D450" s="1">
        <v>12603.297248943221</v>
      </c>
      <c r="E450" s="1">
        <v>12684.776249327324</v>
      </c>
      <c r="F450" s="1">
        <v>3.5324498336140095</v>
      </c>
      <c r="G450" s="1">
        <v>8407.8241682745283</v>
      </c>
      <c r="H450" s="1">
        <v>81.479000384102619</v>
      </c>
      <c r="I450" s="1">
        <v>8489.3031686586328</v>
      </c>
    </row>
    <row r="451" spans="2:9" ht="15.45" x14ac:dyDescent="0.4">
      <c r="B451" s="1">
        <v>431</v>
      </c>
      <c r="C451" s="1">
        <v>4207.9830553088768</v>
      </c>
      <c r="D451" s="1">
        <v>12684.776249327322</v>
      </c>
      <c r="E451" s="1">
        <v>12731.388378950134</v>
      </c>
      <c r="F451" s="1">
        <v>12.509974640184737</v>
      </c>
      <c r="G451" s="1">
        <v>8476.7931940184462</v>
      </c>
      <c r="H451" s="1">
        <v>46.612129622812063</v>
      </c>
      <c r="I451" s="1">
        <v>8523.4053236412583</v>
      </c>
    </row>
    <row r="452" spans="2:9" ht="15.45" x14ac:dyDescent="0.4">
      <c r="B452" s="1">
        <v>432</v>
      </c>
      <c r="C452" s="1">
        <v>4238.2825655597198</v>
      </c>
      <c r="D452" s="1">
        <v>12731.388378950134</v>
      </c>
      <c r="E452" s="1">
        <v>12740.259321451096</v>
      </c>
      <c r="F452" s="1">
        <v>30.299510250843014</v>
      </c>
      <c r="G452" s="1">
        <v>8493.1058133904153</v>
      </c>
      <c r="H452" s="1">
        <v>8.8709425009619736</v>
      </c>
      <c r="I452" s="1">
        <v>8501.9767558913773</v>
      </c>
    </row>
    <row r="453" spans="2:9" ht="15.45" x14ac:dyDescent="0.4">
      <c r="B453" s="1">
        <v>433</v>
      </c>
      <c r="C453" s="1">
        <v>4251.2567552842638</v>
      </c>
      <c r="D453" s="1">
        <v>12740.259321451096</v>
      </c>
      <c r="E453" s="1">
        <v>12765.15130214409</v>
      </c>
      <c r="F453" s="1">
        <v>12.974189724543976</v>
      </c>
      <c r="G453" s="1">
        <v>8489.0025661668333</v>
      </c>
      <c r="H453" s="1">
        <v>24.891980692993457</v>
      </c>
      <c r="I453" s="1">
        <v>8513.8945468598249</v>
      </c>
    </row>
    <row r="454" spans="2:9" ht="15.45" x14ac:dyDescent="0.4">
      <c r="B454" s="1">
        <v>434</v>
      </c>
      <c r="C454" s="1">
        <v>4257.4233321638731</v>
      </c>
      <c r="D454" s="1">
        <v>12765.15130214409</v>
      </c>
      <c r="E454" s="1">
        <v>12781.258198441945</v>
      </c>
      <c r="F454" s="1">
        <v>6.1665768796092379</v>
      </c>
      <c r="G454" s="1">
        <v>8507.7279699802166</v>
      </c>
      <c r="H454" s="1">
        <v>16.106896297855201</v>
      </c>
      <c r="I454" s="1">
        <v>8523.8348662780718</v>
      </c>
    </row>
    <row r="455" spans="2:9" ht="15.45" x14ac:dyDescent="0.4">
      <c r="B455" s="1">
        <v>435</v>
      </c>
      <c r="C455" s="1">
        <v>4290.5565969110967</v>
      </c>
      <c r="D455" s="1">
        <v>12781.258198441945</v>
      </c>
      <c r="E455" s="1">
        <v>12783.946560338207</v>
      </c>
      <c r="F455" s="1">
        <v>33.13326474722362</v>
      </c>
      <c r="G455" s="1">
        <v>8490.7016015308473</v>
      </c>
      <c r="H455" s="1">
        <v>2.6883618962619948</v>
      </c>
      <c r="I455" s="1">
        <v>8493.3899634271111</v>
      </c>
    </row>
    <row r="456" spans="2:9" ht="15.45" x14ac:dyDescent="0.4">
      <c r="B456" s="1">
        <v>436</v>
      </c>
      <c r="C456" s="1">
        <v>4295.8529308919206</v>
      </c>
      <c r="D456" s="1">
        <v>12783.946560338207</v>
      </c>
      <c r="E456" s="1">
        <v>12827.473373651475</v>
      </c>
      <c r="F456" s="1">
        <v>5.2963339808238743</v>
      </c>
      <c r="G456" s="1">
        <v>8488.0936294462863</v>
      </c>
      <c r="H456" s="1">
        <v>43.526813313268576</v>
      </c>
      <c r="I456" s="1">
        <v>8531.6204427595549</v>
      </c>
    </row>
    <row r="457" spans="2:9" ht="15.45" x14ac:dyDescent="0.4">
      <c r="B457" s="1">
        <v>437</v>
      </c>
      <c r="C457" s="1">
        <v>4300.7286354780845</v>
      </c>
      <c r="D457" s="1">
        <v>12827.473373651475</v>
      </c>
      <c r="E457" s="1">
        <v>12877.100803795249</v>
      </c>
      <c r="F457" s="1">
        <v>4.8757045861639199</v>
      </c>
      <c r="G457" s="1">
        <v>8526.7447381733909</v>
      </c>
      <c r="H457" s="1">
        <v>49.627430143773381</v>
      </c>
      <c r="I457" s="1">
        <v>8576.3721683171643</v>
      </c>
    </row>
    <row r="458" spans="2:9" ht="15.45" x14ac:dyDescent="0.4">
      <c r="B458" s="1">
        <v>438</v>
      </c>
      <c r="C458" s="1">
        <v>4325.8666295660278</v>
      </c>
      <c r="D458" s="1">
        <v>12877.100803795249</v>
      </c>
      <c r="E458" s="1">
        <v>12883.294570314336</v>
      </c>
      <c r="F458" s="1">
        <v>25.137994087943298</v>
      </c>
      <c r="G458" s="1">
        <v>8551.234174229221</v>
      </c>
      <c r="H458" s="1">
        <v>6.1937665190871485</v>
      </c>
      <c r="I458" s="1">
        <v>8557.4279407483082</v>
      </c>
    </row>
    <row r="459" spans="2:9" ht="15.45" x14ac:dyDescent="0.4">
      <c r="B459" s="1">
        <v>439</v>
      </c>
      <c r="C459" s="1">
        <v>4334.4795831065721</v>
      </c>
      <c r="D459" s="1">
        <v>12883.294570314334</v>
      </c>
      <c r="E459" s="1">
        <v>12925.53258549589</v>
      </c>
      <c r="F459" s="1">
        <v>8.6129535405443676</v>
      </c>
      <c r="G459" s="1">
        <v>8548.8149872077629</v>
      </c>
      <c r="H459" s="1">
        <v>42.238015181555966</v>
      </c>
      <c r="I459" s="1">
        <v>8591.0530023893189</v>
      </c>
    </row>
    <row r="460" spans="2:9" ht="15.45" x14ac:dyDescent="0.4">
      <c r="B460" s="1">
        <v>440</v>
      </c>
      <c r="C460" s="1">
        <v>4357.5435880668756</v>
      </c>
      <c r="D460" s="1">
        <v>12925.53258549589</v>
      </c>
      <c r="E460" s="1">
        <v>12980.26563869842</v>
      </c>
      <c r="F460" s="1">
        <v>23.064004960303464</v>
      </c>
      <c r="G460" s="1">
        <v>8567.9889974290145</v>
      </c>
      <c r="H460" s="1">
        <v>54.733053202529845</v>
      </c>
      <c r="I460" s="1">
        <v>8622.7220506315443</v>
      </c>
    </row>
    <row r="461" spans="2:9" ht="15.45" x14ac:dyDescent="0.4">
      <c r="B461" s="1">
        <v>441</v>
      </c>
      <c r="C461" s="1">
        <v>4367.8211430085721</v>
      </c>
      <c r="D461" s="1">
        <v>12980.26563869842</v>
      </c>
      <c r="E461" s="1">
        <v>12982.808159143875</v>
      </c>
      <c r="F461" s="1">
        <v>10.277554941696508</v>
      </c>
      <c r="G461" s="1">
        <v>8612.4444956898478</v>
      </c>
      <c r="H461" s="1">
        <v>2.5425204454550112</v>
      </c>
      <c r="I461" s="1">
        <v>8614.9870161353028</v>
      </c>
    </row>
    <row r="462" spans="2:9" ht="15.45" x14ac:dyDescent="0.4">
      <c r="B462" s="1">
        <v>442</v>
      </c>
      <c r="C462" s="1">
        <v>4380.5608014589607</v>
      </c>
      <c r="D462" s="1">
        <v>12982.808159143875</v>
      </c>
      <c r="E462" s="1">
        <v>12993.405508644717</v>
      </c>
      <c r="F462" s="1">
        <v>12.739658450388561</v>
      </c>
      <c r="G462" s="1">
        <v>8602.2473576849152</v>
      </c>
      <c r="H462" s="1">
        <v>10.597349500842029</v>
      </c>
      <c r="I462" s="1">
        <v>8612.8447071857554</v>
      </c>
    </row>
    <row r="463" spans="2:9" ht="15.45" x14ac:dyDescent="0.4">
      <c r="B463" s="1">
        <v>443</v>
      </c>
      <c r="C463" s="1">
        <v>4382.7692340198264</v>
      </c>
      <c r="D463" s="1">
        <v>12993.405508644717</v>
      </c>
      <c r="E463" s="1">
        <v>13030.935432565269</v>
      </c>
      <c r="F463" s="1">
        <v>2.2084325608657309</v>
      </c>
      <c r="G463" s="1">
        <v>8610.6362746248906</v>
      </c>
      <c r="H463" s="1">
        <v>37.529923920552392</v>
      </c>
      <c r="I463" s="1">
        <v>8648.166198545443</v>
      </c>
    </row>
    <row r="464" spans="2:9" ht="15.45" x14ac:dyDescent="0.4">
      <c r="B464" s="1">
        <v>444</v>
      </c>
      <c r="C464" s="1">
        <v>4395.6512621482625</v>
      </c>
      <c r="D464" s="1">
        <v>13030.935432565268</v>
      </c>
      <c r="E464" s="1">
        <v>13121.833963317795</v>
      </c>
      <c r="F464" s="1">
        <v>12.882028128436104</v>
      </c>
      <c r="G464" s="1">
        <v>8635.284170417006</v>
      </c>
      <c r="H464" s="1">
        <v>90.898530752527222</v>
      </c>
      <c r="I464" s="1">
        <v>8726.1827011695314</v>
      </c>
    </row>
    <row r="465" spans="2:9" ht="15.45" x14ac:dyDescent="0.4">
      <c r="B465" s="1">
        <v>445</v>
      </c>
      <c r="C465" s="1">
        <v>4421.5211680238071</v>
      </c>
      <c r="D465" s="1">
        <v>13121.833963317793</v>
      </c>
      <c r="E465" s="1">
        <v>13160.756532491425</v>
      </c>
      <c r="F465" s="1">
        <v>25.869905875544646</v>
      </c>
      <c r="G465" s="1">
        <v>8700.3127952939867</v>
      </c>
      <c r="H465" s="1">
        <v>38.922569173631928</v>
      </c>
      <c r="I465" s="1">
        <v>8739.2353644676186</v>
      </c>
    </row>
    <row r="466" spans="2:9" ht="15.45" x14ac:dyDescent="0.4">
      <c r="B466" s="1">
        <v>446</v>
      </c>
      <c r="C466" s="1">
        <v>4438.602482902591</v>
      </c>
      <c r="D466" s="1">
        <v>13160.756532491425</v>
      </c>
      <c r="E466" s="1">
        <v>13179.256263130254</v>
      </c>
      <c r="F466" s="1">
        <v>17.081314878783814</v>
      </c>
      <c r="G466" s="1">
        <v>8722.154049588833</v>
      </c>
      <c r="H466" s="1">
        <v>18.499730638828623</v>
      </c>
      <c r="I466" s="1">
        <v>8740.6537802276616</v>
      </c>
    </row>
    <row r="467" spans="2:9" ht="15.45" x14ac:dyDescent="0.4">
      <c r="B467" s="1">
        <v>447</v>
      </c>
      <c r="C467" s="1">
        <v>4440.2463902573318</v>
      </c>
      <c r="D467" s="1">
        <v>13179.256263130254</v>
      </c>
      <c r="E467" s="1">
        <v>13278.656057371923</v>
      </c>
      <c r="F467" s="1">
        <v>1.6439073547408043</v>
      </c>
      <c r="G467" s="1">
        <v>8739.0098728729208</v>
      </c>
      <c r="H467" s="1">
        <v>99.399794241669952</v>
      </c>
      <c r="I467" s="1">
        <v>8838.4096671145926</v>
      </c>
    </row>
    <row r="468" spans="2:9" ht="15.45" x14ac:dyDescent="0.4">
      <c r="B468" s="1">
        <v>448</v>
      </c>
      <c r="C468" s="1">
        <v>4441.1737626118156</v>
      </c>
      <c r="D468" s="1">
        <v>13278.656057371923</v>
      </c>
      <c r="E468" s="1">
        <v>13294.545059314394</v>
      </c>
      <c r="F468" s="1">
        <v>0.92737235448385036</v>
      </c>
      <c r="G468" s="1">
        <v>8837.4822947601078</v>
      </c>
      <c r="H468" s="1">
        <v>15.889001942470713</v>
      </c>
      <c r="I468" s="1">
        <v>8853.3712967025785</v>
      </c>
    </row>
    <row r="469" spans="2:9" ht="15.45" x14ac:dyDescent="0.4">
      <c r="B469" s="1">
        <v>449</v>
      </c>
      <c r="C469" s="1">
        <v>4449.2830047263724</v>
      </c>
      <c r="D469" s="1">
        <v>13294.545059314394</v>
      </c>
      <c r="E469" s="1">
        <v>13309.172173072886</v>
      </c>
      <c r="F469" s="1">
        <v>8.1092421145567641</v>
      </c>
      <c r="G469" s="1">
        <v>8845.2620545880218</v>
      </c>
      <c r="H469" s="1">
        <v>14.62711375849176</v>
      </c>
      <c r="I469" s="1">
        <v>8859.8891683465135</v>
      </c>
    </row>
    <row r="470" spans="2:9" ht="15.45" x14ac:dyDescent="0.4">
      <c r="B470" s="1">
        <v>450</v>
      </c>
      <c r="C470" s="1">
        <v>4480.2917312979389</v>
      </c>
      <c r="D470" s="1">
        <v>13309.172173072886</v>
      </c>
      <c r="E470" s="1">
        <v>13384.586155336714</v>
      </c>
      <c r="F470" s="1">
        <v>31.008726571566513</v>
      </c>
      <c r="G470" s="1">
        <v>8828.880441774947</v>
      </c>
      <c r="H470" s="1">
        <v>75.413982263828075</v>
      </c>
      <c r="I470" s="1">
        <v>8904.2944240387751</v>
      </c>
    </row>
    <row r="471" spans="2:9" ht="15.45" x14ac:dyDescent="0.4">
      <c r="B471" s="1">
        <v>451</v>
      </c>
      <c r="C471" s="1">
        <v>4486.1768756257743</v>
      </c>
      <c r="D471" s="1">
        <v>13384.586155336714</v>
      </c>
      <c r="E471" s="1">
        <v>13410.425015958348</v>
      </c>
      <c r="F471" s="1">
        <v>5.8851443278354054</v>
      </c>
      <c r="G471" s="1">
        <v>8898.4092797109406</v>
      </c>
      <c r="H471" s="1">
        <v>25.838860621634012</v>
      </c>
      <c r="I471" s="1">
        <v>8924.2481403325728</v>
      </c>
    </row>
    <row r="472" spans="2:9" ht="15.45" x14ac:dyDescent="0.4">
      <c r="B472" s="1">
        <v>452</v>
      </c>
      <c r="C472" s="1">
        <v>4489.5084863487637</v>
      </c>
      <c r="D472" s="1">
        <v>13410.42501595835</v>
      </c>
      <c r="E472" s="1">
        <v>13479.617030839259</v>
      </c>
      <c r="F472" s="1">
        <v>3.3316107229893532</v>
      </c>
      <c r="G472" s="1">
        <v>8920.9165296095853</v>
      </c>
      <c r="H472" s="1">
        <v>69.192014880909483</v>
      </c>
      <c r="I472" s="1">
        <v>8990.1085444904966</v>
      </c>
    </row>
    <row r="473" spans="2:9" ht="15.45" x14ac:dyDescent="0.4">
      <c r="B473" s="1">
        <v>453</v>
      </c>
      <c r="C473" s="1">
        <v>4491.771883554472</v>
      </c>
      <c r="D473" s="1">
        <v>13479.617030839261</v>
      </c>
      <c r="E473" s="1">
        <v>13510.449695664349</v>
      </c>
      <c r="F473" s="1">
        <v>2.2633972057083156</v>
      </c>
      <c r="G473" s="1">
        <v>8987.8451472847883</v>
      </c>
      <c r="H473" s="1">
        <v>30.832664825087704</v>
      </c>
      <c r="I473" s="1">
        <v>9018.677812109876</v>
      </c>
    </row>
    <row r="474" spans="2:9" ht="15.45" x14ac:dyDescent="0.4">
      <c r="B474" s="1">
        <v>454</v>
      </c>
      <c r="C474" s="1">
        <v>4497.6082404682593</v>
      </c>
      <c r="D474" s="1">
        <v>13510.449695664349</v>
      </c>
      <c r="E474" s="1">
        <v>13548.668671015514</v>
      </c>
      <c r="F474" s="1">
        <v>5.8363569137873128</v>
      </c>
      <c r="G474" s="1">
        <v>9012.8414551960886</v>
      </c>
      <c r="H474" s="1">
        <v>38.218975351164772</v>
      </c>
      <c r="I474" s="1">
        <v>9051.0604305472552</v>
      </c>
    </row>
    <row r="475" spans="2:9" ht="15.45" x14ac:dyDescent="0.4">
      <c r="B475" s="1">
        <v>455</v>
      </c>
      <c r="C475" s="1">
        <v>4512.3926992199467</v>
      </c>
      <c r="D475" s="1">
        <v>13548.668671015514</v>
      </c>
      <c r="E475" s="1">
        <v>13555.29396869811</v>
      </c>
      <c r="F475" s="1">
        <v>14.784458751687453</v>
      </c>
      <c r="G475" s="1">
        <v>9036.2759717955669</v>
      </c>
      <c r="H475" s="1">
        <v>6.6252976825962833</v>
      </c>
      <c r="I475" s="1">
        <v>9042.9012694781632</v>
      </c>
    </row>
    <row r="476" spans="2:9" ht="15.45" x14ac:dyDescent="0.4">
      <c r="B476" s="1">
        <v>456</v>
      </c>
      <c r="C476" s="1">
        <v>4512.6175422817269</v>
      </c>
      <c r="D476" s="1">
        <v>13555.29396869811</v>
      </c>
      <c r="E476" s="1">
        <v>13593.940053083417</v>
      </c>
      <c r="F476" s="1">
        <v>0.22484306178012048</v>
      </c>
      <c r="G476" s="1">
        <v>9042.676426416383</v>
      </c>
      <c r="H476" s="1">
        <v>38.646084385307404</v>
      </c>
      <c r="I476" s="1">
        <v>9081.3225108016904</v>
      </c>
    </row>
    <row r="477" spans="2:9" ht="15.45" x14ac:dyDescent="0.4">
      <c r="B477" s="1">
        <v>457</v>
      </c>
      <c r="C477" s="1">
        <v>4518.9133093731461</v>
      </c>
      <c r="D477" s="1">
        <v>13593.940053083417</v>
      </c>
      <c r="E477" s="1">
        <v>13671.549770710051</v>
      </c>
      <c r="F477" s="1">
        <v>6.2957670914192931</v>
      </c>
      <c r="G477" s="1">
        <v>9075.0267437102702</v>
      </c>
      <c r="H477" s="1">
        <v>77.609717626633937</v>
      </c>
      <c r="I477" s="1">
        <v>9152.6364613369042</v>
      </c>
    </row>
    <row r="478" spans="2:9" ht="15.45" x14ac:dyDescent="0.4">
      <c r="B478" s="1">
        <v>458</v>
      </c>
      <c r="C478" s="1">
        <v>4521.323163748616</v>
      </c>
      <c r="D478" s="1">
        <v>13671.549770710051</v>
      </c>
      <c r="E478" s="1">
        <v>13722.793715346403</v>
      </c>
      <c r="F478" s="1">
        <v>2.4098543754698767</v>
      </c>
      <c r="G478" s="1">
        <v>9150.2266069614343</v>
      </c>
      <c r="H478" s="1">
        <v>51.243944636351443</v>
      </c>
      <c r="I478" s="1">
        <v>9201.4705515977876</v>
      </c>
    </row>
    <row r="479" spans="2:9" ht="15.45" x14ac:dyDescent="0.4">
      <c r="B479" s="1">
        <v>459</v>
      </c>
      <c r="C479" s="1">
        <v>4526.5732228929592</v>
      </c>
      <c r="D479" s="1">
        <v>13722.793715346403</v>
      </c>
      <c r="E479" s="1">
        <v>13727.725437410625</v>
      </c>
      <c r="F479" s="1">
        <v>5.2500591443431404</v>
      </c>
      <c r="G479" s="1">
        <v>9196.2204924534435</v>
      </c>
      <c r="H479" s="1">
        <v>4.9317220642224129</v>
      </c>
      <c r="I479" s="1">
        <v>9201.1522145176659</v>
      </c>
    </row>
    <row r="480" spans="2:9" ht="15.45" x14ac:dyDescent="0.4">
      <c r="B480" s="1">
        <v>460</v>
      </c>
      <c r="C480" s="1">
        <v>4546.3808114909671</v>
      </c>
      <c r="D480" s="1">
        <v>13727.725437410623</v>
      </c>
      <c r="E480" s="1">
        <v>13730.507554474076</v>
      </c>
      <c r="F480" s="1">
        <v>19.807588598007897</v>
      </c>
      <c r="G480" s="1">
        <v>9181.3446259196571</v>
      </c>
      <c r="H480" s="1">
        <v>2.7821170634524606</v>
      </c>
      <c r="I480" s="1">
        <v>9184.1267429831096</v>
      </c>
    </row>
    <row r="481" spans="2:9" ht="15.45" x14ac:dyDescent="0.4">
      <c r="B481" s="1">
        <v>461</v>
      </c>
      <c r="C481" s="1">
        <v>4560.9965132826428</v>
      </c>
      <c r="D481" s="1">
        <v>13730.507554474076</v>
      </c>
      <c r="E481" s="1">
        <v>13754.835280817746</v>
      </c>
      <c r="F481" s="1">
        <v>14.615701791675747</v>
      </c>
      <c r="G481" s="1">
        <v>9169.511041191432</v>
      </c>
      <c r="H481" s="1">
        <v>24.327726343670292</v>
      </c>
      <c r="I481" s="1">
        <v>9193.8387675351041</v>
      </c>
    </row>
    <row r="482" spans="2:9" ht="15.45" x14ac:dyDescent="0.4">
      <c r="B482" s="1">
        <v>462</v>
      </c>
      <c r="C482" s="1">
        <v>4564.9238656167963</v>
      </c>
      <c r="D482" s="1">
        <v>13754.835280817746</v>
      </c>
      <c r="E482" s="1">
        <v>13847.861460532446</v>
      </c>
      <c r="F482" s="1">
        <v>3.927352334153511</v>
      </c>
      <c r="G482" s="1">
        <v>9189.9114152009497</v>
      </c>
      <c r="H482" s="1">
        <v>93.026179714699538</v>
      </c>
      <c r="I482" s="1">
        <v>9282.9375949156492</v>
      </c>
    </row>
    <row r="483" spans="2:9" ht="15.45" x14ac:dyDescent="0.4">
      <c r="B483" s="1">
        <v>463</v>
      </c>
      <c r="C483" s="1">
        <v>4569.4374191213756</v>
      </c>
      <c r="D483" s="1">
        <v>13847.861460532446</v>
      </c>
      <c r="E483" s="1">
        <v>13865.516893515953</v>
      </c>
      <c r="F483" s="1">
        <v>4.5135535045792494</v>
      </c>
      <c r="G483" s="1">
        <v>9278.42404141107</v>
      </c>
      <c r="H483" s="1">
        <v>17.655432983507126</v>
      </c>
      <c r="I483" s="1">
        <v>9296.0794743945771</v>
      </c>
    </row>
    <row r="484" spans="2:9" ht="15.45" x14ac:dyDescent="0.4">
      <c r="B484" s="1">
        <v>464</v>
      </c>
      <c r="C484" s="1">
        <v>4605.1998361937058</v>
      </c>
      <c r="D484" s="1">
        <v>13865.516893515953</v>
      </c>
      <c r="E484" s="1">
        <v>13875.511725684919</v>
      </c>
      <c r="F484" s="1">
        <v>35.762417072330209</v>
      </c>
      <c r="G484" s="1">
        <v>9260.3170573222469</v>
      </c>
      <c r="H484" s="1">
        <v>9.9948321689662407</v>
      </c>
      <c r="I484" s="1">
        <v>9270.3118894912132</v>
      </c>
    </row>
    <row r="485" spans="2:9" ht="15.45" x14ac:dyDescent="0.4">
      <c r="B485" s="1">
        <v>465</v>
      </c>
      <c r="C485" s="1">
        <v>4609.9369977425304</v>
      </c>
      <c r="D485" s="1">
        <v>13875.511725684919</v>
      </c>
      <c r="E485" s="1">
        <v>13882.301917302044</v>
      </c>
      <c r="F485" s="1">
        <v>4.737161548824588</v>
      </c>
      <c r="G485" s="1">
        <v>9265.5747279423886</v>
      </c>
      <c r="H485" s="1">
        <v>6.7901916171249468</v>
      </c>
      <c r="I485" s="1">
        <v>9272.3649195595135</v>
      </c>
    </row>
    <row r="486" spans="2:9" ht="15.45" x14ac:dyDescent="0.4">
      <c r="B486" s="1">
        <v>466</v>
      </c>
      <c r="C486" s="1">
        <v>4616.6065504107</v>
      </c>
      <c r="D486" s="1">
        <v>13882.301917302044</v>
      </c>
      <c r="E486" s="1">
        <v>13899.810988043406</v>
      </c>
      <c r="F486" s="1">
        <v>6.669552668169672</v>
      </c>
      <c r="G486" s="1">
        <v>9265.6953668913447</v>
      </c>
      <c r="H486" s="1">
        <v>17.509070741361938</v>
      </c>
      <c r="I486" s="1">
        <v>9283.2044376327067</v>
      </c>
    </row>
    <row r="487" spans="2:9" ht="15.45" x14ac:dyDescent="0.4">
      <c r="B487" s="1">
        <v>467</v>
      </c>
      <c r="C487" s="1">
        <v>4626.9980321320736</v>
      </c>
      <c r="D487" s="1">
        <v>13899.810988043406</v>
      </c>
      <c r="E487" s="1">
        <v>13944.164364298467</v>
      </c>
      <c r="F487" s="1">
        <v>10.391481721373566</v>
      </c>
      <c r="G487" s="1">
        <v>9272.8129559113331</v>
      </c>
      <c r="H487" s="1">
        <v>44.353376255061448</v>
      </c>
      <c r="I487" s="1">
        <v>9317.1663321663946</v>
      </c>
    </row>
    <row r="488" spans="2:9" ht="15.45" x14ac:dyDescent="0.4">
      <c r="B488" s="1">
        <v>468</v>
      </c>
      <c r="C488" s="1">
        <v>4632.7586474389682</v>
      </c>
      <c r="D488" s="1">
        <v>13944.164364298467</v>
      </c>
      <c r="E488" s="1">
        <v>13944.838893483806</v>
      </c>
      <c r="F488" s="1">
        <v>5.7606153068945787</v>
      </c>
      <c r="G488" s="1">
        <v>9311.4057168594991</v>
      </c>
      <c r="H488" s="1">
        <v>0.67452918533854245</v>
      </c>
      <c r="I488" s="1">
        <v>9312.0802460448376</v>
      </c>
    </row>
    <row r="489" spans="2:9" ht="15.45" x14ac:dyDescent="0.4">
      <c r="B489" s="1">
        <v>469</v>
      </c>
      <c r="C489" s="1">
        <v>4632.9085009846203</v>
      </c>
      <c r="D489" s="1">
        <v>13944.838893483806</v>
      </c>
      <c r="E489" s="1">
        <v>13963.726194758065</v>
      </c>
      <c r="F489" s="1">
        <v>0.14985354565214948</v>
      </c>
      <c r="G489" s="1">
        <v>9311.9303924991855</v>
      </c>
      <c r="H489" s="1">
        <v>18.887301274258789</v>
      </c>
      <c r="I489" s="1">
        <v>9330.8176937734443</v>
      </c>
    </row>
    <row r="490" spans="2:9" ht="15.45" x14ac:dyDescent="0.4">
      <c r="B490" s="1">
        <v>470</v>
      </c>
      <c r="C490" s="1">
        <v>4635.2072488848853</v>
      </c>
      <c r="D490" s="1">
        <v>13963.726194758066</v>
      </c>
      <c r="E490" s="1">
        <v>13970.955757884476</v>
      </c>
      <c r="F490" s="1">
        <v>2.2987479002649707</v>
      </c>
      <c r="G490" s="1">
        <v>9328.5189458731802</v>
      </c>
      <c r="H490" s="1">
        <v>7.2295631264096301</v>
      </c>
      <c r="I490" s="1">
        <v>9335.7485089995898</v>
      </c>
    </row>
    <row r="491" spans="2:9" ht="15.45" x14ac:dyDescent="0.4">
      <c r="B491" s="1">
        <v>471</v>
      </c>
      <c r="C491" s="1">
        <v>4637.6529228773197</v>
      </c>
      <c r="D491" s="1">
        <v>13970.955757884476</v>
      </c>
      <c r="E491" s="1">
        <v>13986.705935317506</v>
      </c>
      <c r="F491" s="1">
        <v>2.445673992434422</v>
      </c>
      <c r="G491" s="1">
        <v>9333.3028350071563</v>
      </c>
      <c r="H491" s="1">
        <v>15.750177433030331</v>
      </c>
      <c r="I491" s="1">
        <v>9349.0530124401866</v>
      </c>
    </row>
    <row r="492" spans="2:9" ht="15.45" x14ac:dyDescent="0.4">
      <c r="B492" s="1">
        <v>472</v>
      </c>
      <c r="C492" s="1">
        <v>4639.6635198583472</v>
      </c>
      <c r="D492" s="1">
        <v>13986.705935317506</v>
      </c>
      <c r="E492" s="1">
        <v>14046.128701111531</v>
      </c>
      <c r="F492" s="1">
        <v>2.0105969810274473</v>
      </c>
      <c r="G492" s="1">
        <v>9347.0424154591601</v>
      </c>
      <c r="H492" s="1">
        <v>59.422765794024599</v>
      </c>
      <c r="I492" s="1">
        <v>9406.4651812531847</v>
      </c>
    </row>
    <row r="493" spans="2:9" ht="15.45" x14ac:dyDescent="0.4">
      <c r="B493" s="1">
        <v>473</v>
      </c>
      <c r="C493" s="1">
        <v>4643.0340553521955</v>
      </c>
      <c r="D493" s="1">
        <v>14046.128701111531</v>
      </c>
      <c r="E493" s="1">
        <v>14089.975806486558</v>
      </c>
      <c r="F493" s="1">
        <v>3.3705354938483651</v>
      </c>
      <c r="G493" s="1">
        <v>9403.0946457593345</v>
      </c>
      <c r="H493" s="1">
        <v>43.84710537502724</v>
      </c>
      <c r="I493" s="1">
        <v>9446.9417511343636</v>
      </c>
    </row>
    <row r="494" spans="2:9" ht="15.45" x14ac:dyDescent="0.4">
      <c r="B494" s="1">
        <v>474</v>
      </c>
      <c r="C494" s="1">
        <v>4656.6997875961697</v>
      </c>
      <c r="D494" s="1">
        <v>14089.975806486558</v>
      </c>
      <c r="E494" s="1">
        <v>14101.75786348902</v>
      </c>
      <c r="F494" s="1">
        <v>13.665732243974162</v>
      </c>
      <c r="G494" s="1">
        <v>9433.2760188903885</v>
      </c>
      <c r="H494" s="1">
        <v>11.782057002461443</v>
      </c>
      <c r="I494" s="1">
        <v>9445.05807589285</v>
      </c>
    </row>
    <row r="495" spans="2:9" ht="15.45" x14ac:dyDescent="0.4">
      <c r="B495" s="1">
        <v>475</v>
      </c>
      <c r="C495" s="1">
        <v>4676.9546759188042</v>
      </c>
      <c r="D495" s="1">
        <v>14101.75786348902</v>
      </c>
      <c r="E495" s="1">
        <v>14115.298524002756</v>
      </c>
      <c r="F495" s="1">
        <v>20.254888322634542</v>
      </c>
      <c r="G495" s="1">
        <v>9424.8031875702145</v>
      </c>
      <c r="H495" s="1">
        <v>13.540660513735929</v>
      </c>
      <c r="I495" s="1">
        <v>9438.3438480839504</v>
      </c>
    </row>
    <row r="496" spans="2:9" ht="15.45" x14ac:dyDescent="0.4">
      <c r="B496" s="1">
        <v>476</v>
      </c>
      <c r="C496" s="1">
        <v>4719.0180936712086</v>
      </c>
      <c r="D496" s="1">
        <v>14115.298524002756</v>
      </c>
      <c r="E496" s="1">
        <v>14222.585775219748</v>
      </c>
      <c r="F496" s="1">
        <v>42.063417752404348</v>
      </c>
      <c r="G496" s="1">
        <v>9396.2804303315461</v>
      </c>
      <c r="H496" s="1">
        <v>107.28725121699244</v>
      </c>
      <c r="I496" s="1">
        <v>9503.5676815485385</v>
      </c>
    </row>
    <row r="497" spans="2:23" ht="19.75" x14ac:dyDescent="0.4">
      <c r="B497" s="1">
        <v>477</v>
      </c>
      <c r="C497" s="1">
        <v>4728.1586836596953</v>
      </c>
      <c r="D497" s="1">
        <v>14222.585775219748</v>
      </c>
      <c r="E497" s="1">
        <v>14236.797259866222</v>
      </c>
      <c r="F497" s="1">
        <v>9.1405899884866812</v>
      </c>
      <c r="G497" s="1">
        <v>9494.4270915600537</v>
      </c>
      <c r="H497" s="1">
        <v>14.211484646473764</v>
      </c>
      <c r="I497" s="1">
        <v>9508.6385762065256</v>
      </c>
      <c r="L497" s="8" t="s">
        <v>37</v>
      </c>
    </row>
    <row r="498" spans="2:23" ht="15.45" x14ac:dyDescent="0.4">
      <c r="B498" s="1">
        <v>478</v>
      </c>
      <c r="C498" s="1">
        <v>4746.6376599320138</v>
      </c>
      <c r="D498" s="1">
        <v>14236.797259866222</v>
      </c>
      <c r="E498" s="1">
        <v>14256.80591787073</v>
      </c>
      <c r="F498" s="1">
        <v>18.478976272318505</v>
      </c>
      <c r="G498" s="1">
        <v>9490.159599934208</v>
      </c>
      <c r="H498" s="1">
        <v>20.008658004508106</v>
      </c>
      <c r="I498" s="1">
        <v>9510.1682579387161</v>
      </c>
    </row>
    <row r="499" spans="2:23" ht="15.45" x14ac:dyDescent="0.4">
      <c r="B499" s="1">
        <v>479</v>
      </c>
      <c r="C499" s="1">
        <v>4764.2852828538917</v>
      </c>
      <c r="D499" s="1">
        <v>14256.80591787073</v>
      </c>
      <c r="E499" s="1">
        <v>14287.980363034852</v>
      </c>
      <c r="F499" s="1">
        <v>17.647622921877883</v>
      </c>
      <c r="G499" s="1">
        <v>9492.5206350168373</v>
      </c>
      <c r="H499" s="1">
        <v>31.174445164122517</v>
      </c>
      <c r="I499" s="1">
        <v>9523.6950801809617</v>
      </c>
    </row>
    <row r="500" spans="2:23" ht="15.45" x14ac:dyDescent="0.4">
      <c r="B500" s="1">
        <v>480</v>
      </c>
      <c r="C500" s="1">
        <v>4765.5238557286648</v>
      </c>
      <c r="D500" s="1">
        <v>14287.980363034852</v>
      </c>
      <c r="E500" s="1">
        <v>14305.262208955535</v>
      </c>
      <c r="F500" s="1">
        <v>1.2385728747731264</v>
      </c>
      <c r="G500" s="1">
        <v>9522.4565073061876</v>
      </c>
      <c r="H500" s="1">
        <v>17.281845920682827</v>
      </c>
      <c r="I500" s="1">
        <v>9539.7383532268705</v>
      </c>
    </row>
    <row r="501" spans="2:23" ht="15.45" x14ac:dyDescent="0.4">
      <c r="B501" s="1">
        <v>481</v>
      </c>
      <c r="C501" s="1">
        <v>4767.6775937995944</v>
      </c>
      <c r="D501" s="1">
        <v>14305.262208955537</v>
      </c>
      <c r="E501" s="1">
        <v>14305.711769592495</v>
      </c>
      <c r="F501" s="1">
        <v>2.1537380709296485</v>
      </c>
      <c r="G501" s="1">
        <v>9537.5846151559417</v>
      </c>
      <c r="H501" s="1">
        <v>0.44956063695826742</v>
      </c>
      <c r="I501" s="1">
        <v>9538.0341757929018</v>
      </c>
    </row>
    <row r="502" spans="2:23" ht="15.45" x14ac:dyDescent="0.4">
      <c r="B502" s="1">
        <v>482</v>
      </c>
      <c r="C502" s="1">
        <v>4770.5760786100345</v>
      </c>
      <c r="D502" s="1">
        <v>14305.711769592495</v>
      </c>
      <c r="E502" s="1">
        <v>14312.608013293291</v>
      </c>
      <c r="F502" s="1">
        <v>2.8984848104400953</v>
      </c>
      <c r="G502" s="1">
        <v>9535.1356909824608</v>
      </c>
      <c r="H502" s="1">
        <v>6.8962437007958215</v>
      </c>
      <c r="I502" s="1">
        <v>9542.0319346832566</v>
      </c>
    </row>
    <row r="503" spans="2:23" ht="15.45" x14ac:dyDescent="0.4">
      <c r="B503" s="1">
        <v>483</v>
      </c>
      <c r="C503" s="1">
        <v>4771.3751820094203</v>
      </c>
      <c r="D503" s="1">
        <v>14312.608013293291</v>
      </c>
      <c r="E503" s="1">
        <v>14319.945035270594</v>
      </c>
      <c r="F503" s="1">
        <v>0.79910339938578545</v>
      </c>
      <c r="G503" s="1">
        <v>9541.2328312838708</v>
      </c>
      <c r="H503" s="1">
        <v>7.3370219773023564</v>
      </c>
      <c r="I503" s="1">
        <v>9548.5698532611732</v>
      </c>
    </row>
    <row r="504" spans="2:23" ht="15.45" x14ac:dyDescent="0.4">
      <c r="B504" s="1">
        <v>484</v>
      </c>
      <c r="C504" s="1">
        <v>4780.2488217629116</v>
      </c>
      <c r="D504" s="1">
        <v>14319.945035270594</v>
      </c>
      <c r="E504" s="1">
        <v>14325.976826213677</v>
      </c>
      <c r="F504" s="1">
        <v>8.8736397534912612</v>
      </c>
      <c r="G504" s="1">
        <v>9539.6962135076828</v>
      </c>
      <c r="H504" s="1">
        <v>6.0317909430832515</v>
      </c>
      <c r="I504" s="1">
        <v>9545.7280044507643</v>
      </c>
    </row>
    <row r="505" spans="2:23" ht="15.45" x14ac:dyDescent="0.4">
      <c r="B505" s="1">
        <v>485</v>
      </c>
      <c r="C505" s="1">
        <v>4800.7854686277387</v>
      </c>
      <c r="D505" s="1">
        <v>14325.976826213677</v>
      </c>
      <c r="E505" s="1">
        <v>14336.088432695222</v>
      </c>
      <c r="F505" s="1">
        <v>20.536646864827162</v>
      </c>
      <c r="G505" s="1">
        <v>9525.191357585938</v>
      </c>
      <c r="H505" s="1">
        <v>10.111606481545095</v>
      </c>
      <c r="I505" s="1">
        <v>9535.3029640674831</v>
      </c>
    </row>
    <row r="506" spans="2:23" ht="15.45" x14ac:dyDescent="0.4">
      <c r="B506" s="1">
        <v>486</v>
      </c>
      <c r="C506" s="1">
        <v>4814.1478648897555</v>
      </c>
      <c r="D506" s="1">
        <v>14336.088432695222</v>
      </c>
      <c r="E506" s="1">
        <v>14377.085629427145</v>
      </c>
      <c r="F506" s="1">
        <v>13.362396262016773</v>
      </c>
      <c r="G506" s="1">
        <v>9521.9405678054663</v>
      </c>
      <c r="H506" s="1">
        <v>40.997196731923395</v>
      </c>
      <c r="I506" s="1">
        <v>9562.9377645373897</v>
      </c>
    </row>
    <row r="507" spans="2:23" ht="15.45" x14ac:dyDescent="0.4">
      <c r="B507" s="1">
        <v>487</v>
      </c>
      <c r="C507" s="1">
        <v>4819.7109299474996</v>
      </c>
      <c r="D507" s="1">
        <v>14377.085629427145</v>
      </c>
      <c r="E507" s="1">
        <v>14437.850294395048</v>
      </c>
      <c r="F507" s="1">
        <v>5.5630650577440974</v>
      </c>
      <c r="G507" s="1">
        <v>9557.3746994796456</v>
      </c>
      <c r="H507" s="1">
        <v>60.764664967902718</v>
      </c>
      <c r="I507" s="1">
        <v>9618.1393644475484</v>
      </c>
    </row>
    <row r="508" spans="2:23" ht="15.45" x14ac:dyDescent="0.4">
      <c r="B508" s="1">
        <v>488</v>
      </c>
      <c r="C508" s="1">
        <v>4820.2276539822869</v>
      </c>
      <c r="D508" s="1">
        <v>14437.850294395048</v>
      </c>
      <c r="E508" s="1">
        <v>14564.040547652261</v>
      </c>
      <c r="F508" s="1">
        <v>0.51672403478733031</v>
      </c>
      <c r="G508" s="1">
        <v>9617.622640412761</v>
      </c>
      <c r="H508" s="1">
        <v>126.19025325721304</v>
      </c>
      <c r="I508" s="1">
        <v>9743.8128936699741</v>
      </c>
    </row>
    <row r="509" spans="2:23" ht="15.45" x14ac:dyDescent="0.4">
      <c r="B509" s="1">
        <v>489</v>
      </c>
      <c r="C509" s="1">
        <v>4821.2847932691466</v>
      </c>
      <c r="D509" s="1">
        <v>14564.040547652261</v>
      </c>
      <c r="E509" s="1">
        <v>14591.462317617719</v>
      </c>
      <c r="F509" s="1">
        <v>1.0571392868596377</v>
      </c>
      <c r="G509" s="1">
        <v>9742.7557543831135</v>
      </c>
      <c r="H509" s="1">
        <v>27.421769965458225</v>
      </c>
      <c r="I509" s="1">
        <v>9770.1775243485718</v>
      </c>
    </row>
    <row r="510" spans="2:23" ht="15.45" x14ac:dyDescent="0.4">
      <c r="B510" s="1">
        <v>490</v>
      </c>
      <c r="C510" s="1">
        <v>4828.6788580936736</v>
      </c>
      <c r="D510" s="1">
        <v>14591.462317617719</v>
      </c>
      <c r="E510" s="1">
        <v>14646.899246434674</v>
      </c>
      <c r="F510" s="1">
        <v>7.3940648245270495</v>
      </c>
      <c r="G510" s="1">
        <v>9762.7834595240456</v>
      </c>
      <c r="H510" s="1">
        <v>55.436928816954605</v>
      </c>
      <c r="I510" s="1">
        <v>9818.2203883410002</v>
      </c>
      <c r="K510" s="17" t="s">
        <v>24</v>
      </c>
      <c r="W510" s="17" t="s">
        <v>36</v>
      </c>
    </row>
    <row r="511" spans="2:23" ht="15.45" x14ac:dyDescent="0.4">
      <c r="B511" s="1">
        <v>491</v>
      </c>
      <c r="C511" s="1">
        <v>4829.0719402895038</v>
      </c>
      <c r="D511" s="1">
        <v>14646.899246434674</v>
      </c>
      <c r="E511" s="1">
        <v>14699.842115200307</v>
      </c>
      <c r="F511" s="1">
        <v>0.3930821958301749</v>
      </c>
      <c r="G511" s="1">
        <v>9817.8273061451691</v>
      </c>
      <c r="H511" s="1">
        <v>52.942868765632738</v>
      </c>
      <c r="I511" s="1">
        <v>9870.7701749108019</v>
      </c>
    </row>
    <row r="512" spans="2:23" ht="15.45" x14ac:dyDescent="0.4">
      <c r="B512" s="1">
        <v>492</v>
      </c>
      <c r="C512" s="1">
        <v>4830.5277295620908</v>
      </c>
      <c r="D512" s="1">
        <v>14699.842115200307</v>
      </c>
      <c r="E512" s="1">
        <v>14703.557833824625</v>
      </c>
      <c r="F512" s="1">
        <v>1.4557892725870261</v>
      </c>
      <c r="G512" s="1">
        <v>9869.3143856382158</v>
      </c>
      <c r="H512" s="1">
        <v>3.7157186243184697</v>
      </c>
      <c r="I512" s="1">
        <v>9873.0301042625342</v>
      </c>
    </row>
    <row r="513" spans="2:18" ht="15.45" x14ac:dyDescent="0.4">
      <c r="B513" s="1">
        <v>493</v>
      </c>
      <c r="C513" s="1">
        <v>4836.0168875553927</v>
      </c>
      <c r="D513" s="1">
        <v>14703.557833824627</v>
      </c>
      <c r="E513" s="1">
        <v>14710.019048037415</v>
      </c>
      <c r="F513" s="1">
        <v>5.4891579933018875</v>
      </c>
      <c r="G513" s="1">
        <v>9867.5409462692332</v>
      </c>
      <c r="H513" s="1">
        <v>6.4612142127880361</v>
      </c>
      <c r="I513" s="1">
        <v>9874.0021604820213</v>
      </c>
    </row>
    <row r="514" spans="2:18" ht="15.45" x14ac:dyDescent="0.4">
      <c r="B514" s="1">
        <v>494</v>
      </c>
      <c r="C514" s="1">
        <v>4840.353697302171</v>
      </c>
      <c r="D514" s="1">
        <v>14710.019048037415</v>
      </c>
      <c r="E514" s="1">
        <v>14718.714502468734</v>
      </c>
      <c r="F514" s="1">
        <v>4.3368097467782718</v>
      </c>
      <c r="G514" s="1">
        <v>9869.6653507352439</v>
      </c>
      <c r="H514" s="1">
        <v>8.6954544313193765</v>
      </c>
      <c r="I514" s="1">
        <v>9878.3608051665633</v>
      </c>
    </row>
    <row r="515" spans="2:18" ht="15.45" x14ac:dyDescent="0.4">
      <c r="B515" s="1">
        <v>495</v>
      </c>
      <c r="C515" s="1">
        <v>4894.0484770511584</v>
      </c>
      <c r="D515" s="1">
        <v>14718.714502468734</v>
      </c>
      <c r="E515" s="1">
        <v>14721.111812666892</v>
      </c>
      <c r="F515" s="1">
        <v>53.694779748987457</v>
      </c>
      <c r="G515" s="1">
        <v>9824.6660254175767</v>
      </c>
      <c r="H515" s="1">
        <v>2.3973101981573564</v>
      </c>
      <c r="I515" s="1">
        <v>9827.0633356157341</v>
      </c>
      <c r="K515" s="17" t="s">
        <v>25</v>
      </c>
    </row>
    <row r="516" spans="2:18" ht="15.45" x14ac:dyDescent="0.4">
      <c r="B516" s="1">
        <v>496</v>
      </c>
      <c r="C516" s="1">
        <v>4897.2594233186073</v>
      </c>
      <c r="D516" s="1">
        <v>14721.111812666892</v>
      </c>
      <c r="E516" s="1">
        <v>14747.732731927365</v>
      </c>
      <c r="F516" s="1">
        <v>3.2109462674488896</v>
      </c>
      <c r="G516" s="1">
        <v>9823.8523893482852</v>
      </c>
      <c r="H516" s="1">
        <v>26.620919260472874</v>
      </c>
      <c r="I516" s="1">
        <v>9850.4733086087581</v>
      </c>
    </row>
    <row r="517" spans="2:18" ht="15.45" x14ac:dyDescent="0.4">
      <c r="B517" s="1">
        <v>497</v>
      </c>
      <c r="C517" s="1">
        <v>4912.2152410668814</v>
      </c>
      <c r="D517" s="1">
        <v>14747.732731927365</v>
      </c>
      <c r="E517" s="1">
        <v>14809.342672521845</v>
      </c>
      <c r="F517" s="1">
        <v>14.955817748274058</v>
      </c>
      <c r="G517" s="1">
        <v>9835.5174908604822</v>
      </c>
      <c r="H517" s="1">
        <v>61.609940594480577</v>
      </c>
      <c r="I517" s="1">
        <v>9897.1274314549628</v>
      </c>
    </row>
    <row r="518" spans="2:18" ht="15.45" x14ac:dyDescent="0.4">
      <c r="B518" s="1">
        <v>498</v>
      </c>
      <c r="C518" s="1">
        <v>4927.2822262272484</v>
      </c>
      <c r="D518" s="1">
        <v>14809.342672521845</v>
      </c>
      <c r="E518" s="1">
        <v>14849.429861307897</v>
      </c>
      <c r="F518" s="1">
        <v>15.066985160367039</v>
      </c>
      <c r="G518" s="1">
        <v>9882.0604462945957</v>
      </c>
      <c r="H518" s="1">
        <v>40.087188786052138</v>
      </c>
      <c r="I518" s="1">
        <v>9922.1476350806479</v>
      </c>
    </row>
    <row r="519" spans="2:18" ht="15.45" x14ac:dyDescent="0.4">
      <c r="B519" s="1">
        <v>499</v>
      </c>
      <c r="C519" s="1">
        <v>4930.7138028741128</v>
      </c>
      <c r="D519" s="1">
        <v>14849.429861307897</v>
      </c>
      <c r="E519" s="1">
        <v>14866.119056481128</v>
      </c>
      <c r="F519" s="1">
        <v>3.4315766468644142</v>
      </c>
      <c r="G519" s="1">
        <v>9918.7160584337835</v>
      </c>
      <c r="H519" s="1">
        <v>16.689195173230473</v>
      </c>
      <c r="I519" s="1">
        <v>9935.4052536070158</v>
      </c>
    </row>
    <row r="520" spans="2:18" ht="15.45" x14ac:dyDescent="0.4">
      <c r="B520" s="1">
        <v>500</v>
      </c>
      <c r="C520" s="1">
        <v>4936.9589494145794</v>
      </c>
      <c r="D520" s="1">
        <v>14866.11905648113</v>
      </c>
      <c r="E520" s="1">
        <v>14867.669228585492</v>
      </c>
      <c r="F520" s="1">
        <v>6.2451465404665214</v>
      </c>
      <c r="G520" s="1">
        <v>9929.1601070665492</v>
      </c>
      <c r="H520" s="1">
        <v>1.5501721043619909</v>
      </c>
      <c r="I520" s="1">
        <v>9930.7102791709112</v>
      </c>
    </row>
    <row r="523" spans="2:18" ht="19.75" x14ac:dyDescent="0.4">
      <c r="C523" s="8" t="s">
        <v>40</v>
      </c>
    </row>
    <row r="525" spans="2:18" ht="24.9" x14ac:dyDescent="0.4">
      <c r="B525" s="6" t="s">
        <v>0</v>
      </c>
      <c r="C525" s="6" t="s">
        <v>1</v>
      </c>
      <c r="D525" s="6" t="s">
        <v>6</v>
      </c>
      <c r="E525" s="6" t="s">
        <v>2</v>
      </c>
      <c r="F525" s="6" t="s">
        <v>7</v>
      </c>
      <c r="G525" s="6" t="s">
        <v>0</v>
      </c>
      <c r="H525" s="6" t="s">
        <v>8</v>
      </c>
      <c r="I525" s="6" t="s">
        <v>9</v>
      </c>
      <c r="J525" s="6" t="s">
        <v>10</v>
      </c>
      <c r="K525" s="6" t="s">
        <v>9</v>
      </c>
      <c r="L525" s="6" t="s">
        <v>11</v>
      </c>
      <c r="M525" s="6" t="s">
        <v>12</v>
      </c>
      <c r="N525" s="6" t="s">
        <v>13</v>
      </c>
      <c r="O525" s="6" t="s">
        <v>14</v>
      </c>
      <c r="P525" s="6" t="s">
        <v>15</v>
      </c>
      <c r="Q525" s="6" t="s">
        <v>27</v>
      </c>
      <c r="R525" s="6" t="s">
        <v>19</v>
      </c>
    </row>
    <row r="526" spans="2:18" ht="15.45" x14ac:dyDescent="0.4">
      <c r="B526" s="1">
        <v>1</v>
      </c>
      <c r="C526" s="1">
        <v>9.3471384934060939</v>
      </c>
      <c r="D526" s="1">
        <v>0</v>
      </c>
      <c r="E526" s="1">
        <v>9.3471384934060939</v>
      </c>
      <c r="F526" s="1">
        <v>0</v>
      </c>
      <c r="G526" s="1">
        <v>1</v>
      </c>
      <c r="H526" s="1">
        <v>9.3471384934060939</v>
      </c>
      <c r="I526" s="1">
        <v>0</v>
      </c>
      <c r="J526" s="1">
        <v>9.3471384934060939</v>
      </c>
      <c r="K526" s="1">
        <v>0</v>
      </c>
      <c r="L526" s="1">
        <v>0</v>
      </c>
      <c r="M526" s="18">
        <v>40</v>
      </c>
      <c r="N526" s="1">
        <v>0</v>
      </c>
      <c r="O526" s="1">
        <v>0</v>
      </c>
      <c r="P526" s="1">
        <v>0</v>
      </c>
      <c r="Q526" s="1">
        <v>0</v>
      </c>
      <c r="R526" s="18">
        <v>361</v>
      </c>
    </row>
    <row r="527" spans="2:18" ht="15.45" x14ac:dyDescent="0.4">
      <c r="B527" s="1">
        <v>2</v>
      </c>
      <c r="C527" s="1">
        <v>12.618253187614435</v>
      </c>
      <c r="D527" s="1">
        <v>1</v>
      </c>
      <c r="E527" s="1">
        <v>46.463932601848754</v>
      </c>
      <c r="F527" s="1">
        <v>-1</v>
      </c>
      <c r="G527" s="1">
        <v>2</v>
      </c>
      <c r="H527" s="1">
        <v>9.3471384934060939</v>
      </c>
      <c r="I527" s="1">
        <v>0</v>
      </c>
      <c r="J527" s="1">
        <v>9.3471384934060939</v>
      </c>
      <c r="K527" s="1">
        <v>0</v>
      </c>
      <c r="L527" s="1">
        <v>0</v>
      </c>
      <c r="M527" s="18">
        <v>40</v>
      </c>
      <c r="N527" s="1">
        <v>0</v>
      </c>
      <c r="O527" s="1">
        <v>0</v>
      </c>
      <c r="P527" s="1">
        <v>0</v>
      </c>
      <c r="Q527" s="1">
        <v>0</v>
      </c>
    </row>
    <row r="528" spans="2:18" ht="15.45" x14ac:dyDescent="0.4">
      <c r="B528" s="1">
        <v>3</v>
      </c>
      <c r="C528" s="1">
        <v>19.506247353164998</v>
      </c>
      <c r="D528" s="1">
        <v>1</v>
      </c>
      <c r="E528" s="1">
        <v>54.418381432241375</v>
      </c>
      <c r="F528" s="1">
        <v>-1</v>
      </c>
      <c r="G528" s="1">
        <v>3</v>
      </c>
      <c r="H528" s="1">
        <v>12.618253187614435</v>
      </c>
      <c r="I528" s="1">
        <v>1</v>
      </c>
      <c r="J528" s="1">
        <v>12.618253187614435</v>
      </c>
      <c r="K528" s="1">
        <v>1</v>
      </c>
      <c r="L528" s="1">
        <v>1</v>
      </c>
      <c r="M528" s="18">
        <v>40</v>
      </c>
      <c r="N528" s="1">
        <v>1</v>
      </c>
      <c r="O528" s="1">
        <v>0</v>
      </c>
      <c r="P528" s="1">
        <v>0</v>
      </c>
      <c r="Q528" s="1">
        <v>0</v>
      </c>
    </row>
    <row r="529" spans="2:17" ht="15.45" x14ac:dyDescent="0.4">
      <c r="B529" s="1">
        <v>4</v>
      </c>
      <c r="C529" s="1">
        <v>29.025726387477143</v>
      </c>
      <c r="D529" s="1">
        <v>1</v>
      </c>
      <c r="E529" s="1">
        <v>84.153623925451626</v>
      </c>
      <c r="F529" s="1">
        <v>-1</v>
      </c>
      <c r="G529" s="1">
        <v>4</v>
      </c>
      <c r="H529" s="1">
        <v>46.463932601848754</v>
      </c>
      <c r="I529" s="1">
        <v>-1</v>
      </c>
      <c r="J529" s="1">
        <v>19.506247353164998</v>
      </c>
      <c r="K529" s="1">
        <v>1</v>
      </c>
      <c r="L529" s="1">
        <v>2</v>
      </c>
      <c r="M529" s="18">
        <v>40</v>
      </c>
      <c r="N529" s="1">
        <v>2</v>
      </c>
      <c r="O529" s="1">
        <v>0</v>
      </c>
      <c r="P529" s="1">
        <v>0</v>
      </c>
      <c r="Q529" s="1">
        <v>0</v>
      </c>
    </row>
    <row r="530" spans="2:17" ht="15.45" x14ac:dyDescent="0.4">
      <c r="B530" s="1">
        <v>5</v>
      </c>
      <c r="C530" s="1">
        <v>36.742759515914607</v>
      </c>
      <c r="D530" s="1">
        <v>1</v>
      </c>
      <c r="E530" s="1">
        <v>91.216108095228776</v>
      </c>
      <c r="F530" s="1">
        <v>-1</v>
      </c>
      <c r="G530" s="1">
        <v>5</v>
      </c>
      <c r="H530" s="1">
        <v>19.506247353164998</v>
      </c>
      <c r="I530" s="1">
        <v>1</v>
      </c>
      <c r="J530" s="1">
        <v>29.025726387477143</v>
      </c>
      <c r="K530" s="1">
        <v>1</v>
      </c>
      <c r="L530" s="1">
        <v>3</v>
      </c>
      <c r="M530" s="18">
        <v>40</v>
      </c>
      <c r="N530" s="1">
        <v>3</v>
      </c>
      <c r="O530" s="1">
        <v>0</v>
      </c>
      <c r="P530" s="1">
        <v>0</v>
      </c>
      <c r="Q530" s="1">
        <v>0</v>
      </c>
    </row>
    <row r="531" spans="2:17" ht="15.45" x14ac:dyDescent="0.4">
      <c r="B531" s="1">
        <v>6</v>
      </c>
      <c r="C531" s="1">
        <v>51.087043826850085</v>
      </c>
      <c r="D531" s="1">
        <v>1</v>
      </c>
      <c r="E531" s="1">
        <v>126.61994323293894</v>
      </c>
      <c r="F531" s="1">
        <v>-1</v>
      </c>
      <c r="G531" s="1">
        <v>6</v>
      </c>
      <c r="H531" s="1">
        <v>54.418381432241375</v>
      </c>
      <c r="I531" s="1">
        <v>-1</v>
      </c>
      <c r="J531" s="1">
        <v>36.742759515914607</v>
      </c>
      <c r="K531" s="1">
        <v>1</v>
      </c>
      <c r="L531" s="1">
        <v>4</v>
      </c>
      <c r="M531" s="18">
        <v>40</v>
      </c>
      <c r="N531" s="1">
        <v>4</v>
      </c>
      <c r="O531" s="1">
        <v>0</v>
      </c>
      <c r="P531" s="1">
        <v>0</v>
      </c>
      <c r="Q531" s="1">
        <v>0</v>
      </c>
    </row>
    <row r="532" spans="2:17" ht="15.45" x14ac:dyDescent="0.4">
      <c r="B532" s="1">
        <v>7</v>
      </c>
      <c r="C532" s="1">
        <v>51.68128278563691</v>
      </c>
      <c r="D532" s="1">
        <v>1</v>
      </c>
      <c r="E532" s="1">
        <v>347.36904844549679</v>
      </c>
      <c r="F532" s="1">
        <v>-1</v>
      </c>
      <c r="G532" s="1">
        <v>7</v>
      </c>
      <c r="H532" s="1">
        <v>29.025726387477143</v>
      </c>
      <c r="I532" s="1">
        <v>1</v>
      </c>
      <c r="J532" s="1">
        <v>46.463932601848754</v>
      </c>
      <c r="K532" s="1">
        <v>-1</v>
      </c>
      <c r="L532" s="1">
        <v>3</v>
      </c>
      <c r="M532" s="18">
        <v>40</v>
      </c>
      <c r="N532" s="1">
        <v>3</v>
      </c>
      <c r="O532" s="1">
        <v>0</v>
      </c>
      <c r="P532" s="1">
        <v>0</v>
      </c>
      <c r="Q532" s="1">
        <v>0</v>
      </c>
    </row>
    <row r="533" spans="2:17" ht="15.45" x14ac:dyDescent="0.4">
      <c r="B533" s="1">
        <v>8</v>
      </c>
      <c r="C533" s="1">
        <v>56.238137721197511</v>
      </c>
      <c r="D533" s="1">
        <v>1</v>
      </c>
      <c r="E533" s="1">
        <v>370.25118642065956</v>
      </c>
      <c r="F533" s="1">
        <v>-1</v>
      </c>
      <c r="G533" s="1">
        <v>8</v>
      </c>
      <c r="H533" s="1">
        <v>84.153623925451626</v>
      </c>
      <c r="I533" s="1">
        <v>-1</v>
      </c>
      <c r="J533" s="1">
        <v>51.087043826850085</v>
      </c>
      <c r="K533" s="1">
        <v>1</v>
      </c>
      <c r="L533" s="1">
        <v>4</v>
      </c>
      <c r="M533" s="18">
        <v>40</v>
      </c>
      <c r="N533" s="1">
        <v>4</v>
      </c>
      <c r="O533" s="1">
        <v>0</v>
      </c>
      <c r="P533" s="1">
        <v>0</v>
      </c>
      <c r="Q533" s="1">
        <v>0</v>
      </c>
    </row>
    <row r="534" spans="2:17" ht="15.45" x14ac:dyDescent="0.4">
      <c r="B534" s="1">
        <v>9</v>
      </c>
      <c r="C534" s="1">
        <v>63.576335773902933</v>
      </c>
      <c r="D534" s="1">
        <v>1</v>
      </c>
      <c r="E534" s="1">
        <v>370.3418092064573</v>
      </c>
      <c r="F534" s="1">
        <v>-1</v>
      </c>
      <c r="G534" s="1">
        <v>9</v>
      </c>
      <c r="H534" s="1">
        <v>36.742759515914607</v>
      </c>
      <c r="I534" s="1">
        <v>1</v>
      </c>
      <c r="J534" s="1">
        <v>51.68128278563691</v>
      </c>
      <c r="K534" s="1">
        <v>1</v>
      </c>
      <c r="L534" s="1">
        <v>5</v>
      </c>
      <c r="M534" s="18">
        <v>40</v>
      </c>
      <c r="N534" s="1">
        <v>5</v>
      </c>
      <c r="O534" s="1">
        <v>0</v>
      </c>
      <c r="P534" s="1">
        <v>0</v>
      </c>
      <c r="Q534" s="1">
        <v>0</v>
      </c>
    </row>
    <row r="535" spans="2:17" ht="15.45" x14ac:dyDescent="0.4">
      <c r="B535" s="1">
        <v>10</v>
      </c>
      <c r="C535" s="1">
        <v>71.533640733951785</v>
      </c>
      <c r="D535" s="1">
        <v>1</v>
      </c>
      <c r="E535" s="1">
        <v>378.57827508826176</v>
      </c>
      <c r="F535" s="1">
        <v>-1</v>
      </c>
      <c r="G535" s="1">
        <v>10</v>
      </c>
      <c r="H535" s="1">
        <v>91.216108095228776</v>
      </c>
      <c r="I535" s="1">
        <v>-1</v>
      </c>
      <c r="J535" s="1">
        <v>54.418381432241375</v>
      </c>
      <c r="K535" s="1">
        <v>-1</v>
      </c>
      <c r="L535" s="1">
        <v>4</v>
      </c>
      <c r="M535" s="18">
        <v>40</v>
      </c>
      <c r="N535" s="1">
        <v>4</v>
      </c>
      <c r="O535" s="1">
        <v>0</v>
      </c>
      <c r="P535" s="1">
        <v>0</v>
      </c>
      <c r="Q535" s="1">
        <v>0</v>
      </c>
    </row>
    <row r="536" spans="2:17" ht="15.45" x14ac:dyDescent="0.4">
      <c r="B536" s="1">
        <v>11</v>
      </c>
      <c r="C536" s="1">
        <v>84.653256843021907</v>
      </c>
      <c r="D536" s="1">
        <v>1</v>
      </c>
      <c r="E536" s="1">
        <v>382.14359499877344</v>
      </c>
      <c r="F536" s="1">
        <v>-1</v>
      </c>
      <c r="G536" s="1">
        <v>11</v>
      </c>
      <c r="H536" s="1">
        <v>51.087043826850085</v>
      </c>
      <c r="I536" s="1">
        <v>1</v>
      </c>
      <c r="J536" s="1">
        <v>56.238137721197511</v>
      </c>
      <c r="K536" s="1">
        <v>1</v>
      </c>
      <c r="L536" s="1">
        <v>5</v>
      </c>
      <c r="M536" s="18">
        <v>40</v>
      </c>
      <c r="N536" s="1">
        <v>5</v>
      </c>
      <c r="O536" s="1">
        <v>0</v>
      </c>
      <c r="P536" s="1">
        <v>0</v>
      </c>
      <c r="Q536" s="1">
        <v>0</v>
      </c>
    </row>
    <row r="537" spans="2:17" ht="15.45" x14ac:dyDescent="0.4">
      <c r="B537" s="1">
        <v>12</v>
      </c>
      <c r="C537" s="1">
        <v>86.435628989744231</v>
      </c>
      <c r="D537" s="1">
        <v>1</v>
      </c>
      <c r="E537" s="1">
        <v>402.31004265736283</v>
      </c>
      <c r="F537" s="1">
        <v>-1</v>
      </c>
      <c r="G537" s="1">
        <v>12</v>
      </c>
      <c r="H537" s="1">
        <v>126.61994323293894</v>
      </c>
      <c r="I537" s="1">
        <v>-1</v>
      </c>
      <c r="J537" s="1">
        <v>63.576335773902933</v>
      </c>
      <c r="K537" s="1">
        <v>1</v>
      </c>
      <c r="L537" s="1">
        <v>6</v>
      </c>
      <c r="M537" s="18">
        <v>40</v>
      </c>
      <c r="N537" s="1">
        <v>6</v>
      </c>
      <c r="O537" s="1">
        <v>0</v>
      </c>
      <c r="P537" s="1">
        <v>0</v>
      </c>
      <c r="Q537" s="1">
        <v>0</v>
      </c>
    </row>
    <row r="538" spans="2:17" ht="15.45" x14ac:dyDescent="0.4">
      <c r="B538" s="1">
        <v>13</v>
      </c>
      <c r="C538" s="1">
        <v>86.982554162771336</v>
      </c>
      <c r="D538" s="1">
        <v>1</v>
      </c>
      <c r="E538" s="1">
        <v>406.98626663864837</v>
      </c>
      <c r="F538" s="1">
        <v>-1</v>
      </c>
      <c r="G538" s="1">
        <v>13</v>
      </c>
      <c r="H538" s="1">
        <v>51.68128278563691</v>
      </c>
      <c r="I538" s="1">
        <v>1</v>
      </c>
      <c r="J538" s="1">
        <v>71.533640733951785</v>
      </c>
      <c r="K538" s="1">
        <v>1</v>
      </c>
      <c r="L538" s="1">
        <v>7</v>
      </c>
      <c r="M538" s="18">
        <v>40</v>
      </c>
      <c r="N538" s="1">
        <v>7</v>
      </c>
      <c r="O538" s="1">
        <v>0</v>
      </c>
      <c r="P538" s="1">
        <v>0</v>
      </c>
      <c r="Q538" s="1">
        <v>0</v>
      </c>
    </row>
    <row r="539" spans="2:17" ht="15.45" x14ac:dyDescent="0.4">
      <c r="B539" s="1">
        <v>14</v>
      </c>
      <c r="C539" s="1">
        <v>97.563506679441005</v>
      </c>
      <c r="D539" s="1">
        <v>1</v>
      </c>
      <c r="E539" s="1">
        <v>435.02768211886666</v>
      </c>
      <c r="F539" s="1">
        <v>-1</v>
      </c>
      <c r="G539" s="1">
        <v>14</v>
      </c>
      <c r="H539" s="1">
        <v>347.36904844549679</v>
      </c>
      <c r="I539" s="1">
        <v>-1</v>
      </c>
      <c r="J539" s="1">
        <v>84.153623925451626</v>
      </c>
      <c r="K539" s="1">
        <v>-1</v>
      </c>
      <c r="L539" s="1">
        <v>6</v>
      </c>
      <c r="M539" s="18">
        <v>40</v>
      </c>
      <c r="N539" s="1">
        <v>6</v>
      </c>
      <c r="O539" s="1">
        <v>0</v>
      </c>
      <c r="P539" s="1">
        <v>0</v>
      </c>
      <c r="Q539" s="1">
        <v>0</v>
      </c>
    </row>
    <row r="540" spans="2:17" ht="15.45" x14ac:dyDescent="0.4">
      <c r="B540" s="1">
        <v>15</v>
      </c>
      <c r="C540" s="1">
        <v>109.23553437682619</v>
      </c>
      <c r="D540" s="1">
        <v>1</v>
      </c>
      <c r="E540" s="1">
        <v>444.84102620149167</v>
      </c>
      <c r="F540" s="1">
        <v>-1</v>
      </c>
      <c r="G540" s="1">
        <v>15</v>
      </c>
      <c r="H540" s="1">
        <v>56.238137721197511</v>
      </c>
      <c r="I540" s="1">
        <v>1</v>
      </c>
      <c r="J540" s="1">
        <v>84.653256843021907</v>
      </c>
      <c r="K540" s="1">
        <v>1</v>
      </c>
      <c r="L540" s="1">
        <v>7</v>
      </c>
      <c r="M540" s="18">
        <v>40</v>
      </c>
      <c r="N540" s="1">
        <v>7</v>
      </c>
      <c r="O540" s="1">
        <v>0</v>
      </c>
      <c r="P540" s="1">
        <v>0</v>
      </c>
      <c r="Q540" s="1">
        <v>0</v>
      </c>
    </row>
    <row r="541" spans="2:17" ht="15.45" x14ac:dyDescent="0.4">
      <c r="B541" s="1">
        <v>16</v>
      </c>
      <c r="C541" s="1">
        <v>112.82992374032519</v>
      </c>
      <c r="D541" s="1">
        <v>1</v>
      </c>
      <c r="E541" s="1">
        <v>465.50500869814334</v>
      </c>
      <c r="F541" s="1">
        <v>-1</v>
      </c>
      <c r="G541" s="1">
        <v>16</v>
      </c>
      <c r="H541" s="1">
        <v>370.25118642065956</v>
      </c>
      <c r="I541" s="1">
        <v>-1</v>
      </c>
      <c r="J541" s="1">
        <v>86.435628989744231</v>
      </c>
      <c r="K541" s="1">
        <v>1</v>
      </c>
      <c r="L541" s="1">
        <v>8</v>
      </c>
      <c r="M541" s="18">
        <v>40</v>
      </c>
      <c r="N541" s="1">
        <v>8</v>
      </c>
      <c r="O541" s="1">
        <v>0</v>
      </c>
      <c r="P541" s="1">
        <v>0</v>
      </c>
      <c r="Q541" s="1">
        <v>0</v>
      </c>
    </row>
    <row r="542" spans="2:17" ht="15.45" x14ac:dyDescent="0.4">
      <c r="B542" s="1">
        <v>17</v>
      </c>
      <c r="C542" s="1">
        <v>118.46739004262697</v>
      </c>
      <c r="D542" s="1">
        <v>1</v>
      </c>
      <c r="E542" s="1">
        <v>494.06344580107975</v>
      </c>
      <c r="F542" s="1">
        <v>-1</v>
      </c>
      <c r="G542" s="1">
        <v>17</v>
      </c>
      <c r="H542" s="1">
        <v>63.576335773902933</v>
      </c>
      <c r="I542" s="1">
        <v>1</v>
      </c>
      <c r="J542" s="1">
        <v>86.982554162771336</v>
      </c>
      <c r="K542" s="1">
        <v>1</v>
      </c>
      <c r="L542" s="1">
        <v>9</v>
      </c>
      <c r="M542" s="18">
        <v>40</v>
      </c>
      <c r="N542" s="1">
        <v>9</v>
      </c>
      <c r="O542" s="1">
        <v>0</v>
      </c>
      <c r="P542" s="1">
        <v>0</v>
      </c>
      <c r="Q542" s="1">
        <v>0</v>
      </c>
    </row>
    <row r="543" spans="2:17" ht="15.45" x14ac:dyDescent="0.4">
      <c r="B543" s="1">
        <v>18</v>
      </c>
      <c r="C543" s="1">
        <v>134.68779398440566</v>
      </c>
      <c r="D543" s="1">
        <v>1</v>
      </c>
      <c r="E543" s="1">
        <v>517.21454518639212</v>
      </c>
      <c r="F543" s="1">
        <v>-1</v>
      </c>
      <c r="G543" s="1">
        <v>18</v>
      </c>
      <c r="H543" s="1">
        <v>370.3418092064573</v>
      </c>
      <c r="I543" s="1">
        <v>-1</v>
      </c>
      <c r="J543" s="1">
        <v>91.216108095228776</v>
      </c>
      <c r="K543" s="1">
        <v>-1</v>
      </c>
      <c r="L543" s="1">
        <v>8</v>
      </c>
      <c r="M543" s="18">
        <v>40</v>
      </c>
      <c r="N543" s="1">
        <v>8</v>
      </c>
      <c r="O543" s="1">
        <v>0</v>
      </c>
      <c r="P543" s="1">
        <v>0</v>
      </c>
      <c r="Q543" s="1">
        <v>0</v>
      </c>
    </row>
    <row r="544" spans="2:17" ht="15.45" x14ac:dyDescent="0.4">
      <c r="B544" s="1">
        <v>19</v>
      </c>
      <c r="C544" s="1">
        <v>163.30684026034257</v>
      </c>
      <c r="D544" s="1">
        <v>1</v>
      </c>
      <c r="E544" s="1">
        <v>560.24739811919858</v>
      </c>
      <c r="F544" s="1">
        <v>-1</v>
      </c>
      <c r="G544" s="1">
        <v>19</v>
      </c>
      <c r="H544" s="1">
        <v>71.533640733951785</v>
      </c>
      <c r="I544" s="1">
        <v>1</v>
      </c>
      <c r="J544" s="1">
        <v>97.563506679441005</v>
      </c>
      <c r="K544" s="1">
        <v>1</v>
      </c>
      <c r="L544" s="1">
        <v>9</v>
      </c>
      <c r="M544" s="18">
        <v>40</v>
      </c>
      <c r="N544" s="1">
        <v>9</v>
      </c>
      <c r="O544" s="1">
        <v>0</v>
      </c>
      <c r="P544" s="1">
        <v>0</v>
      </c>
      <c r="Q544" s="1">
        <v>0</v>
      </c>
    </row>
    <row r="545" spans="2:17" ht="15.45" x14ac:dyDescent="0.4">
      <c r="B545" s="1">
        <v>20</v>
      </c>
      <c r="C545" s="1">
        <v>177.48887503200791</v>
      </c>
      <c r="D545" s="1">
        <v>1</v>
      </c>
      <c r="E545" s="1">
        <v>562.03011499555907</v>
      </c>
      <c r="F545" s="1">
        <v>-1</v>
      </c>
      <c r="G545" s="1">
        <v>20</v>
      </c>
      <c r="H545" s="1">
        <v>378.57827508826176</v>
      </c>
      <c r="I545" s="1">
        <v>-1</v>
      </c>
      <c r="J545" s="1">
        <v>109.23553437682619</v>
      </c>
      <c r="K545" s="1">
        <v>1</v>
      </c>
      <c r="L545" s="1">
        <v>10</v>
      </c>
      <c r="M545" s="18">
        <v>40</v>
      </c>
      <c r="N545" s="1">
        <v>10</v>
      </c>
      <c r="O545" s="1">
        <v>0</v>
      </c>
      <c r="P545" s="1">
        <v>0</v>
      </c>
      <c r="Q545" s="1">
        <v>0</v>
      </c>
    </row>
    <row r="546" spans="2:17" ht="15.45" x14ac:dyDescent="0.4">
      <c r="B546" s="1">
        <v>21</v>
      </c>
      <c r="C546" s="1">
        <v>181.93516201684196</v>
      </c>
      <c r="D546" s="1">
        <v>1</v>
      </c>
      <c r="E546" s="1">
        <v>575.70067980224087</v>
      </c>
      <c r="F546" s="1">
        <v>-1</v>
      </c>
      <c r="G546" s="1">
        <v>21</v>
      </c>
      <c r="H546" s="1">
        <v>84.653256843021907</v>
      </c>
      <c r="I546" s="1">
        <v>1</v>
      </c>
      <c r="J546" s="1">
        <v>112.82992374032519</v>
      </c>
      <c r="K546" s="1">
        <v>1</v>
      </c>
      <c r="L546" s="1">
        <v>11</v>
      </c>
      <c r="M546" s="18">
        <v>40</v>
      </c>
      <c r="N546" s="1">
        <v>11</v>
      </c>
      <c r="O546" s="1">
        <v>0</v>
      </c>
      <c r="P546" s="1">
        <v>0</v>
      </c>
      <c r="Q546" s="1">
        <v>0</v>
      </c>
    </row>
    <row r="547" spans="2:17" ht="15.45" x14ac:dyDescent="0.4">
      <c r="B547" s="1">
        <v>22</v>
      </c>
      <c r="C547" s="1">
        <v>184.95094744770824</v>
      </c>
      <c r="D547" s="1">
        <v>1</v>
      </c>
      <c r="E547" s="1">
        <v>597.71527396035708</v>
      </c>
      <c r="F547" s="1">
        <v>-1</v>
      </c>
      <c r="G547" s="1">
        <v>22</v>
      </c>
      <c r="H547" s="1">
        <v>382.14359499877344</v>
      </c>
      <c r="I547" s="1">
        <v>-1</v>
      </c>
      <c r="J547" s="1">
        <v>118.46739004262697</v>
      </c>
      <c r="K547" s="1">
        <v>1</v>
      </c>
      <c r="L547" s="1">
        <v>12</v>
      </c>
      <c r="M547" s="18">
        <v>40</v>
      </c>
      <c r="N547" s="1">
        <v>12</v>
      </c>
      <c r="O547" s="1">
        <v>0</v>
      </c>
      <c r="P547" s="1">
        <v>0</v>
      </c>
      <c r="Q547" s="1">
        <v>0</v>
      </c>
    </row>
    <row r="548" spans="2:17" ht="15.45" x14ac:dyDescent="0.4">
      <c r="B548" s="1">
        <v>23</v>
      </c>
      <c r="C548" s="1">
        <v>188.12352388399225</v>
      </c>
      <c r="D548" s="1">
        <v>1</v>
      </c>
      <c r="E548" s="1">
        <v>621.58718884050359</v>
      </c>
      <c r="F548" s="1">
        <v>-1</v>
      </c>
      <c r="G548" s="1">
        <v>23</v>
      </c>
      <c r="H548" s="1">
        <v>86.435628989744231</v>
      </c>
      <c r="I548" s="1">
        <v>1</v>
      </c>
      <c r="J548" s="1">
        <v>126.61994323293894</v>
      </c>
      <c r="K548" s="1">
        <v>-1</v>
      </c>
      <c r="L548" s="1">
        <v>11</v>
      </c>
      <c r="M548" s="18">
        <v>40</v>
      </c>
      <c r="N548" s="1">
        <v>11</v>
      </c>
      <c r="O548" s="1">
        <v>0</v>
      </c>
      <c r="P548" s="1">
        <v>0</v>
      </c>
      <c r="Q548" s="1">
        <v>0</v>
      </c>
    </row>
    <row r="549" spans="2:17" ht="15.45" x14ac:dyDescent="0.4">
      <c r="B549" s="1">
        <v>24</v>
      </c>
      <c r="C549" s="1">
        <v>190.83221335010813</v>
      </c>
      <c r="D549" s="1">
        <v>1</v>
      </c>
      <c r="E549" s="1">
        <v>660.94603716771394</v>
      </c>
      <c r="F549" s="1">
        <v>-1</v>
      </c>
      <c r="G549" s="1">
        <v>24</v>
      </c>
      <c r="H549" s="1">
        <v>402.31004265736283</v>
      </c>
      <c r="I549" s="1">
        <v>-1</v>
      </c>
      <c r="J549" s="1">
        <v>134.68779398440566</v>
      </c>
      <c r="K549" s="1">
        <v>1</v>
      </c>
      <c r="L549" s="1">
        <v>12</v>
      </c>
      <c r="M549" s="18">
        <v>40</v>
      </c>
      <c r="N549" s="1">
        <v>12</v>
      </c>
      <c r="O549" s="1">
        <v>0</v>
      </c>
      <c r="P549" s="1">
        <v>0</v>
      </c>
      <c r="Q549" s="1">
        <v>0</v>
      </c>
    </row>
    <row r="550" spans="2:17" ht="15.45" x14ac:dyDescent="0.4">
      <c r="B550" s="1">
        <v>25</v>
      </c>
      <c r="C550" s="1">
        <v>194.99504713856189</v>
      </c>
      <c r="D550" s="1">
        <v>1</v>
      </c>
      <c r="E550" s="1">
        <v>666.29315360788098</v>
      </c>
      <c r="F550" s="1">
        <v>-1</v>
      </c>
      <c r="G550" s="1">
        <v>25</v>
      </c>
      <c r="H550" s="1">
        <v>86.982554162771336</v>
      </c>
      <c r="I550" s="1">
        <v>1</v>
      </c>
      <c r="J550" s="1">
        <v>163.30684026034257</v>
      </c>
      <c r="K550" s="1">
        <v>1</v>
      </c>
      <c r="L550" s="1">
        <v>13</v>
      </c>
      <c r="M550" s="18">
        <v>40</v>
      </c>
      <c r="N550" s="1">
        <v>13</v>
      </c>
      <c r="O550" s="1">
        <v>0</v>
      </c>
      <c r="P550" s="1">
        <v>0</v>
      </c>
      <c r="Q550" s="1">
        <v>0</v>
      </c>
    </row>
    <row r="551" spans="2:17" ht="15.45" x14ac:dyDescent="0.4">
      <c r="B551" s="1">
        <v>26</v>
      </c>
      <c r="C551" s="1">
        <v>195.26584983866132</v>
      </c>
      <c r="D551" s="1">
        <v>1</v>
      </c>
      <c r="E551" s="1">
        <v>667.93392912696231</v>
      </c>
      <c r="F551" s="1">
        <v>-1</v>
      </c>
      <c r="G551" s="1">
        <v>26</v>
      </c>
      <c r="H551" s="1">
        <v>406.98626663864837</v>
      </c>
      <c r="I551" s="1">
        <v>-1</v>
      </c>
      <c r="J551" s="1">
        <v>177.48887503200791</v>
      </c>
      <c r="K551" s="1">
        <v>1</v>
      </c>
      <c r="L551" s="1">
        <v>14</v>
      </c>
      <c r="M551" s="18">
        <v>40</v>
      </c>
      <c r="N551" s="1">
        <v>14</v>
      </c>
      <c r="O551" s="1">
        <v>0</v>
      </c>
      <c r="P551" s="1">
        <v>0</v>
      </c>
      <c r="Q551" s="1">
        <v>0</v>
      </c>
    </row>
    <row r="552" spans="2:17" ht="15.45" x14ac:dyDescent="0.4">
      <c r="B552" s="1">
        <v>27</v>
      </c>
      <c r="C552" s="1">
        <v>197.13512678848963</v>
      </c>
      <c r="D552" s="1">
        <v>1</v>
      </c>
      <c r="E552" s="1">
        <v>699.67678667697135</v>
      </c>
      <c r="F552" s="1">
        <v>-1</v>
      </c>
      <c r="G552" s="1">
        <v>27</v>
      </c>
      <c r="H552" s="1">
        <v>97.563506679441005</v>
      </c>
      <c r="I552" s="1">
        <v>1</v>
      </c>
      <c r="J552" s="1">
        <v>181.93516201684196</v>
      </c>
      <c r="K552" s="1">
        <v>1</v>
      </c>
      <c r="L552" s="1">
        <v>15</v>
      </c>
      <c r="M552" s="18">
        <v>40</v>
      </c>
      <c r="N552" s="1">
        <v>15</v>
      </c>
      <c r="O552" s="1">
        <v>0</v>
      </c>
      <c r="P552" s="1">
        <v>0</v>
      </c>
      <c r="Q552" s="1">
        <v>0</v>
      </c>
    </row>
    <row r="553" spans="2:17" ht="15.45" x14ac:dyDescent="0.4">
      <c r="B553" s="1">
        <v>28</v>
      </c>
      <c r="C553" s="1">
        <v>200.9986606540254</v>
      </c>
      <c r="D553" s="1">
        <v>1</v>
      </c>
      <c r="E553" s="1">
        <v>734.6928697691269</v>
      </c>
      <c r="F553" s="1">
        <v>-1</v>
      </c>
      <c r="G553" s="1">
        <v>28</v>
      </c>
      <c r="H553" s="1">
        <v>435.02768211886666</v>
      </c>
      <c r="I553" s="1">
        <v>-1</v>
      </c>
      <c r="J553" s="1">
        <v>184.95094744770824</v>
      </c>
      <c r="K553" s="1">
        <v>1</v>
      </c>
      <c r="L553" s="1">
        <v>16</v>
      </c>
      <c r="M553" s="18">
        <v>40</v>
      </c>
      <c r="N553" s="1">
        <v>16</v>
      </c>
      <c r="O553" s="1">
        <v>0</v>
      </c>
      <c r="P553" s="1">
        <v>0</v>
      </c>
      <c r="Q553" s="1">
        <v>0</v>
      </c>
    </row>
    <row r="554" spans="2:17" ht="15.45" x14ac:dyDescent="0.4">
      <c r="B554" s="1">
        <v>29</v>
      </c>
      <c r="C554" s="1">
        <v>211.50525005586016</v>
      </c>
      <c r="D554" s="1">
        <v>1</v>
      </c>
      <c r="E554" s="1">
        <v>745.47603785962383</v>
      </c>
      <c r="F554" s="1">
        <v>-1</v>
      </c>
      <c r="G554" s="1">
        <v>29</v>
      </c>
      <c r="H554" s="1">
        <v>109.23553437682619</v>
      </c>
      <c r="I554" s="1">
        <v>1</v>
      </c>
      <c r="J554" s="1">
        <v>188.12352388399225</v>
      </c>
      <c r="K554" s="1">
        <v>1</v>
      </c>
      <c r="L554" s="1">
        <v>17</v>
      </c>
      <c r="M554" s="18">
        <v>40</v>
      </c>
      <c r="N554" s="1">
        <v>17</v>
      </c>
      <c r="O554" s="1">
        <v>0</v>
      </c>
      <c r="P554" s="1">
        <v>0</v>
      </c>
      <c r="Q554" s="1">
        <v>0</v>
      </c>
    </row>
    <row r="555" spans="2:17" ht="15.45" x14ac:dyDescent="0.4">
      <c r="B555" s="1">
        <v>30</v>
      </c>
      <c r="C555" s="1">
        <v>213.01239577366141</v>
      </c>
      <c r="D555" s="1">
        <v>1</v>
      </c>
      <c r="E555" s="1">
        <v>762.38843676652925</v>
      </c>
      <c r="F555" s="1">
        <v>-1</v>
      </c>
      <c r="G555" s="1">
        <v>30</v>
      </c>
      <c r="H555" s="1">
        <v>444.84102620149167</v>
      </c>
      <c r="I555" s="1">
        <v>-1</v>
      </c>
      <c r="J555" s="1">
        <v>190.83221335010813</v>
      </c>
      <c r="K555" s="1">
        <v>1</v>
      </c>
      <c r="L555" s="1">
        <v>18</v>
      </c>
      <c r="M555" s="18">
        <v>40</v>
      </c>
      <c r="N555" s="1">
        <v>18</v>
      </c>
      <c r="O555" s="1">
        <v>0</v>
      </c>
      <c r="P555" s="1">
        <v>0</v>
      </c>
      <c r="Q555" s="1">
        <v>0</v>
      </c>
    </row>
    <row r="556" spans="2:17" ht="15.45" x14ac:dyDescent="0.4">
      <c r="B556" s="1">
        <v>31</v>
      </c>
      <c r="C556" s="1">
        <v>214.33370694607879</v>
      </c>
      <c r="D556" s="1">
        <v>1</v>
      </c>
      <c r="E556" s="1">
        <v>811.04964859186532</v>
      </c>
      <c r="F556" s="1">
        <v>-1</v>
      </c>
      <c r="G556" s="1">
        <v>31</v>
      </c>
      <c r="H556" s="1">
        <v>112.82992374032519</v>
      </c>
      <c r="I556" s="1">
        <v>1</v>
      </c>
      <c r="J556" s="1">
        <v>194.99504713856189</v>
      </c>
      <c r="K556" s="1">
        <v>1</v>
      </c>
      <c r="L556" s="1">
        <v>19</v>
      </c>
      <c r="M556" s="18">
        <v>40</v>
      </c>
      <c r="N556" s="1">
        <v>19</v>
      </c>
      <c r="O556" s="1">
        <v>0</v>
      </c>
      <c r="P556" s="1">
        <v>0</v>
      </c>
      <c r="Q556" s="1">
        <v>0</v>
      </c>
    </row>
    <row r="557" spans="2:17" ht="15.45" x14ac:dyDescent="0.4">
      <c r="B557" s="1">
        <v>32</v>
      </c>
      <c r="C557" s="1">
        <v>220.42226577762463</v>
      </c>
      <c r="D557" s="1">
        <v>1</v>
      </c>
      <c r="E557" s="1">
        <v>896.90678741967611</v>
      </c>
      <c r="F557" s="1">
        <v>-1</v>
      </c>
      <c r="G557" s="1">
        <v>32</v>
      </c>
      <c r="H557" s="1">
        <v>465.50500869814334</v>
      </c>
      <c r="I557" s="1">
        <v>-1</v>
      </c>
      <c r="J557" s="1">
        <v>195.26584983866132</v>
      </c>
      <c r="K557" s="1">
        <v>1</v>
      </c>
      <c r="L557" s="1">
        <v>20</v>
      </c>
      <c r="M557" s="18">
        <v>40</v>
      </c>
      <c r="N557" s="1">
        <v>20</v>
      </c>
      <c r="O557" s="1">
        <v>0</v>
      </c>
      <c r="P557" s="1">
        <v>0</v>
      </c>
      <c r="Q557" s="1">
        <v>0</v>
      </c>
    </row>
    <row r="558" spans="2:17" ht="15.45" x14ac:dyDescent="0.4">
      <c r="B558" s="1">
        <v>33</v>
      </c>
      <c r="C558" s="1">
        <v>223.28344295239856</v>
      </c>
      <c r="D558" s="1">
        <v>1</v>
      </c>
      <c r="E558" s="1">
        <v>939.45289173467211</v>
      </c>
      <c r="F558" s="1">
        <v>-1</v>
      </c>
      <c r="G558" s="1">
        <v>33</v>
      </c>
      <c r="H558" s="1">
        <v>118.46739004262697</v>
      </c>
      <c r="I558" s="1">
        <v>1</v>
      </c>
      <c r="J558" s="1">
        <v>197.13512678848963</v>
      </c>
      <c r="K558" s="1">
        <v>1</v>
      </c>
      <c r="L558" s="1">
        <v>21</v>
      </c>
      <c r="M558" s="18">
        <v>40</v>
      </c>
      <c r="N558" s="1">
        <v>21</v>
      </c>
      <c r="O558" s="1">
        <v>0</v>
      </c>
      <c r="P558" s="1">
        <v>0</v>
      </c>
      <c r="Q558" s="1">
        <v>0</v>
      </c>
    </row>
    <row r="559" spans="2:17" ht="15.45" x14ac:dyDescent="0.4">
      <c r="B559" s="1">
        <v>34</v>
      </c>
      <c r="C559" s="1">
        <v>226.9401194964033</v>
      </c>
      <c r="D559" s="1">
        <v>1</v>
      </c>
      <c r="E559" s="1">
        <v>952.79175268917425</v>
      </c>
      <c r="F559" s="1">
        <v>-1</v>
      </c>
      <c r="G559" s="1">
        <v>34</v>
      </c>
      <c r="H559" s="1">
        <v>494.06344580107975</v>
      </c>
      <c r="I559" s="1">
        <v>-1</v>
      </c>
      <c r="J559" s="1">
        <v>200.9986606540254</v>
      </c>
      <c r="K559" s="1">
        <v>1</v>
      </c>
      <c r="L559" s="1">
        <v>22</v>
      </c>
      <c r="M559" s="18">
        <v>40</v>
      </c>
      <c r="N559" s="1">
        <v>22</v>
      </c>
      <c r="O559" s="1">
        <v>0</v>
      </c>
      <c r="P559" s="1">
        <v>0</v>
      </c>
      <c r="Q559" s="1">
        <v>0</v>
      </c>
    </row>
    <row r="560" spans="2:17" ht="15.45" x14ac:dyDescent="0.4">
      <c r="B560" s="1">
        <v>35</v>
      </c>
      <c r="C560" s="1">
        <v>228.36313695176304</v>
      </c>
      <c r="D560" s="1">
        <v>1</v>
      </c>
      <c r="E560" s="1">
        <v>961.83910898177317</v>
      </c>
      <c r="F560" s="1">
        <v>-1</v>
      </c>
      <c r="G560" s="1">
        <v>35</v>
      </c>
      <c r="H560" s="1">
        <v>134.68779398440566</v>
      </c>
      <c r="I560" s="1">
        <v>1</v>
      </c>
      <c r="J560" s="1">
        <v>211.50525005586016</v>
      </c>
      <c r="K560" s="1">
        <v>1</v>
      </c>
      <c r="L560" s="1">
        <v>23</v>
      </c>
      <c r="M560" s="18">
        <v>40</v>
      </c>
      <c r="N560" s="1">
        <v>23</v>
      </c>
      <c r="O560" s="1">
        <v>0</v>
      </c>
      <c r="P560" s="1">
        <v>0</v>
      </c>
      <c r="Q560" s="1">
        <v>0</v>
      </c>
    </row>
    <row r="561" spans="2:17" ht="15.45" x14ac:dyDescent="0.4">
      <c r="B561" s="1">
        <v>36</v>
      </c>
      <c r="C561" s="1">
        <v>238.56832512767508</v>
      </c>
      <c r="D561" s="1">
        <v>1</v>
      </c>
      <c r="E561" s="1">
        <v>971.35683829062521</v>
      </c>
      <c r="F561" s="1">
        <v>-1</v>
      </c>
      <c r="G561" s="1">
        <v>36</v>
      </c>
      <c r="H561" s="1">
        <v>517.21454518639212</v>
      </c>
      <c r="I561" s="1">
        <v>-1</v>
      </c>
      <c r="J561" s="1">
        <v>213.01239577366141</v>
      </c>
      <c r="K561" s="1">
        <v>1</v>
      </c>
      <c r="L561" s="1">
        <v>24</v>
      </c>
      <c r="M561" s="18">
        <v>40</v>
      </c>
      <c r="N561" s="1">
        <v>24</v>
      </c>
      <c r="O561" s="1">
        <v>0</v>
      </c>
      <c r="P561" s="1">
        <v>0</v>
      </c>
      <c r="Q561" s="1">
        <v>0</v>
      </c>
    </row>
    <row r="562" spans="2:17" ht="15.45" x14ac:dyDescent="0.4">
      <c r="B562" s="1">
        <v>37</v>
      </c>
      <c r="C562" s="1">
        <v>240.49090974713167</v>
      </c>
      <c r="D562" s="1">
        <v>1</v>
      </c>
      <c r="E562" s="1">
        <v>979.48290668897289</v>
      </c>
      <c r="F562" s="1">
        <v>-1</v>
      </c>
      <c r="G562" s="1">
        <v>37</v>
      </c>
      <c r="H562" s="1">
        <v>163.30684026034257</v>
      </c>
      <c r="I562" s="1">
        <v>1</v>
      </c>
      <c r="J562" s="1">
        <v>214.33370694607879</v>
      </c>
      <c r="K562" s="1">
        <v>1</v>
      </c>
      <c r="L562" s="1">
        <v>25</v>
      </c>
      <c r="M562" s="18">
        <v>40</v>
      </c>
      <c r="N562" s="1">
        <v>25</v>
      </c>
      <c r="O562" s="1">
        <v>0</v>
      </c>
      <c r="P562" s="1">
        <v>0</v>
      </c>
      <c r="Q562" s="1">
        <v>0</v>
      </c>
    </row>
    <row r="563" spans="2:17" ht="15.45" x14ac:dyDescent="0.4">
      <c r="B563" s="1">
        <v>38</v>
      </c>
      <c r="C563" s="1">
        <v>255.91233573030442</v>
      </c>
      <c r="D563" s="1">
        <v>1</v>
      </c>
      <c r="E563" s="1">
        <v>991.97140805433412</v>
      </c>
      <c r="F563" s="1">
        <v>-1</v>
      </c>
      <c r="G563" s="1">
        <v>38</v>
      </c>
      <c r="H563" s="1">
        <v>560.24739811919858</v>
      </c>
      <c r="I563" s="1">
        <v>-1</v>
      </c>
      <c r="J563" s="1">
        <v>220.42226577762463</v>
      </c>
      <c r="K563" s="1">
        <v>1</v>
      </c>
      <c r="L563" s="1">
        <v>26</v>
      </c>
      <c r="M563" s="18">
        <v>40</v>
      </c>
      <c r="N563" s="1">
        <v>26</v>
      </c>
      <c r="O563" s="1">
        <v>0</v>
      </c>
      <c r="P563" s="1">
        <v>0</v>
      </c>
      <c r="Q563" s="1">
        <v>0</v>
      </c>
    </row>
    <row r="564" spans="2:17" ht="15.45" x14ac:dyDescent="0.4">
      <c r="B564" s="1">
        <v>39</v>
      </c>
      <c r="C564" s="1">
        <v>269.67699497497654</v>
      </c>
      <c r="D564" s="1">
        <v>1</v>
      </c>
      <c r="E564" s="1">
        <v>992.78381615463252</v>
      </c>
      <c r="F564" s="1">
        <v>-1</v>
      </c>
      <c r="G564" s="1">
        <v>39</v>
      </c>
      <c r="H564" s="1">
        <v>177.48887503200791</v>
      </c>
      <c r="I564" s="1">
        <v>1</v>
      </c>
      <c r="J564" s="1">
        <v>223.28344295239856</v>
      </c>
      <c r="K564" s="1">
        <v>1</v>
      </c>
      <c r="L564" s="1">
        <v>27</v>
      </c>
      <c r="M564" s="18">
        <v>40</v>
      </c>
      <c r="N564" s="1">
        <v>27</v>
      </c>
      <c r="O564" s="1">
        <v>0</v>
      </c>
      <c r="P564" s="1">
        <v>0</v>
      </c>
      <c r="Q564" s="1">
        <v>0</v>
      </c>
    </row>
    <row r="565" spans="2:17" ht="15.45" x14ac:dyDescent="0.4">
      <c r="B565" s="1">
        <v>40</v>
      </c>
      <c r="C565" s="1">
        <v>274.66764576505113</v>
      </c>
      <c r="D565" s="1">
        <v>1</v>
      </c>
      <c r="E565" s="1">
        <v>998.39164700411743</v>
      </c>
      <c r="F565" s="1">
        <v>-1</v>
      </c>
      <c r="G565" s="1">
        <v>40</v>
      </c>
      <c r="H565" s="1">
        <v>562.03011499555907</v>
      </c>
      <c r="I565" s="1">
        <v>-1</v>
      </c>
      <c r="J565" s="1">
        <v>226.9401194964033</v>
      </c>
      <c r="K565" s="1">
        <v>1</v>
      </c>
      <c r="L565" s="1">
        <v>28</v>
      </c>
      <c r="M565" s="18">
        <v>40</v>
      </c>
      <c r="N565" s="1">
        <v>28</v>
      </c>
      <c r="O565" s="1">
        <v>0</v>
      </c>
      <c r="P565" s="1">
        <v>0</v>
      </c>
      <c r="Q565" s="1">
        <v>0</v>
      </c>
    </row>
    <row r="566" spans="2:17" ht="15.45" x14ac:dyDescent="0.4">
      <c r="B566" s="1">
        <v>41</v>
      </c>
      <c r="C566" s="1">
        <v>276.36378799601283</v>
      </c>
      <c r="D566" s="1">
        <v>1</v>
      </c>
      <c r="E566" s="1">
        <v>1009.9822486007247</v>
      </c>
      <c r="F566" s="1">
        <v>-1</v>
      </c>
      <c r="G566" s="1">
        <v>41</v>
      </c>
      <c r="H566" s="1">
        <v>181.93516201684196</v>
      </c>
      <c r="I566" s="1">
        <v>1</v>
      </c>
      <c r="J566" s="1">
        <v>228.36313695176304</v>
      </c>
      <c r="K566" s="1">
        <v>1</v>
      </c>
      <c r="L566" s="1">
        <v>29</v>
      </c>
      <c r="M566" s="18">
        <v>40</v>
      </c>
      <c r="N566" s="1">
        <v>29</v>
      </c>
      <c r="O566" s="1">
        <v>0</v>
      </c>
      <c r="P566" s="1">
        <v>0</v>
      </c>
      <c r="Q566" s="1">
        <v>0</v>
      </c>
    </row>
    <row r="567" spans="2:17" ht="15.45" x14ac:dyDescent="0.4">
      <c r="B567" s="1">
        <v>42</v>
      </c>
      <c r="C567" s="1">
        <v>284.91441628006942</v>
      </c>
      <c r="D567" s="1">
        <v>1</v>
      </c>
      <c r="E567" s="1">
        <v>1041.502016806229</v>
      </c>
      <c r="F567" s="1">
        <v>-1</v>
      </c>
      <c r="G567" s="1">
        <v>42</v>
      </c>
      <c r="H567" s="1">
        <v>575.70067980224087</v>
      </c>
      <c r="I567" s="1">
        <v>-1</v>
      </c>
      <c r="J567" s="1">
        <v>238.56832512767508</v>
      </c>
      <c r="K567" s="1">
        <v>1</v>
      </c>
      <c r="L567" s="1">
        <v>30</v>
      </c>
      <c r="M567" s="18">
        <v>40</v>
      </c>
      <c r="N567" s="1">
        <v>30</v>
      </c>
      <c r="O567" s="1">
        <v>0</v>
      </c>
      <c r="P567" s="1">
        <v>0</v>
      </c>
      <c r="Q567" s="1">
        <v>0</v>
      </c>
    </row>
    <row r="568" spans="2:17" ht="15.45" x14ac:dyDescent="0.4">
      <c r="B568" s="1">
        <v>43</v>
      </c>
      <c r="C568" s="1">
        <v>289.72063385628007</v>
      </c>
      <c r="D568" s="1">
        <v>1</v>
      </c>
      <c r="E568" s="1">
        <v>1046.0234539596327</v>
      </c>
      <c r="F568" s="1">
        <v>-1</v>
      </c>
      <c r="G568" s="1">
        <v>43</v>
      </c>
      <c r="H568" s="1">
        <v>184.95094744770824</v>
      </c>
      <c r="I568" s="1">
        <v>1</v>
      </c>
      <c r="J568" s="1">
        <v>240.49090974713167</v>
      </c>
      <c r="K568" s="1">
        <v>1</v>
      </c>
      <c r="L568" s="1">
        <v>31</v>
      </c>
      <c r="M568" s="18">
        <v>40</v>
      </c>
      <c r="N568" s="1">
        <v>31</v>
      </c>
      <c r="O568" s="1">
        <v>0</v>
      </c>
      <c r="P568" s="1">
        <v>0</v>
      </c>
      <c r="Q568" s="1">
        <v>0</v>
      </c>
    </row>
    <row r="569" spans="2:17" ht="15.45" x14ac:dyDescent="0.4">
      <c r="B569" s="1">
        <v>44</v>
      </c>
      <c r="C569" s="1">
        <v>291.83947887502666</v>
      </c>
      <c r="D569" s="1">
        <v>1</v>
      </c>
      <c r="E569" s="1">
        <v>1049.9873874768848</v>
      </c>
      <c r="F569" s="1">
        <v>-1</v>
      </c>
      <c r="G569" s="1">
        <v>44</v>
      </c>
      <c r="H569" s="1">
        <v>597.71527396035708</v>
      </c>
      <c r="I569" s="1">
        <v>-1</v>
      </c>
      <c r="J569" s="1">
        <v>255.91233573030442</v>
      </c>
      <c r="K569" s="1">
        <v>1</v>
      </c>
      <c r="L569" s="1">
        <v>32</v>
      </c>
      <c r="M569" s="18">
        <v>40</v>
      </c>
      <c r="N569" s="1">
        <v>32</v>
      </c>
      <c r="O569" s="1">
        <v>0</v>
      </c>
      <c r="P569" s="1">
        <v>0</v>
      </c>
      <c r="Q569" s="1">
        <v>0</v>
      </c>
    </row>
    <row r="570" spans="2:17" ht="15.45" x14ac:dyDescent="0.4">
      <c r="B570" s="1">
        <v>45</v>
      </c>
      <c r="C570" s="1">
        <v>298.29480243301521</v>
      </c>
      <c r="D570" s="1">
        <v>1</v>
      </c>
      <c r="E570" s="1">
        <v>1068.2530639715224</v>
      </c>
      <c r="F570" s="1">
        <v>-1</v>
      </c>
      <c r="G570" s="1">
        <v>45</v>
      </c>
      <c r="H570" s="1">
        <v>188.12352388399225</v>
      </c>
      <c r="I570" s="1">
        <v>1</v>
      </c>
      <c r="J570" s="1">
        <v>269.67699497497654</v>
      </c>
      <c r="K570" s="1">
        <v>1</v>
      </c>
      <c r="L570" s="1">
        <v>33</v>
      </c>
      <c r="M570" s="18">
        <v>40</v>
      </c>
      <c r="N570" s="1">
        <v>33</v>
      </c>
      <c r="O570" s="1">
        <v>0</v>
      </c>
      <c r="P570" s="1">
        <v>0</v>
      </c>
      <c r="Q570" s="1">
        <v>0</v>
      </c>
    </row>
    <row r="571" spans="2:17" ht="15.45" x14ac:dyDescent="0.4">
      <c r="B571" s="1">
        <v>46</v>
      </c>
      <c r="C571" s="1">
        <v>309.63259408436744</v>
      </c>
      <c r="D571" s="1">
        <v>1</v>
      </c>
      <c r="E571" s="1">
        <v>1076.8365954958442</v>
      </c>
      <c r="F571" s="1">
        <v>-1</v>
      </c>
      <c r="G571" s="1">
        <v>46</v>
      </c>
      <c r="H571" s="1">
        <v>621.58718884050359</v>
      </c>
      <c r="I571" s="1">
        <v>-1</v>
      </c>
      <c r="J571" s="1">
        <v>274.66764576505113</v>
      </c>
      <c r="K571" s="1">
        <v>1</v>
      </c>
      <c r="L571" s="1">
        <v>34</v>
      </c>
      <c r="M571" s="18">
        <v>40</v>
      </c>
      <c r="N571" s="1">
        <v>34</v>
      </c>
      <c r="O571" s="1">
        <v>0</v>
      </c>
      <c r="P571" s="1">
        <v>0</v>
      </c>
      <c r="Q571" s="1">
        <v>0</v>
      </c>
    </row>
    <row r="572" spans="2:17" ht="15.45" x14ac:dyDescent="0.4">
      <c r="B572" s="1">
        <v>47</v>
      </c>
      <c r="C572" s="1">
        <v>313.73024587613713</v>
      </c>
      <c r="D572" s="1">
        <v>1</v>
      </c>
      <c r="E572" s="1">
        <v>1087.8066251278585</v>
      </c>
      <c r="F572" s="1">
        <v>-1</v>
      </c>
      <c r="G572" s="1">
        <v>47</v>
      </c>
      <c r="H572" s="1">
        <v>190.83221335010813</v>
      </c>
      <c r="I572" s="1">
        <v>1</v>
      </c>
      <c r="J572" s="1">
        <v>276.36378799601283</v>
      </c>
      <c r="K572" s="1">
        <v>1</v>
      </c>
      <c r="L572" s="1">
        <v>35</v>
      </c>
      <c r="M572" s="18">
        <v>40</v>
      </c>
      <c r="N572" s="1">
        <v>35</v>
      </c>
      <c r="O572" s="1">
        <v>0</v>
      </c>
      <c r="P572" s="1">
        <v>0</v>
      </c>
      <c r="Q572" s="1">
        <v>0</v>
      </c>
    </row>
    <row r="573" spans="2:17" ht="15.45" x14ac:dyDescent="0.4">
      <c r="B573" s="1">
        <v>48</v>
      </c>
      <c r="C573" s="1">
        <v>317.7217856176174</v>
      </c>
      <c r="D573" s="1">
        <v>1</v>
      </c>
      <c r="E573" s="1">
        <v>1092.0756774939377</v>
      </c>
      <c r="F573" s="1">
        <v>-1</v>
      </c>
      <c r="G573" s="1">
        <v>48</v>
      </c>
      <c r="H573" s="1">
        <v>660.94603716771394</v>
      </c>
      <c r="I573" s="1">
        <v>-1</v>
      </c>
      <c r="J573" s="1">
        <v>284.91441628006942</v>
      </c>
      <c r="K573" s="1">
        <v>1</v>
      </c>
      <c r="L573" s="1">
        <v>36</v>
      </c>
      <c r="M573" s="18">
        <v>40</v>
      </c>
      <c r="N573" s="1">
        <v>36</v>
      </c>
      <c r="O573" s="1">
        <v>0</v>
      </c>
      <c r="P573" s="1">
        <v>0</v>
      </c>
      <c r="Q573" s="1">
        <v>0</v>
      </c>
    </row>
    <row r="574" spans="2:17" ht="15.45" x14ac:dyDescent="0.4">
      <c r="B574" s="1">
        <v>49</v>
      </c>
      <c r="C574" s="1">
        <v>318.36354156840935</v>
      </c>
      <c r="D574" s="1">
        <v>1</v>
      </c>
      <c r="E574" s="1">
        <v>1122.6912420216738</v>
      </c>
      <c r="F574" s="1">
        <v>-1</v>
      </c>
      <c r="G574" s="1">
        <v>49</v>
      </c>
      <c r="H574" s="1">
        <v>194.99504713856189</v>
      </c>
      <c r="I574" s="1">
        <v>1</v>
      </c>
      <c r="J574" s="1">
        <v>289.72063385628007</v>
      </c>
      <c r="K574" s="1">
        <v>1</v>
      </c>
      <c r="L574" s="1">
        <v>37</v>
      </c>
      <c r="M574" s="18">
        <v>40</v>
      </c>
      <c r="N574" s="1">
        <v>37</v>
      </c>
      <c r="O574" s="1">
        <v>0</v>
      </c>
      <c r="P574" s="1">
        <v>0</v>
      </c>
      <c r="Q574" s="1">
        <v>0</v>
      </c>
    </row>
    <row r="575" spans="2:17" ht="15.45" x14ac:dyDescent="0.4">
      <c r="B575" s="1">
        <v>50</v>
      </c>
      <c r="C575" s="1">
        <v>319.03584068240417</v>
      </c>
      <c r="D575" s="1">
        <v>1</v>
      </c>
      <c r="E575" s="1">
        <v>1128.4589958800436</v>
      </c>
      <c r="F575" s="1">
        <v>-1</v>
      </c>
      <c r="G575" s="1">
        <v>50</v>
      </c>
      <c r="H575" s="1">
        <v>666.29315360788098</v>
      </c>
      <c r="I575" s="1">
        <v>-1</v>
      </c>
      <c r="J575" s="1">
        <v>291.83947887502666</v>
      </c>
      <c r="K575" s="1">
        <v>1</v>
      </c>
      <c r="L575" s="1">
        <v>38</v>
      </c>
      <c r="M575" s="18">
        <v>40</v>
      </c>
      <c r="N575" s="1">
        <v>38</v>
      </c>
      <c r="O575" s="1">
        <v>0</v>
      </c>
      <c r="P575" s="1">
        <v>0</v>
      </c>
      <c r="Q575" s="1">
        <v>0</v>
      </c>
    </row>
    <row r="576" spans="2:17" ht="15.45" x14ac:dyDescent="0.4">
      <c r="B576" s="1">
        <v>51</v>
      </c>
      <c r="C576" s="1">
        <v>328.73037631956151</v>
      </c>
      <c r="D576" s="1">
        <v>1</v>
      </c>
      <c r="E576" s="1">
        <v>1174.723273829562</v>
      </c>
      <c r="F576" s="1">
        <v>-1</v>
      </c>
      <c r="G576" s="1">
        <v>51</v>
      </c>
      <c r="H576" s="1">
        <v>195.26584983866132</v>
      </c>
      <c r="I576" s="1">
        <v>1</v>
      </c>
      <c r="J576" s="1">
        <v>298.29480243301521</v>
      </c>
      <c r="K576" s="1">
        <v>1</v>
      </c>
      <c r="L576" s="1">
        <v>39</v>
      </c>
      <c r="M576" s="18">
        <v>40</v>
      </c>
      <c r="N576" s="1">
        <v>39</v>
      </c>
      <c r="O576" s="1">
        <v>0</v>
      </c>
      <c r="P576" s="1">
        <v>0</v>
      </c>
      <c r="Q576" s="1">
        <v>0</v>
      </c>
    </row>
    <row r="577" spans="2:17" ht="15.45" x14ac:dyDescent="0.4">
      <c r="B577" s="1">
        <v>52</v>
      </c>
      <c r="C577" s="1">
        <v>343.9731691262059</v>
      </c>
      <c r="D577" s="1">
        <v>1</v>
      </c>
      <c r="E577" s="1">
        <v>1216.0172515635784</v>
      </c>
      <c r="F577" s="1">
        <v>-1</v>
      </c>
      <c r="G577" s="1">
        <v>52</v>
      </c>
      <c r="H577" s="1">
        <v>667.93392912696231</v>
      </c>
      <c r="I577" s="1">
        <v>-1</v>
      </c>
      <c r="J577" s="1">
        <v>309.63259408436744</v>
      </c>
      <c r="K577" s="1">
        <v>1</v>
      </c>
      <c r="L577" s="1">
        <v>40</v>
      </c>
      <c r="M577" s="18">
        <v>40</v>
      </c>
      <c r="N577" s="1">
        <v>40</v>
      </c>
      <c r="O577" s="1">
        <v>0</v>
      </c>
      <c r="P577" s="1">
        <v>0</v>
      </c>
      <c r="Q577" s="1">
        <v>0</v>
      </c>
    </row>
    <row r="578" spans="2:17" ht="15.45" x14ac:dyDescent="0.4">
      <c r="B578" s="1">
        <v>53</v>
      </c>
      <c r="C578" s="1">
        <v>393.10531801686034</v>
      </c>
      <c r="D578" s="1">
        <v>1</v>
      </c>
      <c r="E578" s="1">
        <v>1230.9892039338022</v>
      </c>
      <c r="F578" s="1">
        <v>-1</v>
      </c>
      <c r="G578" s="1">
        <v>53</v>
      </c>
      <c r="H578" s="1">
        <v>197.13512678848963</v>
      </c>
      <c r="I578" s="1">
        <v>1</v>
      </c>
      <c r="J578" s="1">
        <v>313.73024587613713</v>
      </c>
      <c r="K578" s="1">
        <v>1</v>
      </c>
      <c r="L578" s="1">
        <v>41</v>
      </c>
      <c r="M578" s="18">
        <v>40</v>
      </c>
      <c r="N578" s="1">
        <v>40</v>
      </c>
      <c r="O578" s="1">
        <v>1</v>
      </c>
      <c r="P578" s="1">
        <v>47</v>
      </c>
      <c r="Q578" s="1">
        <v>0</v>
      </c>
    </row>
    <row r="579" spans="2:17" ht="15.45" x14ac:dyDescent="0.4">
      <c r="B579" s="1">
        <v>54</v>
      </c>
      <c r="C579" s="1">
        <v>401.4635618937092</v>
      </c>
      <c r="D579" s="1">
        <v>1</v>
      </c>
      <c r="E579" s="1">
        <v>1236.0776306266873</v>
      </c>
      <c r="F579" s="1">
        <v>-1</v>
      </c>
      <c r="G579" s="1">
        <v>54</v>
      </c>
      <c r="H579" s="1">
        <v>699.67678667697135</v>
      </c>
      <c r="I579" s="1">
        <v>-1</v>
      </c>
      <c r="J579" s="1">
        <v>317.7217856176174</v>
      </c>
      <c r="K579" s="1">
        <v>1</v>
      </c>
      <c r="L579" s="1">
        <v>42</v>
      </c>
      <c r="M579" s="18">
        <v>40</v>
      </c>
      <c r="N579" s="1">
        <v>40</v>
      </c>
      <c r="O579" s="1">
        <v>1</v>
      </c>
      <c r="P579" s="1">
        <v>48</v>
      </c>
      <c r="Q579" s="1">
        <v>0</v>
      </c>
    </row>
    <row r="580" spans="2:17" ht="15.45" x14ac:dyDescent="0.4">
      <c r="B580" s="1">
        <v>55</v>
      </c>
      <c r="C580" s="1">
        <v>427.80447356449821</v>
      </c>
      <c r="D580" s="1">
        <v>1</v>
      </c>
      <c r="E580" s="1">
        <v>1261.7295154788569</v>
      </c>
      <c r="F580" s="1">
        <v>-1</v>
      </c>
      <c r="G580" s="1">
        <v>55</v>
      </c>
      <c r="H580" s="1">
        <v>200.9986606540254</v>
      </c>
      <c r="I580" s="1">
        <v>1</v>
      </c>
      <c r="J580" s="1">
        <v>318.36354156840935</v>
      </c>
      <c r="K580" s="1">
        <v>1</v>
      </c>
      <c r="L580" s="1">
        <v>43</v>
      </c>
      <c r="M580" s="18">
        <v>40</v>
      </c>
      <c r="N580" s="1">
        <v>40</v>
      </c>
      <c r="O580" s="1">
        <v>1</v>
      </c>
      <c r="P580" s="1">
        <v>49</v>
      </c>
      <c r="Q580" s="1">
        <v>0</v>
      </c>
    </row>
    <row r="581" spans="2:17" ht="15.45" x14ac:dyDescent="0.4">
      <c r="B581" s="1">
        <v>56</v>
      </c>
      <c r="C581" s="1">
        <v>435.67017268946654</v>
      </c>
      <c r="D581" s="1">
        <v>1</v>
      </c>
      <c r="E581" s="1">
        <v>1276.1481682074889</v>
      </c>
      <c r="F581" s="1">
        <v>-1</v>
      </c>
      <c r="G581" s="1">
        <v>56</v>
      </c>
      <c r="H581" s="1">
        <v>734.6928697691269</v>
      </c>
      <c r="I581" s="1">
        <v>-1</v>
      </c>
      <c r="J581" s="1">
        <v>319.03584068240417</v>
      </c>
      <c r="K581" s="1">
        <v>1</v>
      </c>
      <c r="L581" s="1">
        <v>44</v>
      </c>
      <c r="M581" s="18">
        <v>40</v>
      </c>
      <c r="N581" s="1">
        <v>40</v>
      </c>
      <c r="O581" s="1">
        <v>1</v>
      </c>
      <c r="P581" s="1">
        <v>50</v>
      </c>
      <c r="Q581" s="1">
        <v>0</v>
      </c>
    </row>
    <row r="582" spans="2:17" ht="15.45" x14ac:dyDescent="0.4">
      <c r="B582" s="1">
        <v>57</v>
      </c>
      <c r="C582" s="1">
        <v>474.88326620979734</v>
      </c>
      <c r="D582" s="1">
        <v>1</v>
      </c>
      <c r="E582" s="1">
        <v>1282.5047032637287</v>
      </c>
      <c r="F582" s="1">
        <v>-1</v>
      </c>
      <c r="G582" s="1">
        <v>57</v>
      </c>
      <c r="H582" s="1">
        <v>211.50525005586016</v>
      </c>
      <c r="I582" s="1">
        <v>1</v>
      </c>
      <c r="J582" s="1">
        <v>328.73037631956151</v>
      </c>
      <c r="K582" s="1">
        <v>1</v>
      </c>
      <c r="L582" s="1">
        <v>45</v>
      </c>
      <c r="M582" s="18">
        <v>40</v>
      </c>
      <c r="N582" s="1">
        <v>40</v>
      </c>
      <c r="O582" s="1">
        <v>1</v>
      </c>
      <c r="P582" s="1">
        <v>51</v>
      </c>
      <c r="Q582" s="1">
        <v>0</v>
      </c>
    </row>
    <row r="583" spans="2:17" ht="15.45" x14ac:dyDescent="0.4">
      <c r="B583" s="1">
        <v>58</v>
      </c>
      <c r="C583" s="1">
        <v>479.08805318722955</v>
      </c>
      <c r="D583" s="1">
        <v>1</v>
      </c>
      <c r="E583" s="1">
        <v>1301.8706739376944</v>
      </c>
      <c r="F583" s="1">
        <v>-1</v>
      </c>
      <c r="G583" s="1">
        <v>58</v>
      </c>
      <c r="H583" s="1">
        <v>745.47603785962383</v>
      </c>
      <c r="I583" s="1">
        <v>-1</v>
      </c>
      <c r="J583" s="1">
        <v>343.9731691262059</v>
      </c>
      <c r="K583" s="1">
        <v>1</v>
      </c>
      <c r="L583" s="1">
        <v>46</v>
      </c>
      <c r="M583" s="18">
        <v>40</v>
      </c>
      <c r="N583" s="1">
        <v>40</v>
      </c>
      <c r="O583" s="1">
        <v>1</v>
      </c>
      <c r="P583" s="1">
        <v>52</v>
      </c>
      <c r="Q583" s="1">
        <v>0</v>
      </c>
    </row>
    <row r="584" spans="2:17" ht="15.45" x14ac:dyDescent="0.4">
      <c r="B584" s="1">
        <v>59</v>
      </c>
      <c r="C584" s="1">
        <v>487.89789216955575</v>
      </c>
      <c r="D584" s="1">
        <v>1</v>
      </c>
      <c r="E584" s="1">
        <v>1335.884048891751</v>
      </c>
      <c r="F584" s="1">
        <v>-1</v>
      </c>
      <c r="G584" s="1">
        <v>59</v>
      </c>
      <c r="H584" s="1">
        <v>213.01239577366141</v>
      </c>
      <c r="I584" s="1">
        <v>1</v>
      </c>
      <c r="J584" s="1">
        <v>347.36904844549679</v>
      </c>
      <c r="K584" s="1">
        <v>-1</v>
      </c>
      <c r="L584" s="1">
        <v>45</v>
      </c>
      <c r="M584" s="18">
        <v>40</v>
      </c>
      <c r="N584" s="1">
        <v>39</v>
      </c>
      <c r="O584" s="1">
        <v>0</v>
      </c>
      <c r="P584" s="1">
        <v>0</v>
      </c>
      <c r="Q584" s="1">
        <v>0</v>
      </c>
    </row>
    <row r="585" spans="2:17" ht="15.45" x14ac:dyDescent="0.4">
      <c r="B585" s="1">
        <v>60</v>
      </c>
      <c r="C585" s="1">
        <v>492.16849476187707</v>
      </c>
      <c r="D585" s="1">
        <v>1</v>
      </c>
      <c r="E585" s="1">
        <v>1348.1770042670603</v>
      </c>
      <c r="F585" s="1">
        <v>-1</v>
      </c>
      <c r="G585" s="1">
        <v>60</v>
      </c>
      <c r="H585" s="1">
        <v>762.38843676652925</v>
      </c>
      <c r="I585" s="1">
        <v>-1</v>
      </c>
      <c r="J585" s="1">
        <v>370.25118642065956</v>
      </c>
      <c r="K585" s="1">
        <v>-1</v>
      </c>
      <c r="L585" s="1">
        <v>44</v>
      </c>
      <c r="M585" s="18">
        <v>40</v>
      </c>
      <c r="N585" s="1">
        <v>38</v>
      </c>
      <c r="O585" s="1">
        <v>0</v>
      </c>
      <c r="P585" s="1">
        <v>0</v>
      </c>
      <c r="Q585" s="1">
        <v>0</v>
      </c>
    </row>
    <row r="586" spans="2:17" ht="15.45" x14ac:dyDescent="0.4">
      <c r="B586" s="1">
        <v>61</v>
      </c>
      <c r="C586" s="1">
        <v>495.66145034511021</v>
      </c>
      <c r="D586" s="1">
        <v>1</v>
      </c>
      <c r="E586" s="1">
        <v>1360.1516234915011</v>
      </c>
      <c r="F586" s="1">
        <v>-1</v>
      </c>
      <c r="G586" s="1">
        <v>61</v>
      </c>
      <c r="H586" s="1">
        <v>214.33370694607879</v>
      </c>
      <c r="I586" s="1">
        <v>1</v>
      </c>
      <c r="J586" s="1">
        <v>370.3418092064573</v>
      </c>
      <c r="K586" s="1">
        <v>-1</v>
      </c>
      <c r="L586" s="1">
        <v>43</v>
      </c>
      <c r="M586" s="18">
        <v>40</v>
      </c>
      <c r="N586" s="1">
        <v>37</v>
      </c>
      <c r="O586" s="1">
        <v>0</v>
      </c>
      <c r="P586" s="1">
        <v>0</v>
      </c>
      <c r="Q586" s="1">
        <v>0</v>
      </c>
    </row>
    <row r="587" spans="2:17" ht="15.45" x14ac:dyDescent="0.4">
      <c r="B587" s="1">
        <v>62</v>
      </c>
      <c r="C587" s="1">
        <v>497.49671458217466</v>
      </c>
      <c r="D587" s="1">
        <v>1</v>
      </c>
      <c r="E587" s="1">
        <v>1362.0768913438769</v>
      </c>
      <c r="F587" s="1">
        <v>-1</v>
      </c>
      <c r="G587" s="1">
        <v>62</v>
      </c>
      <c r="H587" s="1">
        <v>811.04964859186532</v>
      </c>
      <c r="I587" s="1">
        <v>-1</v>
      </c>
      <c r="J587" s="1">
        <v>378.57827508826176</v>
      </c>
      <c r="K587" s="1">
        <v>-1</v>
      </c>
      <c r="L587" s="1">
        <v>42</v>
      </c>
      <c r="M587" s="18">
        <v>40</v>
      </c>
      <c r="N587" s="1">
        <v>36</v>
      </c>
      <c r="O587" s="1">
        <v>0</v>
      </c>
      <c r="P587" s="1">
        <v>0</v>
      </c>
      <c r="Q587" s="1">
        <v>0</v>
      </c>
    </row>
    <row r="588" spans="2:17" ht="15.45" x14ac:dyDescent="0.4">
      <c r="B588" s="1">
        <v>63</v>
      </c>
      <c r="C588" s="1">
        <v>505.30413046943687</v>
      </c>
      <c r="D588" s="1">
        <v>1</v>
      </c>
      <c r="E588" s="1">
        <v>1364.0937886858615</v>
      </c>
      <c r="F588" s="1">
        <v>-1</v>
      </c>
      <c r="G588" s="1">
        <v>63</v>
      </c>
      <c r="H588" s="1">
        <v>220.42226577762463</v>
      </c>
      <c r="I588" s="1">
        <v>1</v>
      </c>
      <c r="J588" s="1">
        <v>382.14359499877344</v>
      </c>
      <c r="K588" s="1">
        <v>-1</v>
      </c>
      <c r="L588" s="1">
        <v>41</v>
      </c>
      <c r="M588" s="18">
        <v>40</v>
      </c>
      <c r="N588" s="1">
        <v>35</v>
      </c>
      <c r="O588" s="1">
        <v>0</v>
      </c>
      <c r="P588" s="1">
        <v>0</v>
      </c>
      <c r="Q588" s="1">
        <v>0</v>
      </c>
    </row>
    <row r="589" spans="2:17" ht="15.45" x14ac:dyDescent="0.4">
      <c r="B589" s="1">
        <v>64</v>
      </c>
      <c r="C589" s="1">
        <v>511.89206571586425</v>
      </c>
      <c r="D589" s="1">
        <v>1</v>
      </c>
      <c r="E589" s="1">
        <v>1393.1773955973335</v>
      </c>
      <c r="F589" s="1">
        <v>-1</v>
      </c>
      <c r="G589" s="1">
        <v>64</v>
      </c>
      <c r="H589" s="1">
        <v>896.90678741967611</v>
      </c>
      <c r="I589" s="1">
        <v>-1</v>
      </c>
      <c r="J589" s="1">
        <v>393.10531801686034</v>
      </c>
      <c r="K589" s="1">
        <v>1</v>
      </c>
      <c r="L589" s="1">
        <v>42</v>
      </c>
      <c r="M589" s="18">
        <v>40</v>
      </c>
      <c r="N589" s="1">
        <v>36</v>
      </c>
      <c r="O589" s="1">
        <v>0</v>
      </c>
      <c r="P589" s="1">
        <v>0</v>
      </c>
      <c r="Q589" s="1">
        <v>0</v>
      </c>
    </row>
    <row r="590" spans="2:17" ht="15.45" x14ac:dyDescent="0.4">
      <c r="B590" s="1">
        <v>65</v>
      </c>
      <c r="C590" s="1">
        <v>535.94474470487808</v>
      </c>
      <c r="D590" s="1">
        <v>1</v>
      </c>
      <c r="E590" s="1">
        <v>1438.9057740172666</v>
      </c>
      <c r="F590" s="1">
        <v>-1</v>
      </c>
      <c r="G590" s="1">
        <v>65</v>
      </c>
      <c r="H590" s="1">
        <v>223.28344295239856</v>
      </c>
      <c r="I590" s="1">
        <v>1</v>
      </c>
      <c r="J590" s="1">
        <v>401.4635618937092</v>
      </c>
      <c r="K590" s="1">
        <v>1</v>
      </c>
      <c r="L590" s="1">
        <v>43</v>
      </c>
      <c r="M590" s="18">
        <v>40</v>
      </c>
      <c r="N590" s="1">
        <v>37</v>
      </c>
      <c r="O590" s="1">
        <v>0</v>
      </c>
      <c r="P590" s="1">
        <v>0</v>
      </c>
      <c r="Q590" s="1">
        <v>0</v>
      </c>
    </row>
    <row r="591" spans="2:17" ht="15.45" x14ac:dyDescent="0.4">
      <c r="B591" s="1">
        <v>66</v>
      </c>
      <c r="C591" s="1">
        <v>545.35885504891837</v>
      </c>
      <c r="D591" s="1">
        <v>1</v>
      </c>
      <c r="E591" s="1">
        <v>1586.3022206892301</v>
      </c>
      <c r="F591" s="1">
        <v>-1</v>
      </c>
      <c r="G591" s="1">
        <v>66</v>
      </c>
      <c r="H591" s="1">
        <v>939.45289173467211</v>
      </c>
      <c r="I591" s="1">
        <v>-1</v>
      </c>
      <c r="J591" s="1">
        <v>402.31004265736283</v>
      </c>
      <c r="K591" s="1">
        <v>-1</v>
      </c>
      <c r="L591" s="1">
        <v>42</v>
      </c>
      <c r="M591" s="18">
        <v>40</v>
      </c>
      <c r="N591" s="1">
        <v>36</v>
      </c>
      <c r="O591" s="1">
        <v>0</v>
      </c>
      <c r="P591" s="1">
        <v>0</v>
      </c>
      <c r="Q591" s="1">
        <v>0</v>
      </c>
    </row>
    <row r="592" spans="2:17" ht="15.45" x14ac:dyDescent="0.4">
      <c r="B592" s="1">
        <v>67</v>
      </c>
      <c r="C592" s="1">
        <v>562.10233390002122</v>
      </c>
      <c r="D592" s="1">
        <v>1</v>
      </c>
      <c r="E592" s="1">
        <v>1611.3769523197766</v>
      </c>
      <c r="F592" s="1">
        <v>-1</v>
      </c>
      <c r="G592" s="1">
        <v>67</v>
      </c>
      <c r="H592" s="1">
        <v>226.9401194964033</v>
      </c>
      <c r="I592" s="1">
        <v>1</v>
      </c>
      <c r="J592" s="1">
        <v>406.98626663864837</v>
      </c>
      <c r="K592" s="1">
        <v>-1</v>
      </c>
      <c r="L592" s="1">
        <v>41</v>
      </c>
      <c r="M592" s="18">
        <v>40</v>
      </c>
      <c r="N592" s="1">
        <v>35</v>
      </c>
      <c r="O592" s="1">
        <v>0</v>
      </c>
      <c r="P592" s="1">
        <v>0</v>
      </c>
      <c r="Q592" s="1">
        <v>0</v>
      </c>
    </row>
    <row r="593" spans="2:17" ht="15.45" x14ac:dyDescent="0.4">
      <c r="B593" s="1">
        <v>68</v>
      </c>
      <c r="C593" s="1">
        <v>586.81674135934452</v>
      </c>
      <c r="D593" s="1">
        <v>1</v>
      </c>
      <c r="E593" s="1">
        <v>1690.3996873321439</v>
      </c>
      <c r="F593" s="1">
        <v>-1</v>
      </c>
      <c r="G593" s="1">
        <v>68</v>
      </c>
      <c r="H593" s="1">
        <v>952.79175268917425</v>
      </c>
      <c r="I593" s="1">
        <v>-1</v>
      </c>
      <c r="J593" s="1">
        <v>427.80447356449821</v>
      </c>
      <c r="K593" s="1">
        <v>1</v>
      </c>
      <c r="L593" s="1">
        <v>42</v>
      </c>
      <c r="M593" s="18">
        <v>40</v>
      </c>
      <c r="N593" s="1">
        <v>36</v>
      </c>
      <c r="O593" s="1">
        <v>0</v>
      </c>
      <c r="P593" s="1">
        <v>0</v>
      </c>
      <c r="Q593" s="1">
        <v>0</v>
      </c>
    </row>
    <row r="594" spans="2:17" ht="15.45" x14ac:dyDescent="0.4">
      <c r="B594" s="1">
        <v>69</v>
      </c>
      <c r="C594" s="1">
        <v>605.69169575270848</v>
      </c>
      <c r="D594" s="1">
        <v>1</v>
      </c>
      <c r="E594" s="1">
        <v>1713.9967847070491</v>
      </c>
      <c r="F594" s="1">
        <v>-1</v>
      </c>
      <c r="G594" s="1">
        <v>69</v>
      </c>
      <c r="H594" s="1">
        <v>228.36313695176304</v>
      </c>
      <c r="I594" s="1">
        <v>1</v>
      </c>
      <c r="J594" s="1">
        <v>435.02768211886666</v>
      </c>
      <c r="K594" s="1">
        <v>-1</v>
      </c>
      <c r="L594" s="1">
        <v>41</v>
      </c>
      <c r="M594" s="18">
        <v>40</v>
      </c>
      <c r="N594" s="1">
        <v>35</v>
      </c>
      <c r="O594" s="1">
        <v>0</v>
      </c>
      <c r="P594" s="1">
        <v>0</v>
      </c>
      <c r="Q594" s="1">
        <v>0</v>
      </c>
    </row>
    <row r="595" spans="2:17" ht="15.45" x14ac:dyDescent="0.4">
      <c r="B595" s="1">
        <v>70</v>
      </c>
      <c r="C595" s="1">
        <v>606.1614330623612</v>
      </c>
      <c r="D595" s="1">
        <v>1</v>
      </c>
      <c r="E595" s="1">
        <v>1831.6360652680414</v>
      </c>
      <c r="F595" s="1">
        <v>-1</v>
      </c>
      <c r="G595" s="1">
        <v>70</v>
      </c>
      <c r="H595" s="1">
        <v>961.83910898177317</v>
      </c>
      <c r="I595" s="1">
        <v>-1</v>
      </c>
      <c r="J595" s="1">
        <v>435.67017268946654</v>
      </c>
      <c r="K595" s="1">
        <v>1</v>
      </c>
      <c r="L595" s="1">
        <v>42</v>
      </c>
      <c r="M595" s="18">
        <v>40</v>
      </c>
      <c r="N595" s="1">
        <v>36</v>
      </c>
      <c r="O595" s="1">
        <v>0</v>
      </c>
      <c r="P595" s="1">
        <v>0</v>
      </c>
      <c r="Q595" s="1">
        <v>0</v>
      </c>
    </row>
    <row r="596" spans="2:17" ht="15.45" x14ac:dyDescent="0.4">
      <c r="B596" s="1">
        <v>71</v>
      </c>
      <c r="C596" s="1">
        <v>611.26823231701371</v>
      </c>
      <c r="D596" s="1">
        <v>1</v>
      </c>
      <c r="E596" s="1">
        <v>1844.2504262003381</v>
      </c>
      <c r="F596" s="1">
        <v>-1</v>
      </c>
      <c r="G596" s="1">
        <v>71</v>
      </c>
      <c r="H596" s="1">
        <v>238.56832512767508</v>
      </c>
      <c r="I596" s="1">
        <v>1</v>
      </c>
      <c r="J596" s="1">
        <v>444.84102620149167</v>
      </c>
      <c r="K596" s="1">
        <v>-1</v>
      </c>
      <c r="L596" s="1">
        <v>41</v>
      </c>
      <c r="M596" s="18">
        <v>40</v>
      </c>
      <c r="N596" s="1">
        <v>35</v>
      </c>
      <c r="O596" s="1">
        <v>0</v>
      </c>
      <c r="P596" s="1">
        <v>0</v>
      </c>
      <c r="Q596" s="1">
        <v>0</v>
      </c>
    </row>
    <row r="597" spans="2:17" ht="15.45" x14ac:dyDescent="0.4">
      <c r="B597" s="1">
        <v>72</v>
      </c>
      <c r="C597" s="1">
        <v>616.7103063349598</v>
      </c>
      <c r="D597" s="1">
        <v>1</v>
      </c>
      <c r="E597" s="1">
        <v>1870.6799431473166</v>
      </c>
      <c r="F597" s="1">
        <v>-1</v>
      </c>
      <c r="G597" s="1">
        <v>72</v>
      </c>
      <c r="H597" s="1">
        <v>971.35683829062521</v>
      </c>
      <c r="I597" s="1">
        <v>-1</v>
      </c>
      <c r="J597" s="1">
        <v>465.50500869814334</v>
      </c>
      <c r="K597" s="1">
        <v>-1</v>
      </c>
      <c r="L597" s="1">
        <v>40</v>
      </c>
      <c r="M597" s="18">
        <v>40</v>
      </c>
      <c r="N597" s="1">
        <v>34</v>
      </c>
      <c r="O597" s="1">
        <v>0</v>
      </c>
      <c r="P597" s="1">
        <v>0</v>
      </c>
      <c r="Q597" s="1">
        <v>0</v>
      </c>
    </row>
    <row r="598" spans="2:17" ht="15.45" x14ac:dyDescent="0.4">
      <c r="B598" s="1">
        <v>73</v>
      </c>
      <c r="C598" s="1">
        <v>634.58016321607124</v>
      </c>
      <c r="D598" s="1">
        <v>1</v>
      </c>
      <c r="E598" s="1">
        <v>1883.4917509242805</v>
      </c>
      <c r="F598" s="1">
        <v>-1</v>
      </c>
      <c r="G598" s="1">
        <v>73</v>
      </c>
      <c r="H598" s="1">
        <v>240.49090974713167</v>
      </c>
      <c r="I598" s="1">
        <v>1</v>
      </c>
      <c r="J598" s="1">
        <v>474.88326620979734</v>
      </c>
      <c r="K598" s="1">
        <v>1</v>
      </c>
      <c r="L598" s="1">
        <v>41</v>
      </c>
      <c r="M598" s="18">
        <v>40</v>
      </c>
      <c r="N598" s="1">
        <v>35</v>
      </c>
      <c r="O598" s="1">
        <v>0</v>
      </c>
      <c r="P598" s="1">
        <v>0</v>
      </c>
      <c r="Q598" s="1">
        <v>0</v>
      </c>
    </row>
    <row r="599" spans="2:17" ht="15.45" x14ac:dyDescent="0.4">
      <c r="B599" s="1">
        <v>74</v>
      </c>
      <c r="C599" s="1">
        <v>654.12367580771263</v>
      </c>
      <c r="D599" s="1">
        <v>1</v>
      </c>
      <c r="E599" s="1">
        <v>1893.9706176739801</v>
      </c>
      <c r="F599" s="1">
        <v>-1</v>
      </c>
      <c r="G599" s="1">
        <v>74</v>
      </c>
      <c r="H599" s="1">
        <v>979.48290668897289</v>
      </c>
      <c r="I599" s="1">
        <v>-1</v>
      </c>
      <c r="J599" s="1">
        <v>479.08805318722955</v>
      </c>
      <c r="K599" s="1">
        <v>1</v>
      </c>
      <c r="L599" s="1">
        <v>42</v>
      </c>
      <c r="M599" s="18">
        <v>40</v>
      </c>
      <c r="N599" s="1">
        <v>36</v>
      </c>
      <c r="O599" s="1">
        <v>0</v>
      </c>
      <c r="P599" s="1">
        <v>0</v>
      </c>
      <c r="Q599" s="1">
        <v>0</v>
      </c>
    </row>
    <row r="600" spans="2:17" ht="15.45" x14ac:dyDescent="0.4">
      <c r="B600" s="1">
        <v>75</v>
      </c>
      <c r="C600" s="1">
        <v>654.2280668632186</v>
      </c>
      <c r="D600" s="1">
        <v>1</v>
      </c>
      <c r="E600" s="1">
        <v>1899.4764103851735</v>
      </c>
      <c r="F600" s="1">
        <v>-1</v>
      </c>
      <c r="G600" s="1">
        <v>75</v>
      </c>
      <c r="H600" s="1">
        <v>255.91233573030442</v>
      </c>
      <c r="I600" s="1">
        <v>1</v>
      </c>
      <c r="J600" s="1">
        <v>487.89789216955575</v>
      </c>
      <c r="K600" s="1">
        <v>1</v>
      </c>
      <c r="L600" s="1">
        <v>43</v>
      </c>
      <c r="M600" s="18">
        <v>40</v>
      </c>
      <c r="N600" s="1">
        <v>37</v>
      </c>
      <c r="O600" s="1">
        <v>0</v>
      </c>
      <c r="P600" s="1">
        <v>0</v>
      </c>
      <c r="Q600" s="1">
        <v>0</v>
      </c>
    </row>
    <row r="601" spans="2:17" ht="15.45" x14ac:dyDescent="0.4">
      <c r="B601" s="1">
        <v>76</v>
      </c>
      <c r="C601" s="1">
        <v>661.16970340597652</v>
      </c>
      <c r="D601" s="1">
        <v>1</v>
      </c>
      <c r="E601" s="1">
        <v>1922.89865804696</v>
      </c>
      <c r="F601" s="1">
        <v>-1</v>
      </c>
      <c r="G601" s="1">
        <v>76</v>
      </c>
      <c r="H601" s="1">
        <v>991.97140805433412</v>
      </c>
      <c r="I601" s="1">
        <v>-1</v>
      </c>
      <c r="J601" s="1">
        <v>492.16849476187707</v>
      </c>
      <c r="K601" s="1">
        <v>1</v>
      </c>
      <c r="L601" s="1">
        <v>44</v>
      </c>
      <c r="M601" s="18">
        <v>40</v>
      </c>
      <c r="N601" s="1">
        <v>38</v>
      </c>
      <c r="O601" s="1">
        <v>0</v>
      </c>
      <c r="P601" s="1">
        <v>0</v>
      </c>
      <c r="Q601" s="1">
        <v>0</v>
      </c>
    </row>
    <row r="602" spans="2:17" ht="15.45" x14ac:dyDescent="0.4">
      <c r="B602" s="1">
        <v>77</v>
      </c>
      <c r="C602" s="1">
        <v>662.32615032962372</v>
      </c>
      <c r="D602" s="1">
        <v>1</v>
      </c>
      <c r="E602" s="1">
        <v>1942.6624637862421</v>
      </c>
      <c r="F602" s="1">
        <v>-1</v>
      </c>
      <c r="G602" s="1">
        <v>77</v>
      </c>
      <c r="H602" s="1">
        <v>269.67699497497654</v>
      </c>
      <c r="I602" s="1">
        <v>1</v>
      </c>
      <c r="J602" s="1">
        <v>494.06344580107975</v>
      </c>
      <c r="K602" s="1">
        <v>-1</v>
      </c>
      <c r="L602" s="1">
        <v>43</v>
      </c>
      <c r="M602" s="18">
        <v>40</v>
      </c>
      <c r="N602" s="1">
        <v>37</v>
      </c>
      <c r="O602" s="1">
        <v>0</v>
      </c>
      <c r="P602" s="1">
        <v>0</v>
      </c>
      <c r="Q602" s="1">
        <v>0</v>
      </c>
    </row>
    <row r="603" spans="2:17" ht="15.45" x14ac:dyDescent="0.4">
      <c r="B603" s="1">
        <v>78</v>
      </c>
      <c r="C603" s="1">
        <v>674.47612754418253</v>
      </c>
      <c r="D603" s="1">
        <v>1</v>
      </c>
      <c r="E603" s="1">
        <v>2014.8205007532838</v>
      </c>
      <c r="F603" s="1">
        <v>-1</v>
      </c>
      <c r="G603" s="1">
        <v>78</v>
      </c>
      <c r="H603" s="1">
        <v>992.78381615463252</v>
      </c>
      <c r="I603" s="1">
        <v>-1</v>
      </c>
      <c r="J603" s="1">
        <v>495.66145034511021</v>
      </c>
      <c r="K603" s="1">
        <v>1</v>
      </c>
      <c r="L603" s="1">
        <v>44</v>
      </c>
      <c r="M603" s="18">
        <v>40</v>
      </c>
      <c r="N603" s="1">
        <v>38</v>
      </c>
      <c r="O603" s="1">
        <v>0</v>
      </c>
      <c r="P603" s="1">
        <v>0</v>
      </c>
      <c r="Q603" s="1">
        <v>0</v>
      </c>
    </row>
    <row r="604" spans="2:17" ht="15.45" x14ac:dyDescent="0.4">
      <c r="B604" s="1">
        <v>79</v>
      </c>
      <c r="C604" s="1">
        <v>712.25361881261506</v>
      </c>
      <c r="D604" s="1">
        <v>1</v>
      </c>
      <c r="E604" s="1">
        <v>2043.0628317854048</v>
      </c>
      <c r="F604" s="1">
        <v>-1</v>
      </c>
      <c r="G604" s="1">
        <v>79</v>
      </c>
      <c r="H604" s="1">
        <v>274.66764576505113</v>
      </c>
      <c r="I604" s="1">
        <v>1</v>
      </c>
      <c r="J604" s="1">
        <v>497.49671458217466</v>
      </c>
      <c r="K604" s="1">
        <v>1</v>
      </c>
      <c r="L604" s="1">
        <v>45</v>
      </c>
      <c r="M604" s="18">
        <v>40</v>
      </c>
      <c r="N604" s="1">
        <v>39</v>
      </c>
      <c r="O604" s="1">
        <v>0</v>
      </c>
      <c r="P604" s="1">
        <v>0</v>
      </c>
      <c r="Q604" s="1">
        <v>0</v>
      </c>
    </row>
    <row r="605" spans="2:17" ht="15.45" x14ac:dyDescent="0.4">
      <c r="B605" s="1">
        <v>80</v>
      </c>
      <c r="C605" s="1">
        <v>722.23584076695386</v>
      </c>
      <c r="D605" s="1">
        <v>1</v>
      </c>
      <c r="E605" s="1">
        <v>2093.293268338713</v>
      </c>
      <c r="F605" s="1">
        <v>-1</v>
      </c>
      <c r="G605" s="1">
        <v>80</v>
      </c>
      <c r="H605" s="1">
        <v>998.39164700411743</v>
      </c>
      <c r="I605" s="1">
        <v>-1</v>
      </c>
      <c r="J605" s="1">
        <v>505.30413046943687</v>
      </c>
      <c r="K605" s="1">
        <v>1</v>
      </c>
      <c r="L605" s="1">
        <v>46</v>
      </c>
      <c r="M605" s="18">
        <v>40</v>
      </c>
      <c r="N605" s="1">
        <v>40</v>
      </c>
      <c r="O605" s="1">
        <v>0</v>
      </c>
      <c r="P605" s="1">
        <v>0</v>
      </c>
      <c r="Q605" s="1">
        <v>0</v>
      </c>
    </row>
    <row r="606" spans="2:17" ht="15.45" x14ac:dyDescent="0.4">
      <c r="B606" s="1">
        <v>81</v>
      </c>
      <c r="C606" s="1">
        <v>736.15672577309078</v>
      </c>
      <c r="D606" s="1">
        <v>1</v>
      </c>
      <c r="E606" s="1">
        <v>2167.4364907166828</v>
      </c>
      <c r="F606" s="1">
        <v>-1</v>
      </c>
      <c r="G606" s="1">
        <v>81</v>
      </c>
      <c r="H606" s="1">
        <v>276.36378799601283</v>
      </c>
      <c r="I606" s="1">
        <v>1</v>
      </c>
      <c r="J606" s="1">
        <v>511.89206571586425</v>
      </c>
      <c r="K606" s="1">
        <v>1</v>
      </c>
      <c r="L606" s="1">
        <v>47</v>
      </c>
      <c r="M606" s="18">
        <v>40</v>
      </c>
      <c r="N606" s="1">
        <v>40</v>
      </c>
      <c r="O606" s="1">
        <v>1</v>
      </c>
      <c r="P606" s="1">
        <v>64</v>
      </c>
      <c r="Q606" s="1">
        <v>0</v>
      </c>
    </row>
    <row r="607" spans="2:17" ht="15.45" x14ac:dyDescent="0.4">
      <c r="B607" s="1">
        <v>82</v>
      </c>
      <c r="C607" s="1">
        <v>737.13306451707308</v>
      </c>
      <c r="D607" s="1">
        <v>1</v>
      </c>
      <c r="E607" s="1">
        <v>2224.0613538967746</v>
      </c>
      <c r="F607" s="1">
        <v>-1</v>
      </c>
      <c r="G607" s="1">
        <v>82</v>
      </c>
      <c r="H607" s="1">
        <v>1009.9822486007247</v>
      </c>
      <c r="I607" s="1">
        <v>-1</v>
      </c>
      <c r="J607" s="1">
        <v>517.21454518639212</v>
      </c>
      <c r="K607" s="1">
        <v>-1</v>
      </c>
      <c r="L607" s="1">
        <v>46</v>
      </c>
      <c r="M607" s="18">
        <v>40</v>
      </c>
      <c r="N607" s="1">
        <v>39</v>
      </c>
      <c r="O607" s="1">
        <v>0</v>
      </c>
      <c r="P607" s="1">
        <v>0</v>
      </c>
      <c r="Q607" s="1">
        <v>0</v>
      </c>
    </row>
    <row r="608" spans="2:17" ht="15.45" x14ac:dyDescent="0.4">
      <c r="B608" s="1">
        <v>83</v>
      </c>
      <c r="C608" s="1">
        <v>740.18668141915782</v>
      </c>
      <c r="D608" s="1">
        <v>1</v>
      </c>
      <c r="E608" s="1">
        <v>2225.4705658257326</v>
      </c>
      <c r="F608" s="1">
        <v>-1</v>
      </c>
      <c r="G608" s="1">
        <v>83</v>
      </c>
      <c r="H608" s="1">
        <v>284.91441628006942</v>
      </c>
      <c r="I608" s="1">
        <v>1</v>
      </c>
      <c r="J608" s="1">
        <v>535.94474470487808</v>
      </c>
      <c r="K608" s="1">
        <v>1</v>
      </c>
      <c r="L608" s="1">
        <v>47</v>
      </c>
      <c r="M608" s="18">
        <v>40</v>
      </c>
      <c r="N608" s="1">
        <v>40</v>
      </c>
      <c r="O608" s="1">
        <v>0</v>
      </c>
      <c r="P608" s="1">
        <v>0</v>
      </c>
      <c r="Q608" s="1">
        <v>0</v>
      </c>
    </row>
    <row r="609" spans="2:17" ht="15.45" x14ac:dyDescent="0.4">
      <c r="B609" s="1">
        <v>84</v>
      </c>
      <c r="C609" s="1">
        <v>740.60963029261006</v>
      </c>
      <c r="D609" s="1">
        <v>1</v>
      </c>
      <c r="E609" s="1">
        <v>2240.7909635896899</v>
      </c>
      <c r="F609" s="1">
        <v>-1</v>
      </c>
      <c r="G609" s="1">
        <v>84</v>
      </c>
      <c r="H609" s="1">
        <v>1041.502016806229</v>
      </c>
      <c r="I609" s="1">
        <v>-1</v>
      </c>
      <c r="J609" s="1">
        <v>545.35885504891837</v>
      </c>
      <c r="K609" s="1">
        <v>1</v>
      </c>
      <c r="L609" s="1">
        <v>48</v>
      </c>
      <c r="M609" s="18">
        <v>40</v>
      </c>
      <c r="N609" s="1">
        <v>40</v>
      </c>
      <c r="O609" s="1">
        <v>1</v>
      </c>
      <c r="P609" s="1">
        <v>66</v>
      </c>
      <c r="Q609" s="1">
        <v>0</v>
      </c>
    </row>
    <row r="610" spans="2:17" ht="15.45" x14ac:dyDescent="0.4">
      <c r="B610" s="1">
        <v>85</v>
      </c>
      <c r="C610" s="1">
        <v>752.15389424021475</v>
      </c>
      <c r="D610" s="1">
        <v>1</v>
      </c>
      <c r="E610" s="1">
        <v>2257.117185643528</v>
      </c>
      <c r="F610" s="1">
        <v>-1</v>
      </c>
      <c r="G610" s="1">
        <v>85</v>
      </c>
      <c r="H610" s="1">
        <v>289.72063385628007</v>
      </c>
      <c r="I610" s="1">
        <v>1</v>
      </c>
      <c r="J610" s="1">
        <v>560.24739811919858</v>
      </c>
      <c r="K610" s="1">
        <v>-1</v>
      </c>
      <c r="L610" s="1">
        <v>47</v>
      </c>
      <c r="M610" s="18">
        <v>40</v>
      </c>
      <c r="N610" s="1">
        <v>39</v>
      </c>
      <c r="O610" s="1">
        <v>0</v>
      </c>
      <c r="P610" s="1">
        <v>0</v>
      </c>
      <c r="Q610" s="1">
        <v>0</v>
      </c>
    </row>
    <row r="611" spans="2:17" ht="15.45" x14ac:dyDescent="0.4">
      <c r="B611" s="1">
        <v>86</v>
      </c>
      <c r="C611" s="1">
        <v>761.1278779687409</v>
      </c>
      <c r="D611" s="1">
        <v>1</v>
      </c>
      <c r="E611" s="1">
        <v>2310.7267562868624</v>
      </c>
      <c r="F611" s="1">
        <v>-1</v>
      </c>
      <c r="G611" s="1">
        <v>86</v>
      </c>
      <c r="H611" s="1">
        <v>1046.0234539596327</v>
      </c>
      <c r="I611" s="1">
        <v>-1</v>
      </c>
      <c r="J611" s="1">
        <v>562.03011499555907</v>
      </c>
      <c r="K611" s="1">
        <v>-1</v>
      </c>
      <c r="L611" s="1">
        <v>46</v>
      </c>
      <c r="M611" s="18">
        <v>40</v>
      </c>
      <c r="N611" s="1">
        <v>38</v>
      </c>
      <c r="O611" s="1">
        <v>0</v>
      </c>
      <c r="P611" s="1">
        <v>0</v>
      </c>
      <c r="Q611" s="1">
        <v>0</v>
      </c>
    </row>
    <row r="612" spans="2:17" ht="15.45" x14ac:dyDescent="0.4">
      <c r="B612" s="1">
        <v>87</v>
      </c>
      <c r="C612" s="1">
        <v>770.37126179745621</v>
      </c>
      <c r="D612" s="1">
        <v>1</v>
      </c>
      <c r="E612" s="1">
        <v>2369.3572940617869</v>
      </c>
      <c r="F612" s="1">
        <v>-1</v>
      </c>
      <c r="G612" s="1">
        <v>87</v>
      </c>
      <c r="H612" s="1">
        <v>291.83947887502666</v>
      </c>
      <c r="I612" s="1">
        <v>1</v>
      </c>
      <c r="J612" s="1">
        <v>562.10233390002122</v>
      </c>
      <c r="K612" s="1">
        <v>1</v>
      </c>
      <c r="L612" s="1">
        <v>47</v>
      </c>
      <c r="M612" s="18">
        <v>40</v>
      </c>
      <c r="N612" s="1">
        <v>39</v>
      </c>
      <c r="O612" s="1">
        <v>0</v>
      </c>
      <c r="P612" s="1">
        <v>0</v>
      </c>
      <c r="Q612" s="1">
        <v>0</v>
      </c>
    </row>
    <row r="613" spans="2:17" ht="15.45" x14ac:dyDescent="0.4">
      <c r="B613" s="1">
        <v>88</v>
      </c>
      <c r="C613" s="1">
        <v>778.82528184839327</v>
      </c>
      <c r="D613" s="1">
        <v>1</v>
      </c>
      <c r="E613" s="1">
        <v>2369.6704672283049</v>
      </c>
      <c r="F613" s="1">
        <v>-1</v>
      </c>
      <c r="G613" s="1">
        <v>88</v>
      </c>
      <c r="H613" s="1">
        <v>1049.9873874768848</v>
      </c>
      <c r="I613" s="1">
        <v>-1</v>
      </c>
      <c r="J613" s="1">
        <v>575.70067980224087</v>
      </c>
      <c r="K613" s="1">
        <v>-1</v>
      </c>
      <c r="L613" s="1">
        <v>46</v>
      </c>
      <c r="M613" s="18">
        <v>40</v>
      </c>
      <c r="N613" s="1">
        <v>38</v>
      </c>
      <c r="O613" s="1">
        <v>0</v>
      </c>
      <c r="P613" s="1">
        <v>0</v>
      </c>
      <c r="Q613" s="1">
        <v>0</v>
      </c>
    </row>
    <row r="614" spans="2:17" ht="15.45" x14ac:dyDescent="0.4">
      <c r="B614" s="1">
        <v>89</v>
      </c>
      <c r="C614" s="1">
        <v>789.83859938286434</v>
      </c>
      <c r="D614" s="1">
        <v>1</v>
      </c>
      <c r="E614" s="1">
        <v>2390.4953768565788</v>
      </c>
      <c r="F614" s="1">
        <v>-1</v>
      </c>
      <c r="G614" s="1">
        <v>89</v>
      </c>
      <c r="H614" s="1">
        <v>298.29480243301521</v>
      </c>
      <c r="I614" s="1">
        <v>1</v>
      </c>
      <c r="J614" s="1">
        <v>586.81674135934452</v>
      </c>
      <c r="K614" s="1">
        <v>1</v>
      </c>
      <c r="L614" s="1">
        <v>47</v>
      </c>
      <c r="M614" s="18">
        <v>40</v>
      </c>
      <c r="N614" s="1">
        <v>39</v>
      </c>
      <c r="O614" s="1">
        <v>0</v>
      </c>
      <c r="P614" s="1">
        <v>0</v>
      </c>
      <c r="Q614" s="1">
        <v>0</v>
      </c>
    </row>
    <row r="615" spans="2:17" ht="15.45" x14ac:dyDescent="0.4">
      <c r="B615" s="1">
        <v>90</v>
      </c>
      <c r="C615" s="1">
        <v>794.4633942978528</v>
      </c>
      <c r="D615" s="1">
        <v>1</v>
      </c>
      <c r="E615" s="1">
        <v>2393.9647176275203</v>
      </c>
      <c r="F615" s="1">
        <v>-1</v>
      </c>
      <c r="G615" s="1">
        <v>90</v>
      </c>
      <c r="H615" s="1">
        <v>1068.2530639715224</v>
      </c>
      <c r="I615" s="1">
        <v>-1</v>
      </c>
      <c r="J615" s="1">
        <v>597.71527396035708</v>
      </c>
      <c r="K615" s="1">
        <v>-1</v>
      </c>
      <c r="L615" s="1">
        <v>46</v>
      </c>
      <c r="M615" s="18">
        <v>40</v>
      </c>
      <c r="N615" s="1">
        <v>38</v>
      </c>
      <c r="O615" s="1">
        <v>0</v>
      </c>
      <c r="P615" s="1">
        <v>0</v>
      </c>
      <c r="Q615" s="1">
        <v>0</v>
      </c>
    </row>
    <row r="616" spans="2:17" ht="15.45" x14ac:dyDescent="0.4">
      <c r="B616" s="1">
        <v>91</v>
      </c>
      <c r="C616" s="1">
        <v>797.02166143322393</v>
      </c>
      <c r="D616" s="1">
        <v>1</v>
      </c>
      <c r="E616" s="1">
        <v>2430.4146492711966</v>
      </c>
      <c r="F616" s="1">
        <v>-1</v>
      </c>
      <c r="G616" s="1">
        <v>91</v>
      </c>
      <c r="H616" s="1">
        <v>309.63259408436744</v>
      </c>
      <c r="I616" s="1">
        <v>1</v>
      </c>
      <c r="J616" s="1">
        <v>605.69169575270848</v>
      </c>
      <c r="K616" s="1">
        <v>1</v>
      </c>
      <c r="L616" s="1">
        <v>47</v>
      </c>
      <c r="M616" s="18">
        <v>40</v>
      </c>
      <c r="N616" s="1">
        <v>39</v>
      </c>
      <c r="O616" s="1">
        <v>0</v>
      </c>
      <c r="P616" s="1">
        <v>0</v>
      </c>
      <c r="Q616" s="1">
        <v>0</v>
      </c>
    </row>
    <row r="617" spans="2:17" ht="15.45" x14ac:dyDescent="0.4">
      <c r="B617" s="1">
        <v>92</v>
      </c>
      <c r="C617" s="1">
        <v>801.71481520907935</v>
      </c>
      <c r="D617" s="1">
        <v>1</v>
      </c>
      <c r="E617" s="1">
        <v>2543.7471230764941</v>
      </c>
      <c r="F617" s="1">
        <v>-1</v>
      </c>
      <c r="G617" s="1">
        <v>92</v>
      </c>
      <c r="H617" s="1">
        <v>1076.8365954958442</v>
      </c>
      <c r="I617" s="1">
        <v>-1</v>
      </c>
      <c r="J617" s="1">
        <v>606.1614330623612</v>
      </c>
      <c r="K617" s="1">
        <v>1</v>
      </c>
      <c r="L617" s="1">
        <v>48</v>
      </c>
      <c r="M617" s="18">
        <v>40</v>
      </c>
      <c r="N617" s="1">
        <v>40</v>
      </c>
      <c r="O617" s="1">
        <v>0</v>
      </c>
      <c r="P617" s="1">
        <v>0</v>
      </c>
      <c r="Q617" s="1">
        <v>0</v>
      </c>
    </row>
    <row r="618" spans="2:17" ht="15.45" x14ac:dyDescent="0.4">
      <c r="B618" s="1">
        <v>93</v>
      </c>
      <c r="C618" s="1">
        <v>830.94075854985147</v>
      </c>
      <c r="D618" s="1">
        <v>1</v>
      </c>
      <c r="E618" s="1">
        <v>2573.6937889395103</v>
      </c>
      <c r="F618" s="1">
        <v>-1</v>
      </c>
      <c r="G618" s="1">
        <v>93</v>
      </c>
      <c r="H618" s="1">
        <v>313.73024587613713</v>
      </c>
      <c r="I618" s="1">
        <v>1</v>
      </c>
      <c r="J618" s="1">
        <v>611.26823231701371</v>
      </c>
      <c r="K618" s="1">
        <v>1</v>
      </c>
      <c r="L618" s="1">
        <v>49</v>
      </c>
      <c r="M618" s="18">
        <v>40</v>
      </c>
      <c r="N618" s="1">
        <v>40</v>
      </c>
      <c r="O618" s="1">
        <v>1</v>
      </c>
      <c r="P618" s="1">
        <v>71</v>
      </c>
      <c r="Q618" s="1">
        <v>0</v>
      </c>
    </row>
    <row r="619" spans="2:17" ht="15.45" x14ac:dyDescent="0.4">
      <c r="B619" s="1">
        <v>94</v>
      </c>
      <c r="C619" s="1">
        <v>837.44767157441288</v>
      </c>
      <c r="D619" s="1">
        <v>1</v>
      </c>
      <c r="E619" s="1">
        <v>2615.4564439579212</v>
      </c>
      <c r="F619" s="1">
        <v>-1</v>
      </c>
      <c r="G619" s="1">
        <v>94</v>
      </c>
      <c r="H619" s="1">
        <v>1087.8066251278585</v>
      </c>
      <c r="I619" s="1">
        <v>-1</v>
      </c>
      <c r="J619" s="1">
        <v>616.7103063349598</v>
      </c>
      <c r="K619" s="1">
        <v>1</v>
      </c>
      <c r="L619" s="1">
        <v>50</v>
      </c>
      <c r="M619" s="18">
        <v>40</v>
      </c>
      <c r="N619" s="1">
        <v>40</v>
      </c>
      <c r="O619" s="1">
        <v>1</v>
      </c>
      <c r="P619" s="1">
        <v>72</v>
      </c>
      <c r="Q619" s="1">
        <v>0</v>
      </c>
    </row>
    <row r="620" spans="2:17" ht="15.45" x14ac:dyDescent="0.4">
      <c r="B620" s="1">
        <v>95</v>
      </c>
      <c r="C620" s="1">
        <v>839.4238215767391</v>
      </c>
      <c r="D620" s="1">
        <v>1</v>
      </c>
      <c r="E620" s="1">
        <v>2618.3854601898679</v>
      </c>
      <c r="F620" s="1">
        <v>-1</v>
      </c>
      <c r="G620" s="1">
        <v>95</v>
      </c>
      <c r="H620" s="1">
        <v>317.7217856176174</v>
      </c>
      <c r="I620" s="1">
        <v>1</v>
      </c>
      <c r="J620" s="1">
        <v>621.58718884050359</v>
      </c>
      <c r="K620" s="1">
        <v>-1</v>
      </c>
      <c r="L620" s="1">
        <v>49</v>
      </c>
      <c r="M620" s="18">
        <v>40</v>
      </c>
      <c r="N620" s="1">
        <v>39</v>
      </c>
      <c r="O620" s="1">
        <v>0</v>
      </c>
      <c r="P620" s="1">
        <v>0</v>
      </c>
      <c r="Q620" s="1">
        <v>0</v>
      </c>
    </row>
    <row r="621" spans="2:17" ht="15.45" x14ac:dyDescent="0.4">
      <c r="B621" s="1">
        <v>96</v>
      </c>
      <c r="C621" s="1">
        <v>846.53463747689898</v>
      </c>
      <c r="D621" s="1">
        <v>1</v>
      </c>
      <c r="E621" s="1">
        <v>2627.5463108961221</v>
      </c>
      <c r="F621" s="1">
        <v>-1</v>
      </c>
      <c r="G621" s="1">
        <v>96</v>
      </c>
      <c r="H621" s="1">
        <v>1092.0756774939377</v>
      </c>
      <c r="I621" s="1">
        <v>-1</v>
      </c>
      <c r="J621" s="1">
        <v>634.58016321607124</v>
      </c>
      <c r="K621" s="1">
        <v>1</v>
      </c>
      <c r="L621" s="1">
        <v>50</v>
      </c>
      <c r="M621" s="18">
        <v>40</v>
      </c>
      <c r="N621" s="1">
        <v>40</v>
      </c>
      <c r="O621" s="1">
        <v>0</v>
      </c>
      <c r="P621" s="1">
        <v>0</v>
      </c>
      <c r="Q621" s="1">
        <v>0</v>
      </c>
    </row>
    <row r="622" spans="2:17" ht="15.45" x14ac:dyDescent="0.4">
      <c r="B622" s="1">
        <v>97</v>
      </c>
      <c r="C622" s="1">
        <v>855.24559718465059</v>
      </c>
      <c r="D622" s="1">
        <v>1</v>
      </c>
      <c r="E622" s="1">
        <v>2628.8151575164788</v>
      </c>
      <c r="F622" s="1">
        <v>-1</v>
      </c>
      <c r="G622" s="1">
        <v>97</v>
      </c>
      <c r="H622" s="1">
        <v>318.36354156840935</v>
      </c>
      <c r="I622" s="1">
        <v>1</v>
      </c>
      <c r="J622" s="1">
        <v>654.12367580771263</v>
      </c>
      <c r="K622" s="1">
        <v>1</v>
      </c>
      <c r="L622" s="1">
        <v>51</v>
      </c>
      <c r="M622" s="18">
        <v>40</v>
      </c>
      <c r="N622" s="1">
        <v>40</v>
      </c>
      <c r="O622" s="1">
        <v>1</v>
      </c>
      <c r="P622" s="1">
        <v>74</v>
      </c>
      <c r="Q622" s="1">
        <v>0</v>
      </c>
    </row>
    <row r="623" spans="2:17" ht="15.45" x14ac:dyDescent="0.4">
      <c r="B623" s="1">
        <v>98</v>
      </c>
      <c r="C623" s="1">
        <v>865.33874226149646</v>
      </c>
      <c r="D623" s="1">
        <v>1</v>
      </c>
      <c r="E623" s="1">
        <v>2663.447949359293</v>
      </c>
      <c r="F623" s="1">
        <v>-1</v>
      </c>
      <c r="G623" s="1">
        <v>98</v>
      </c>
      <c r="H623" s="1">
        <v>1122.6912420216738</v>
      </c>
      <c r="I623" s="1">
        <v>-1</v>
      </c>
      <c r="J623" s="1">
        <v>654.2280668632186</v>
      </c>
      <c r="K623" s="1">
        <v>1</v>
      </c>
      <c r="L623" s="1">
        <v>52</v>
      </c>
      <c r="M623" s="18">
        <v>40</v>
      </c>
      <c r="N623" s="1">
        <v>40</v>
      </c>
      <c r="O623" s="1">
        <v>1</v>
      </c>
      <c r="P623" s="1">
        <v>75</v>
      </c>
      <c r="Q623" s="1">
        <v>0</v>
      </c>
    </row>
    <row r="624" spans="2:17" ht="15.45" x14ac:dyDescent="0.4">
      <c r="B624" s="1">
        <v>99</v>
      </c>
      <c r="C624" s="1">
        <v>871.71400088839619</v>
      </c>
      <c r="D624" s="1">
        <v>1</v>
      </c>
      <c r="E624" s="1">
        <v>2690.3699005448716</v>
      </c>
      <c r="F624" s="1">
        <v>-1</v>
      </c>
      <c r="G624" s="1">
        <v>99</v>
      </c>
      <c r="H624" s="1">
        <v>319.03584068240417</v>
      </c>
      <c r="I624" s="1">
        <v>1</v>
      </c>
      <c r="J624" s="1">
        <v>660.94603716771394</v>
      </c>
      <c r="K624" s="1">
        <v>-1</v>
      </c>
      <c r="L624" s="1">
        <v>51</v>
      </c>
      <c r="M624" s="18">
        <v>40</v>
      </c>
      <c r="N624" s="1">
        <v>39</v>
      </c>
      <c r="O624" s="1">
        <v>0</v>
      </c>
      <c r="P624" s="1">
        <v>0</v>
      </c>
      <c r="Q624" s="1">
        <v>0</v>
      </c>
    </row>
    <row r="625" spans="2:17" ht="15.45" x14ac:dyDescent="0.4">
      <c r="B625" s="1">
        <v>100</v>
      </c>
      <c r="C625" s="1">
        <v>899.40405206876846</v>
      </c>
      <c r="D625" s="1">
        <v>1</v>
      </c>
      <c r="E625" s="1">
        <v>2718.1000520310172</v>
      </c>
      <c r="F625" s="1">
        <v>-1</v>
      </c>
      <c r="G625" s="1">
        <v>100</v>
      </c>
      <c r="H625" s="1">
        <v>1128.4589958800436</v>
      </c>
      <c r="I625" s="1">
        <v>-1</v>
      </c>
      <c r="J625" s="1">
        <v>661.16970340597652</v>
      </c>
      <c r="K625" s="1">
        <v>1</v>
      </c>
      <c r="L625" s="1">
        <v>52</v>
      </c>
      <c r="M625" s="18">
        <v>40</v>
      </c>
      <c r="N625" s="1">
        <v>40</v>
      </c>
      <c r="O625" s="1">
        <v>0</v>
      </c>
      <c r="P625" s="1">
        <v>0</v>
      </c>
      <c r="Q625" s="1">
        <v>0</v>
      </c>
    </row>
    <row r="626" spans="2:17" ht="15.45" x14ac:dyDescent="0.4">
      <c r="B626" s="1">
        <v>101</v>
      </c>
      <c r="C626" s="1">
        <v>906.56960049088968</v>
      </c>
      <c r="D626" s="1">
        <v>1</v>
      </c>
      <c r="E626" s="1">
        <v>2743.4621121838281</v>
      </c>
      <c r="F626" s="1">
        <v>-1</v>
      </c>
      <c r="G626" s="1">
        <v>101</v>
      </c>
      <c r="H626" s="1">
        <v>328.73037631956151</v>
      </c>
      <c r="I626" s="1">
        <v>1</v>
      </c>
      <c r="J626" s="1">
        <v>662.32615032962372</v>
      </c>
      <c r="K626" s="1">
        <v>1</v>
      </c>
      <c r="L626" s="1">
        <v>53</v>
      </c>
      <c r="M626" s="18">
        <v>40</v>
      </c>
      <c r="N626" s="1">
        <v>40</v>
      </c>
      <c r="O626" s="1">
        <v>1</v>
      </c>
      <c r="P626" s="1">
        <v>77</v>
      </c>
      <c r="Q626" s="1">
        <v>0</v>
      </c>
    </row>
    <row r="627" spans="2:17" ht="15.45" x14ac:dyDescent="0.4">
      <c r="B627" s="1">
        <v>102</v>
      </c>
      <c r="C627" s="1">
        <v>907.3378106691506</v>
      </c>
      <c r="D627" s="1">
        <v>1</v>
      </c>
      <c r="E627" s="1">
        <v>2776.5020647872416</v>
      </c>
      <c r="F627" s="1">
        <v>-1</v>
      </c>
      <c r="G627" s="1">
        <v>102</v>
      </c>
      <c r="H627" s="1">
        <v>1174.723273829562</v>
      </c>
      <c r="I627" s="1">
        <v>-1</v>
      </c>
      <c r="J627" s="1">
        <v>666.29315360788098</v>
      </c>
      <c r="K627" s="1">
        <v>-1</v>
      </c>
      <c r="L627" s="1">
        <v>52</v>
      </c>
      <c r="M627" s="18">
        <v>40</v>
      </c>
      <c r="N627" s="1">
        <v>39</v>
      </c>
      <c r="O627" s="1">
        <v>0</v>
      </c>
      <c r="P627" s="1">
        <v>0</v>
      </c>
      <c r="Q627" s="1">
        <v>0</v>
      </c>
    </row>
    <row r="628" spans="2:17" ht="15.45" x14ac:dyDescent="0.4">
      <c r="B628" s="1">
        <v>103</v>
      </c>
      <c r="C628" s="1">
        <v>923.24521407902137</v>
      </c>
      <c r="D628" s="1">
        <v>1</v>
      </c>
      <c r="E628" s="1">
        <v>2790.3764495322066</v>
      </c>
      <c r="F628" s="1">
        <v>-1</v>
      </c>
      <c r="G628" s="1">
        <v>103</v>
      </c>
      <c r="H628" s="1">
        <v>343.9731691262059</v>
      </c>
      <c r="I628" s="1">
        <v>1</v>
      </c>
      <c r="J628" s="1">
        <v>667.93392912696231</v>
      </c>
      <c r="K628" s="1">
        <v>-1</v>
      </c>
      <c r="L628" s="1">
        <v>51</v>
      </c>
      <c r="M628" s="18">
        <v>40</v>
      </c>
      <c r="N628" s="1">
        <v>38</v>
      </c>
      <c r="O628" s="1">
        <v>0</v>
      </c>
      <c r="P628" s="1">
        <v>0</v>
      </c>
      <c r="Q628" s="1">
        <v>0</v>
      </c>
    </row>
    <row r="629" spans="2:17" ht="15.45" x14ac:dyDescent="0.4">
      <c r="B629" s="1">
        <v>104</v>
      </c>
      <c r="C629" s="1">
        <v>935.84430379576463</v>
      </c>
      <c r="D629" s="1">
        <v>1</v>
      </c>
      <c r="E629" s="1">
        <v>2798.0512509383202</v>
      </c>
      <c r="F629" s="1">
        <v>-1</v>
      </c>
      <c r="G629" s="1">
        <v>104</v>
      </c>
      <c r="H629" s="1">
        <v>1216.0172515635784</v>
      </c>
      <c r="I629" s="1">
        <v>-1</v>
      </c>
      <c r="J629" s="1">
        <v>674.47612754418253</v>
      </c>
      <c r="K629" s="1">
        <v>1</v>
      </c>
      <c r="L629" s="1">
        <v>52</v>
      </c>
      <c r="M629" s="18">
        <v>40</v>
      </c>
      <c r="N629" s="1">
        <v>39</v>
      </c>
      <c r="O629" s="1">
        <v>0</v>
      </c>
      <c r="P629" s="1">
        <v>0</v>
      </c>
      <c r="Q629" s="1">
        <v>0</v>
      </c>
    </row>
    <row r="630" spans="2:17" ht="15.45" x14ac:dyDescent="0.4">
      <c r="B630" s="1">
        <v>105</v>
      </c>
      <c r="C630" s="1">
        <v>942.6490656983226</v>
      </c>
      <c r="D630" s="1">
        <v>1</v>
      </c>
      <c r="E630" s="1">
        <v>2812.1307122658864</v>
      </c>
      <c r="F630" s="1">
        <v>-1</v>
      </c>
      <c r="G630" s="1">
        <v>105</v>
      </c>
      <c r="H630" s="1">
        <v>393.10531801686034</v>
      </c>
      <c r="I630" s="1">
        <v>1</v>
      </c>
      <c r="J630" s="1">
        <v>699.67678667697135</v>
      </c>
      <c r="K630" s="1">
        <v>-1</v>
      </c>
      <c r="L630" s="1">
        <v>51</v>
      </c>
      <c r="M630" s="18">
        <v>40</v>
      </c>
      <c r="N630" s="1">
        <v>38</v>
      </c>
      <c r="O630" s="1">
        <v>0</v>
      </c>
      <c r="P630" s="1">
        <v>0</v>
      </c>
      <c r="Q630" s="1">
        <v>0</v>
      </c>
    </row>
    <row r="631" spans="2:17" ht="15.45" x14ac:dyDescent="0.4">
      <c r="B631" s="1">
        <v>106</v>
      </c>
      <c r="C631" s="1">
        <v>963.96598915235154</v>
      </c>
      <c r="D631" s="1">
        <v>1</v>
      </c>
      <c r="E631" s="1">
        <v>2899.8085422882027</v>
      </c>
      <c r="F631" s="1">
        <v>-1</v>
      </c>
      <c r="G631" s="1">
        <v>106</v>
      </c>
      <c r="H631" s="1">
        <v>1230.9892039338022</v>
      </c>
      <c r="I631" s="1">
        <v>-1</v>
      </c>
      <c r="J631" s="1">
        <v>712.25361881261506</v>
      </c>
      <c r="K631" s="1">
        <v>1</v>
      </c>
      <c r="L631" s="1">
        <v>52</v>
      </c>
      <c r="M631" s="18">
        <v>40</v>
      </c>
      <c r="N631" s="1">
        <v>39</v>
      </c>
      <c r="O631" s="1">
        <v>0</v>
      </c>
      <c r="P631" s="1">
        <v>0</v>
      </c>
      <c r="Q631" s="1">
        <v>0</v>
      </c>
    </row>
    <row r="632" spans="2:17" ht="15.45" x14ac:dyDescent="0.4">
      <c r="B632" s="1">
        <v>107</v>
      </c>
      <c r="C632" s="1">
        <v>976.202228932916</v>
      </c>
      <c r="D632" s="1">
        <v>1</v>
      </c>
      <c r="E632" s="1">
        <v>2919.3292813618868</v>
      </c>
      <c r="F632" s="1">
        <v>-1</v>
      </c>
      <c r="G632" s="1">
        <v>107</v>
      </c>
      <c r="H632" s="1">
        <v>401.4635618937092</v>
      </c>
      <c r="I632" s="1">
        <v>1</v>
      </c>
      <c r="J632" s="1">
        <v>722.23584076695386</v>
      </c>
      <c r="K632" s="1">
        <v>1</v>
      </c>
      <c r="L632" s="1">
        <v>53</v>
      </c>
      <c r="M632" s="18">
        <v>40</v>
      </c>
      <c r="N632" s="1">
        <v>40</v>
      </c>
      <c r="O632" s="1">
        <v>0</v>
      </c>
      <c r="P632" s="1">
        <v>0</v>
      </c>
      <c r="Q632" s="1">
        <v>0</v>
      </c>
    </row>
    <row r="633" spans="2:17" ht="15.45" x14ac:dyDescent="0.4">
      <c r="B633" s="1">
        <v>108</v>
      </c>
      <c r="C633" s="1">
        <v>983.68407692681672</v>
      </c>
      <c r="D633" s="1">
        <v>1</v>
      </c>
      <c r="E633" s="1">
        <v>2925.2577313688653</v>
      </c>
      <c r="F633" s="1">
        <v>-1</v>
      </c>
      <c r="G633" s="1">
        <v>108</v>
      </c>
      <c r="H633" s="1">
        <v>1236.0776306266873</v>
      </c>
      <c r="I633" s="1">
        <v>-1</v>
      </c>
      <c r="J633" s="1">
        <v>734.6928697691269</v>
      </c>
      <c r="K633" s="1">
        <v>-1</v>
      </c>
      <c r="L633" s="1">
        <v>52</v>
      </c>
      <c r="M633" s="18">
        <v>40</v>
      </c>
      <c r="N633" s="1">
        <v>39</v>
      </c>
      <c r="O633" s="1">
        <v>0</v>
      </c>
      <c r="P633" s="1">
        <v>0</v>
      </c>
      <c r="Q633" s="1">
        <v>0</v>
      </c>
    </row>
    <row r="634" spans="2:17" ht="15.45" x14ac:dyDescent="0.4">
      <c r="B634" s="1">
        <v>109</v>
      </c>
      <c r="C634" s="1">
        <v>999.404925989665</v>
      </c>
      <c r="D634" s="1">
        <v>1</v>
      </c>
      <c r="E634" s="1">
        <v>2946.5901790693447</v>
      </c>
      <c r="F634" s="1">
        <v>-1</v>
      </c>
      <c r="G634" s="1">
        <v>109</v>
      </c>
      <c r="H634" s="1">
        <v>427.80447356449821</v>
      </c>
      <c r="I634" s="1">
        <v>1</v>
      </c>
      <c r="J634" s="1">
        <v>736.15672577309078</v>
      </c>
      <c r="K634" s="1">
        <v>1</v>
      </c>
      <c r="L634" s="1">
        <v>53</v>
      </c>
      <c r="M634" s="18">
        <v>40</v>
      </c>
      <c r="N634" s="1">
        <v>40</v>
      </c>
      <c r="O634" s="1">
        <v>0</v>
      </c>
      <c r="P634" s="1">
        <v>0</v>
      </c>
      <c r="Q634" s="1">
        <v>0</v>
      </c>
    </row>
    <row r="635" spans="2:17" ht="15.45" x14ac:dyDescent="0.4">
      <c r="B635" s="1">
        <v>110</v>
      </c>
      <c r="C635" s="1">
        <v>1034.0972145606961</v>
      </c>
      <c r="D635" s="1">
        <v>1</v>
      </c>
      <c r="E635" s="1">
        <v>2972.7230581925996</v>
      </c>
      <c r="F635" s="1">
        <v>-1</v>
      </c>
      <c r="G635" s="1">
        <v>110</v>
      </c>
      <c r="H635" s="1">
        <v>1261.7295154788569</v>
      </c>
      <c r="I635" s="1">
        <v>-1</v>
      </c>
      <c r="J635" s="1">
        <v>737.13306451707308</v>
      </c>
      <c r="K635" s="1">
        <v>1</v>
      </c>
      <c r="L635" s="1">
        <v>54</v>
      </c>
      <c r="M635" s="18">
        <v>40</v>
      </c>
      <c r="N635" s="1">
        <v>40</v>
      </c>
      <c r="O635" s="1">
        <v>1</v>
      </c>
      <c r="P635" s="1">
        <v>82</v>
      </c>
      <c r="Q635" s="1">
        <v>0</v>
      </c>
    </row>
    <row r="636" spans="2:17" ht="15.45" x14ac:dyDescent="0.4">
      <c r="B636" s="1">
        <v>111</v>
      </c>
      <c r="C636" s="1">
        <v>1044.9900821887247</v>
      </c>
      <c r="D636" s="1">
        <v>1</v>
      </c>
      <c r="E636" s="1">
        <v>3003.0024934231374</v>
      </c>
      <c r="F636" s="1">
        <v>-1</v>
      </c>
      <c r="G636" s="1">
        <v>111</v>
      </c>
      <c r="H636" s="1">
        <v>435.67017268946654</v>
      </c>
      <c r="I636" s="1">
        <v>1</v>
      </c>
      <c r="J636" s="1">
        <v>740.18668141915782</v>
      </c>
      <c r="K636" s="1">
        <v>1</v>
      </c>
      <c r="L636" s="1">
        <v>55</v>
      </c>
      <c r="M636" s="18">
        <v>40</v>
      </c>
      <c r="N636" s="1">
        <v>40</v>
      </c>
      <c r="O636" s="1">
        <v>1</v>
      </c>
      <c r="P636" s="1">
        <v>83</v>
      </c>
      <c r="Q636" s="1">
        <v>0</v>
      </c>
    </row>
    <row r="637" spans="2:17" ht="15.45" x14ac:dyDescent="0.4">
      <c r="B637" s="1">
        <v>112</v>
      </c>
      <c r="C637" s="1">
        <v>1055.6881322109361</v>
      </c>
      <c r="D637" s="1">
        <v>1</v>
      </c>
      <c r="E637" s="1">
        <v>3022.1282693038365</v>
      </c>
      <c r="F637" s="1">
        <v>-1</v>
      </c>
      <c r="G637" s="1">
        <v>112</v>
      </c>
      <c r="H637" s="1">
        <v>1276.1481682074889</v>
      </c>
      <c r="I637" s="1">
        <v>-1</v>
      </c>
      <c r="J637" s="1">
        <v>740.60963029261006</v>
      </c>
      <c r="K637" s="1">
        <v>1</v>
      </c>
      <c r="L637" s="1">
        <v>56</v>
      </c>
      <c r="M637" s="18">
        <v>40</v>
      </c>
      <c r="N637" s="1">
        <v>40</v>
      </c>
      <c r="O637" s="1">
        <v>1</v>
      </c>
      <c r="P637" s="1">
        <v>84</v>
      </c>
      <c r="Q637" s="1">
        <v>0</v>
      </c>
    </row>
    <row r="638" spans="2:17" ht="15.45" x14ac:dyDescent="0.4">
      <c r="B638" s="1">
        <v>113</v>
      </c>
      <c r="C638" s="1">
        <v>1060.8663301973277</v>
      </c>
      <c r="D638" s="1">
        <v>1</v>
      </c>
      <c r="E638" s="1">
        <v>3105.1984228449533</v>
      </c>
      <c r="F638" s="1">
        <v>-1</v>
      </c>
      <c r="G638" s="1">
        <v>113</v>
      </c>
      <c r="H638" s="1">
        <v>474.88326620979734</v>
      </c>
      <c r="I638" s="1">
        <v>1</v>
      </c>
      <c r="J638" s="1">
        <v>745.47603785962383</v>
      </c>
      <c r="K638" s="1">
        <v>-1</v>
      </c>
      <c r="L638" s="1">
        <v>55</v>
      </c>
      <c r="M638" s="18">
        <v>40</v>
      </c>
      <c r="N638" s="1">
        <v>39</v>
      </c>
      <c r="O638" s="1">
        <v>0</v>
      </c>
      <c r="P638" s="1">
        <v>0</v>
      </c>
      <c r="Q638" s="1">
        <v>0</v>
      </c>
    </row>
    <row r="639" spans="2:17" ht="15.45" x14ac:dyDescent="0.4">
      <c r="B639" s="1">
        <v>114</v>
      </c>
      <c r="C639" s="1">
        <v>1062.1552625416641</v>
      </c>
      <c r="D639" s="1">
        <v>1</v>
      </c>
      <c r="E639" s="1">
        <v>3126.6950681113167</v>
      </c>
      <c r="F639" s="1">
        <v>-1</v>
      </c>
      <c r="G639" s="1">
        <v>114</v>
      </c>
      <c r="H639" s="1">
        <v>1282.5047032637287</v>
      </c>
      <c r="I639" s="1">
        <v>-1</v>
      </c>
      <c r="J639" s="1">
        <v>752.15389424021475</v>
      </c>
      <c r="K639" s="1">
        <v>1</v>
      </c>
      <c r="L639" s="1">
        <v>56</v>
      </c>
      <c r="M639" s="18">
        <v>40</v>
      </c>
      <c r="N639" s="1">
        <v>40</v>
      </c>
      <c r="O639" s="1">
        <v>0</v>
      </c>
      <c r="P639" s="1">
        <v>0</v>
      </c>
      <c r="Q639" s="1">
        <v>0</v>
      </c>
    </row>
    <row r="640" spans="2:17" ht="15.45" x14ac:dyDescent="0.4">
      <c r="B640" s="1">
        <v>115</v>
      </c>
      <c r="C640" s="1">
        <v>1073.2903495642231</v>
      </c>
      <c r="D640" s="1">
        <v>1</v>
      </c>
      <c r="E640" s="1">
        <v>3128.9996986460997</v>
      </c>
      <c r="F640" s="1">
        <v>-1</v>
      </c>
      <c r="G640" s="1">
        <v>115</v>
      </c>
      <c r="H640" s="1">
        <v>479.08805318722955</v>
      </c>
      <c r="I640" s="1">
        <v>1</v>
      </c>
      <c r="J640" s="1">
        <v>761.1278779687409</v>
      </c>
      <c r="K640" s="1">
        <v>1</v>
      </c>
      <c r="L640" s="1">
        <v>57</v>
      </c>
      <c r="M640" s="18">
        <v>40</v>
      </c>
      <c r="N640" s="1">
        <v>40</v>
      </c>
      <c r="O640" s="1">
        <v>1</v>
      </c>
      <c r="P640" s="1">
        <v>86</v>
      </c>
      <c r="Q640" s="1">
        <v>0</v>
      </c>
    </row>
    <row r="641" spans="2:17" ht="15.45" x14ac:dyDescent="0.4">
      <c r="B641" s="1">
        <v>116</v>
      </c>
      <c r="C641" s="1">
        <v>1074.0105003824895</v>
      </c>
      <c r="D641" s="1">
        <v>1</v>
      </c>
      <c r="E641" s="1">
        <v>3176.721908875712</v>
      </c>
      <c r="F641" s="1">
        <v>-1</v>
      </c>
      <c r="G641" s="1">
        <v>116</v>
      </c>
      <c r="H641" s="1">
        <v>1301.8706739376944</v>
      </c>
      <c r="I641" s="1">
        <v>-1</v>
      </c>
      <c r="J641" s="1">
        <v>762.38843676652925</v>
      </c>
      <c r="K641" s="1">
        <v>-1</v>
      </c>
      <c r="L641" s="1">
        <v>56</v>
      </c>
      <c r="M641" s="18">
        <v>40</v>
      </c>
      <c r="N641" s="1">
        <v>39</v>
      </c>
      <c r="O641" s="1">
        <v>0</v>
      </c>
      <c r="P641" s="1">
        <v>0</v>
      </c>
      <c r="Q641" s="1">
        <v>0</v>
      </c>
    </row>
    <row r="642" spans="2:17" ht="15.45" x14ac:dyDescent="0.4">
      <c r="B642" s="1">
        <v>117</v>
      </c>
      <c r="C642" s="1">
        <v>1078.0433512286752</v>
      </c>
      <c r="D642" s="1">
        <v>1</v>
      </c>
      <c r="E642" s="1">
        <v>3214.519178025942</v>
      </c>
      <c r="F642" s="1">
        <v>-1</v>
      </c>
      <c r="G642" s="1">
        <v>117</v>
      </c>
      <c r="H642" s="1">
        <v>487.89789216955575</v>
      </c>
      <c r="I642" s="1">
        <v>1</v>
      </c>
      <c r="J642" s="1">
        <v>770.37126179745621</v>
      </c>
      <c r="K642" s="1">
        <v>1</v>
      </c>
      <c r="L642" s="1">
        <v>57</v>
      </c>
      <c r="M642" s="18">
        <v>40</v>
      </c>
      <c r="N642" s="1">
        <v>40</v>
      </c>
      <c r="O642" s="1">
        <v>0</v>
      </c>
      <c r="P642" s="1">
        <v>0</v>
      </c>
      <c r="Q642" s="1">
        <v>0</v>
      </c>
    </row>
    <row r="643" spans="2:17" ht="15.45" x14ac:dyDescent="0.4">
      <c r="B643" s="1">
        <v>118</v>
      </c>
      <c r="C643" s="1">
        <v>1087.6692087800734</v>
      </c>
      <c r="D643" s="1">
        <v>1</v>
      </c>
      <c r="E643" s="1">
        <v>3234.933463733616</v>
      </c>
      <c r="F643" s="1">
        <v>-1</v>
      </c>
      <c r="G643" s="1">
        <v>118</v>
      </c>
      <c r="H643" s="1">
        <v>1335.884048891751</v>
      </c>
      <c r="I643" s="1">
        <v>-1</v>
      </c>
      <c r="J643" s="1">
        <v>778.82528184839327</v>
      </c>
      <c r="K643" s="1">
        <v>1</v>
      </c>
      <c r="L643" s="1">
        <v>58</v>
      </c>
      <c r="M643" s="18">
        <v>40</v>
      </c>
      <c r="N643" s="1">
        <v>40</v>
      </c>
      <c r="O643" s="1">
        <v>1</v>
      </c>
      <c r="P643" s="1">
        <v>88</v>
      </c>
      <c r="Q643" s="1">
        <v>0</v>
      </c>
    </row>
    <row r="644" spans="2:17" ht="15.45" x14ac:dyDescent="0.4">
      <c r="B644" s="1">
        <v>119</v>
      </c>
      <c r="C644" s="1">
        <v>1090.4723906962504</v>
      </c>
      <c r="D644" s="1">
        <v>1</v>
      </c>
      <c r="E644" s="1">
        <v>3298.8842340957031</v>
      </c>
      <c r="F644" s="1">
        <v>-1</v>
      </c>
      <c r="G644" s="1">
        <v>119</v>
      </c>
      <c r="H644" s="1">
        <v>492.16849476187707</v>
      </c>
      <c r="I644" s="1">
        <v>1</v>
      </c>
      <c r="J644" s="1">
        <v>789.83859938286434</v>
      </c>
      <c r="K644" s="1">
        <v>1</v>
      </c>
      <c r="L644" s="1">
        <v>59</v>
      </c>
      <c r="M644" s="18">
        <v>40</v>
      </c>
      <c r="N644" s="1">
        <v>40</v>
      </c>
      <c r="O644" s="1">
        <v>1</v>
      </c>
      <c r="P644" s="1">
        <v>89</v>
      </c>
      <c r="Q644" s="1">
        <v>0</v>
      </c>
    </row>
    <row r="645" spans="2:17" ht="15.45" x14ac:dyDescent="0.4">
      <c r="B645" s="1">
        <v>120</v>
      </c>
      <c r="C645" s="1">
        <v>1099.5476324119666</v>
      </c>
      <c r="D645" s="1">
        <v>1</v>
      </c>
      <c r="E645" s="1">
        <v>3335.5929534373963</v>
      </c>
      <c r="F645" s="1">
        <v>-1</v>
      </c>
      <c r="G645" s="1">
        <v>120</v>
      </c>
      <c r="H645" s="1">
        <v>1348.1770042670603</v>
      </c>
      <c r="I645" s="1">
        <v>-1</v>
      </c>
      <c r="J645" s="1">
        <v>794.4633942978528</v>
      </c>
      <c r="K645" s="1">
        <v>1</v>
      </c>
      <c r="L645" s="1">
        <v>60</v>
      </c>
      <c r="M645" s="18">
        <v>40</v>
      </c>
      <c r="N645" s="1">
        <v>40</v>
      </c>
      <c r="O645" s="1">
        <v>1</v>
      </c>
      <c r="P645" s="1">
        <v>90</v>
      </c>
      <c r="Q645" s="1">
        <v>0</v>
      </c>
    </row>
    <row r="646" spans="2:17" ht="15.45" x14ac:dyDescent="0.4">
      <c r="B646" s="1">
        <v>121</v>
      </c>
      <c r="C646" s="1">
        <v>1103.3072567811278</v>
      </c>
      <c r="D646" s="1">
        <v>1</v>
      </c>
      <c r="E646" s="1">
        <v>3358.0384974190983</v>
      </c>
      <c r="F646" s="1">
        <v>-1</v>
      </c>
      <c r="G646" s="1">
        <v>121</v>
      </c>
      <c r="H646" s="1">
        <v>495.66145034511021</v>
      </c>
      <c r="I646" s="1">
        <v>1</v>
      </c>
      <c r="J646" s="1">
        <v>797.02166143322393</v>
      </c>
      <c r="K646" s="1">
        <v>1</v>
      </c>
      <c r="L646" s="1">
        <v>61</v>
      </c>
      <c r="M646" s="18">
        <v>40</v>
      </c>
      <c r="N646" s="1">
        <v>40</v>
      </c>
      <c r="O646" s="1">
        <v>1</v>
      </c>
      <c r="P646" s="1">
        <v>91</v>
      </c>
      <c r="Q646" s="1">
        <v>0</v>
      </c>
    </row>
    <row r="647" spans="2:17" ht="15.45" x14ac:dyDescent="0.4">
      <c r="B647" s="1">
        <v>122</v>
      </c>
      <c r="C647" s="1">
        <v>1108.3685617028348</v>
      </c>
      <c r="D647" s="1">
        <v>1</v>
      </c>
      <c r="E647" s="1">
        <v>3405.2010446076438</v>
      </c>
      <c r="F647" s="1">
        <v>-1</v>
      </c>
      <c r="G647" s="1">
        <v>122</v>
      </c>
      <c r="H647" s="1">
        <v>1360.1516234915011</v>
      </c>
      <c r="I647" s="1">
        <v>-1</v>
      </c>
      <c r="J647" s="1">
        <v>801.71481520907935</v>
      </c>
      <c r="K647" s="1">
        <v>1</v>
      </c>
      <c r="L647" s="1">
        <v>62</v>
      </c>
      <c r="M647" s="18">
        <v>40</v>
      </c>
      <c r="N647" s="1">
        <v>40</v>
      </c>
      <c r="O647" s="1">
        <v>1</v>
      </c>
      <c r="P647" s="1">
        <v>92</v>
      </c>
      <c r="Q647" s="1">
        <v>0</v>
      </c>
    </row>
    <row r="648" spans="2:17" ht="15.45" x14ac:dyDescent="0.4">
      <c r="B648" s="1">
        <v>123</v>
      </c>
      <c r="C648" s="1">
        <v>1130.5247229544045</v>
      </c>
      <c r="D648" s="1">
        <v>1</v>
      </c>
      <c r="E648" s="1">
        <v>3509.2779103207367</v>
      </c>
      <c r="F648" s="1">
        <v>-1</v>
      </c>
      <c r="G648" s="1">
        <v>123</v>
      </c>
      <c r="H648" s="1">
        <v>497.49671458217466</v>
      </c>
      <c r="I648" s="1">
        <v>1</v>
      </c>
      <c r="J648" s="1">
        <v>811.04964859186532</v>
      </c>
      <c r="K648" s="1">
        <v>-1</v>
      </c>
      <c r="L648" s="1">
        <v>61</v>
      </c>
      <c r="M648" s="18">
        <v>40</v>
      </c>
      <c r="N648" s="1">
        <v>39</v>
      </c>
      <c r="O648" s="1">
        <v>0</v>
      </c>
      <c r="P648" s="1">
        <v>0</v>
      </c>
      <c r="Q648" s="1">
        <v>0</v>
      </c>
    </row>
    <row r="649" spans="2:17" ht="15.45" x14ac:dyDescent="0.4">
      <c r="B649" s="1">
        <v>124</v>
      </c>
      <c r="C649" s="1">
        <v>1141.7385156294088</v>
      </c>
      <c r="D649" s="1">
        <v>1</v>
      </c>
      <c r="E649" s="1">
        <v>3541.9565132048219</v>
      </c>
      <c r="F649" s="1">
        <v>-1</v>
      </c>
      <c r="G649" s="1">
        <v>124</v>
      </c>
      <c r="H649" s="1">
        <v>1362.0768913438769</v>
      </c>
      <c r="I649" s="1">
        <v>-1</v>
      </c>
      <c r="J649" s="1">
        <v>830.94075854985147</v>
      </c>
      <c r="K649" s="1">
        <v>1</v>
      </c>
      <c r="L649" s="1">
        <v>62</v>
      </c>
      <c r="M649" s="18">
        <v>40</v>
      </c>
      <c r="N649" s="1">
        <v>40</v>
      </c>
      <c r="O649" s="1">
        <v>0</v>
      </c>
      <c r="P649" s="1">
        <v>0</v>
      </c>
      <c r="Q649" s="1">
        <v>0</v>
      </c>
    </row>
    <row r="650" spans="2:17" ht="15.45" x14ac:dyDescent="0.4">
      <c r="B650" s="1">
        <v>125</v>
      </c>
      <c r="C650" s="1">
        <v>1151.5411267619372</v>
      </c>
      <c r="D650" s="1">
        <v>1</v>
      </c>
      <c r="E650" s="1">
        <v>3574.050663271456</v>
      </c>
      <c r="F650" s="1">
        <v>-1</v>
      </c>
      <c r="G650" s="1">
        <v>125</v>
      </c>
      <c r="H650" s="1">
        <v>505.30413046943687</v>
      </c>
      <c r="I650" s="1">
        <v>1</v>
      </c>
      <c r="J650" s="1">
        <v>837.44767157441288</v>
      </c>
      <c r="K650" s="1">
        <v>1</v>
      </c>
      <c r="L650" s="1">
        <v>63</v>
      </c>
      <c r="M650" s="18">
        <v>40</v>
      </c>
      <c r="N650" s="1">
        <v>40</v>
      </c>
      <c r="O650" s="1">
        <v>1</v>
      </c>
      <c r="P650" s="1">
        <v>94</v>
      </c>
      <c r="Q650" s="1">
        <v>0</v>
      </c>
    </row>
    <row r="651" spans="2:17" ht="15.45" x14ac:dyDescent="0.4">
      <c r="B651" s="1">
        <v>126</v>
      </c>
      <c r="C651" s="1">
        <v>1158.5670313670244</v>
      </c>
      <c r="D651" s="1">
        <v>1</v>
      </c>
      <c r="E651" s="1">
        <v>3589.5852572306303</v>
      </c>
      <c r="F651" s="1">
        <v>-1</v>
      </c>
      <c r="G651" s="1">
        <v>126</v>
      </c>
      <c r="H651" s="1">
        <v>1364.0937886858615</v>
      </c>
      <c r="I651" s="1">
        <v>-1</v>
      </c>
      <c r="J651" s="1">
        <v>839.4238215767391</v>
      </c>
      <c r="K651" s="1">
        <v>1</v>
      </c>
      <c r="L651" s="1">
        <v>64</v>
      </c>
      <c r="M651" s="18">
        <v>40</v>
      </c>
      <c r="N651" s="1">
        <v>40</v>
      </c>
      <c r="O651" s="1">
        <v>1</v>
      </c>
      <c r="P651" s="1">
        <v>95</v>
      </c>
      <c r="Q651" s="1">
        <v>0</v>
      </c>
    </row>
    <row r="652" spans="2:17" ht="15.45" x14ac:dyDescent="0.4">
      <c r="B652" s="1">
        <v>127</v>
      </c>
      <c r="C652" s="1">
        <v>1177.690467152463</v>
      </c>
      <c r="D652" s="1">
        <v>1</v>
      </c>
      <c r="E652" s="1">
        <v>3593.4520542636396</v>
      </c>
      <c r="F652" s="1">
        <v>-1</v>
      </c>
      <c r="G652" s="1">
        <v>127</v>
      </c>
      <c r="H652" s="1">
        <v>511.89206571586425</v>
      </c>
      <c r="I652" s="1">
        <v>1</v>
      </c>
      <c r="J652" s="1">
        <v>846.53463747689898</v>
      </c>
      <c r="K652" s="1">
        <v>1</v>
      </c>
      <c r="L652" s="1">
        <v>65</v>
      </c>
      <c r="M652" s="18">
        <v>40</v>
      </c>
      <c r="N652" s="1">
        <v>40</v>
      </c>
      <c r="O652" s="1">
        <v>1</v>
      </c>
      <c r="P652" s="1">
        <v>96</v>
      </c>
      <c r="Q652" s="1">
        <v>0</v>
      </c>
    </row>
    <row r="653" spans="2:17" ht="15.45" x14ac:dyDescent="0.4">
      <c r="B653" s="1">
        <v>128</v>
      </c>
      <c r="C653" s="1">
        <v>1193.7190325579761</v>
      </c>
      <c r="D653" s="1">
        <v>1</v>
      </c>
      <c r="E653" s="1">
        <v>3626.8573153313164</v>
      </c>
      <c r="F653" s="1">
        <v>-1</v>
      </c>
      <c r="G653" s="1">
        <v>128</v>
      </c>
      <c r="H653" s="1">
        <v>1393.1773955973335</v>
      </c>
      <c r="I653" s="1">
        <v>-1</v>
      </c>
      <c r="J653" s="1">
        <v>855.24559718465059</v>
      </c>
      <c r="K653" s="1">
        <v>1</v>
      </c>
      <c r="L653" s="1">
        <v>66</v>
      </c>
      <c r="M653" s="18">
        <v>40</v>
      </c>
      <c r="N653" s="1">
        <v>40</v>
      </c>
      <c r="O653" s="1">
        <v>1</v>
      </c>
      <c r="P653" s="1">
        <v>97</v>
      </c>
      <c r="Q653" s="1">
        <v>0</v>
      </c>
    </row>
    <row r="654" spans="2:17" ht="15.45" x14ac:dyDescent="0.4">
      <c r="B654" s="1">
        <v>129</v>
      </c>
      <c r="C654" s="1">
        <v>1196.2208607476809</v>
      </c>
      <c r="D654" s="1">
        <v>1</v>
      </c>
      <c r="E654" s="1">
        <v>3629.0177677861152</v>
      </c>
      <c r="F654" s="1">
        <v>-1</v>
      </c>
      <c r="G654" s="1">
        <v>129</v>
      </c>
      <c r="H654" s="1">
        <v>535.94474470487808</v>
      </c>
      <c r="I654" s="1">
        <v>1</v>
      </c>
      <c r="J654" s="1">
        <v>865.33874226149646</v>
      </c>
      <c r="K654" s="1">
        <v>1</v>
      </c>
      <c r="L654" s="1">
        <v>67</v>
      </c>
      <c r="M654" s="18">
        <v>40</v>
      </c>
      <c r="N654" s="1">
        <v>40</v>
      </c>
      <c r="O654" s="1">
        <v>1</v>
      </c>
      <c r="P654" s="1">
        <v>98</v>
      </c>
      <c r="Q654" s="1">
        <v>0</v>
      </c>
    </row>
    <row r="655" spans="2:17" ht="15.45" x14ac:dyDescent="0.4">
      <c r="B655" s="1">
        <v>130</v>
      </c>
      <c r="C655" s="1">
        <v>1207.0372561769477</v>
      </c>
      <c r="D655" s="1">
        <v>1</v>
      </c>
      <c r="E655" s="1">
        <v>3641.1163203246724</v>
      </c>
      <c r="F655" s="1">
        <v>-1</v>
      </c>
      <c r="G655" s="1">
        <v>130</v>
      </c>
      <c r="H655" s="1">
        <v>1438.9057740172666</v>
      </c>
      <c r="I655" s="1">
        <v>-1</v>
      </c>
      <c r="J655" s="1">
        <v>871.71400088839619</v>
      </c>
      <c r="K655" s="1">
        <v>1</v>
      </c>
      <c r="L655" s="1">
        <v>68</v>
      </c>
      <c r="M655" s="18">
        <v>40</v>
      </c>
      <c r="N655" s="1">
        <v>40</v>
      </c>
      <c r="O655" s="1">
        <v>1</v>
      </c>
      <c r="P655" s="1">
        <v>99</v>
      </c>
      <c r="Q655" s="1">
        <v>0</v>
      </c>
    </row>
    <row r="656" spans="2:17" ht="15.45" x14ac:dyDescent="0.4">
      <c r="B656" s="1">
        <v>131</v>
      </c>
      <c r="C656" s="1">
        <v>1208.1439384206726</v>
      </c>
      <c r="D656" s="1">
        <v>1</v>
      </c>
      <c r="E656" s="1">
        <v>3669.9938929788668</v>
      </c>
      <c r="F656" s="1">
        <v>-1</v>
      </c>
      <c r="G656" s="1">
        <v>131</v>
      </c>
      <c r="H656" s="1">
        <v>545.35885504891837</v>
      </c>
      <c r="I656" s="1">
        <v>1</v>
      </c>
      <c r="J656" s="1">
        <v>896.90678741967611</v>
      </c>
      <c r="K656" s="1">
        <v>-1</v>
      </c>
      <c r="L656" s="1">
        <v>67</v>
      </c>
      <c r="M656" s="18">
        <v>40</v>
      </c>
      <c r="N656" s="1">
        <v>39</v>
      </c>
      <c r="O656" s="1">
        <v>0</v>
      </c>
      <c r="P656" s="1">
        <v>0</v>
      </c>
      <c r="Q656" s="1">
        <v>0</v>
      </c>
    </row>
    <row r="657" spans="2:17" ht="15.45" x14ac:dyDescent="0.4">
      <c r="B657" s="1">
        <v>132</v>
      </c>
      <c r="C657" s="1">
        <v>1210.7385081737905</v>
      </c>
      <c r="D657" s="1">
        <v>1</v>
      </c>
      <c r="E657" s="1">
        <v>3678.4034387273969</v>
      </c>
      <c r="F657" s="1">
        <v>-1</v>
      </c>
      <c r="G657" s="1">
        <v>132</v>
      </c>
      <c r="H657" s="1">
        <v>1586.3022206892301</v>
      </c>
      <c r="I657" s="1">
        <v>-1</v>
      </c>
      <c r="J657" s="1">
        <v>899.40405206876846</v>
      </c>
      <c r="K657" s="1">
        <v>1</v>
      </c>
      <c r="L657" s="1">
        <v>68</v>
      </c>
      <c r="M657" s="18">
        <v>40</v>
      </c>
      <c r="N657" s="1">
        <v>40</v>
      </c>
      <c r="O657" s="1">
        <v>0</v>
      </c>
      <c r="P657" s="1">
        <v>0</v>
      </c>
      <c r="Q657" s="1">
        <v>0</v>
      </c>
    </row>
    <row r="658" spans="2:17" ht="15.45" x14ac:dyDescent="0.4">
      <c r="B658" s="1">
        <v>133</v>
      </c>
      <c r="C658" s="1">
        <v>1212.3304240262141</v>
      </c>
      <c r="D658" s="1">
        <v>1</v>
      </c>
      <c r="E658" s="1">
        <v>3705.6291638745452</v>
      </c>
      <c r="F658" s="1">
        <v>-1</v>
      </c>
      <c r="G658" s="1">
        <v>133</v>
      </c>
      <c r="H658" s="1">
        <v>562.10233390002122</v>
      </c>
      <c r="I658" s="1">
        <v>1</v>
      </c>
      <c r="J658" s="1">
        <v>906.56960049088968</v>
      </c>
      <c r="K658" s="1">
        <v>1</v>
      </c>
      <c r="L658" s="1">
        <v>69</v>
      </c>
      <c r="M658" s="18">
        <v>40</v>
      </c>
      <c r="N658" s="1">
        <v>40</v>
      </c>
      <c r="O658" s="1">
        <v>1</v>
      </c>
      <c r="P658" s="1">
        <v>101</v>
      </c>
      <c r="Q658" s="1">
        <v>0</v>
      </c>
    </row>
    <row r="659" spans="2:17" ht="15.45" x14ac:dyDescent="0.4">
      <c r="B659" s="1">
        <v>134</v>
      </c>
      <c r="C659" s="1">
        <v>1217.2508676878276</v>
      </c>
      <c r="D659" s="1">
        <v>1</v>
      </c>
      <c r="E659" s="1">
        <v>3716.9080369820285</v>
      </c>
      <c r="F659" s="1">
        <v>-1</v>
      </c>
      <c r="G659" s="1">
        <v>134</v>
      </c>
      <c r="H659" s="1">
        <v>1611.3769523197766</v>
      </c>
      <c r="I659" s="1">
        <v>-1</v>
      </c>
      <c r="J659" s="1">
        <v>907.3378106691506</v>
      </c>
      <c r="K659" s="1">
        <v>1</v>
      </c>
      <c r="L659" s="1">
        <v>70</v>
      </c>
      <c r="M659" s="18">
        <v>40</v>
      </c>
      <c r="N659" s="1">
        <v>40</v>
      </c>
      <c r="O659" s="1">
        <v>1</v>
      </c>
      <c r="P659" s="1">
        <v>102</v>
      </c>
      <c r="Q659" s="1">
        <v>0</v>
      </c>
    </row>
    <row r="660" spans="2:17" ht="15.45" x14ac:dyDescent="0.4">
      <c r="B660" s="1">
        <v>135</v>
      </c>
      <c r="C660" s="1">
        <v>1223.2897393892986</v>
      </c>
      <c r="D660" s="1">
        <v>1</v>
      </c>
      <c r="E660" s="1">
        <v>3732.0919517471498</v>
      </c>
      <c r="F660" s="1">
        <v>-1</v>
      </c>
      <c r="G660" s="1">
        <v>135</v>
      </c>
      <c r="H660" s="1">
        <v>586.81674135934452</v>
      </c>
      <c r="I660" s="1">
        <v>1</v>
      </c>
      <c r="J660" s="1">
        <v>923.24521407902137</v>
      </c>
      <c r="K660" s="1">
        <v>1</v>
      </c>
      <c r="L660" s="1">
        <v>71</v>
      </c>
      <c r="M660" s="18">
        <v>40</v>
      </c>
      <c r="N660" s="1">
        <v>40</v>
      </c>
      <c r="O660" s="1">
        <v>1</v>
      </c>
      <c r="P660" s="1">
        <v>103</v>
      </c>
      <c r="Q660" s="1">
        <v>0</v>
      </c>
    </row>
    <row r="661" spans="2:17" ht="15.45" x14ac:dyDescent="0.4">
      <c r="B661" s="1">
        <v>136</v>
      </c>
      <c r="C661" s="1">
        <v>1236.802768658617</v>
      </c>
      <c r="D661" s="1">
        <v>1</v>
      </c>
      <c r="E661" s="1">
        <v>3798.5604355018595</v>
      </c>
      <c r="F661" s="1">
        <v>-1</v>
      </c>
      <c r="G661" s="1">
        <v>136</v>
      </c>
      <c r="H661" s="1">
        <v>1690.3996873321439</v>
      </c>
      <c r="I661" s="1">
        <v>-1</v>
      </c>
      <c r="J661" s="1">
        <v>935.84430379576463</v>
      </c>
      <c r="K661" s="1">
        <v>1</v>
      </c>
      <c r="L661" s="1">
        <v>72</v>
      </c>
      <c r="M661" s="18">
        <v>40</v>
      </c>
      <c r="N661" s="1">
        <v>40</v>
      </c>
      <c r="O661" s="1">
        <v>1</v>
      </c>
      <c r="P661" s="1">
        <v>104</v>
      </c>
      <c r="Q661" s="1">
        <v>0</v>
      </c>
    </row>
    <row r="662" spans="2:17" ht="15.45" x14ac:dyDescent="0.4">
      <c r="B662" s="1">
        <v>137</v>
      </c>
      <c r="C662" s="1">
        <v>1238.174816966</v>
      </c>
      <c r="D662" s="1">
        <v>1</v>
      </c>
      <c r="E662" s="1">
        <v>3832.2018135268722</v>
      </c>
      <c r="F662" s="1">
        <v>-1</v>
      </c>
      <c r="G662" s="1">
        <v>137</v>
      </c>
      <c r="H662" s="1">
        <v>605.69169575270848</v>
      </c>
      <c r="I662" s="1">
        <v>1</v>
      </c>
      <c r="J662" s="1">
        <v>939.45289173467211</v>
      </c>
      <c r="K662" s="1">
        <v>-1</v>
      </c>
      <c r="L662" s="1">
        <v>71</v>
      </c>
      <c r="M662" s="18">
        <v>40</v>
      </c>
      <c r="N662" s="1">
        <v>39</v>
      </c>
      <c r="O662" s="1">
        <v>0</v>
      </c>
      <c r="P662" s="1">
        <v>0</v>
      </c>
      <c r="Q662" s="1">
        <v>0</v>
      </c>
    </row>
    <row r="663" spans="2:17" ht="15.45" x14ac:dyDescent="0.4">
      <c r="B663" s="1">
        <v>138</v>
      </c>
      <c r="C663" s="1">
        <v>1239.9045473642464</v>
      </c>
      <c r="D663" s="1">
        <v>1</v>
      </c>
      <c r="E663" s="1">
        <v>3861.609646924458</v>
      </c>
      <c r="F663" s="1">
        <v>-1</v>
      </c>
      <c r="G663" s="1">
        <v>138</v>
      </c>
      <c r="H663" s="1">
        <v>1713.9967847070491</v>
      </c>
      <c r="I663" s="1">
        <v>-1</v>
      </c>
      <c r="J663" s="1">
        <v>942.6490656983226</v>
      </c>
      <c r="K663" s="1">
        <v>1</v>
      </c>
      <c r="L663" s="1">
        <v>72</v>
      </c>
      <c r="M663" s="18">
        <v>40</v>
      </c>
      <c r="N663" s="1">
        <v>40</v>
      </c>
      <c r="O663" s="1">
        <v>0</v>
      </c>
      <c r="P663" s="1">
        <v>0</v>
      </c>
      <c r="Q663" s="1">
        <v>0</v>
      </c>
    </row>
    <row r="664" spans="2:17" ht="15.45" x14ac:dyDescent="0.4">
      <c r="B664" s="1">
        <v>139</v>
      </c>
      <c r="C664" s="1">
        <v>1244.2839735304701</v>
      </c>
      <c r="D664" s="1">
        <v>1</v>
      </c>
      <c r="E664" s="1">
        <v>3882.6873607397197</v>
      </c>
      <c r="F664" s="1">
        <v>-1</v>
      </c>
      <c r="G664" s="1">
        <v>139</v>
      </c>
      <c r="H664" s="1">
        <v>606.1614330623612</v>
      </c>
      <c r="I664" s="1">
        <v>1</v>
      </c>
      <c r="J664" s="1">
        <v>952.79175268917425</v>
      </c>
      <c r="K664" s="1">
        <v>-1</v>
      </c>
      <c r="L664" s="1">
        <v>71</v>
      </c>
      <c r="M664" s="18">
        <v>40</v>
      </c>
      <c r="N664" s="1">
        <v>39</v>
      </c>
      <c r="O664" s="1">
        <v>0</v>
      </c>
      <c r="P664" s="1">
        <v>0</v>
      </c>
      <c r="Q664" s="1">
        <v>0</v>
      </c>
    </row>
    <row r="665" spans="2:17" ht="15.45" x14ac:dyDescent="0.4">
      <c r="B665" s="1">
        <v>140</v>
      </c>
      <c r="C665" s="1">
        <v>1252.3336449861683</v>
      </c>
      <c r="D665" s="1">
        <v>1</v>
      </c>
      <c r="E665" s="1">
        <v>3940.0576680960348</v>
      </c>
      <c r="F665" s="1">
        <v>-1</v>
      </c>
      <c r="G665" s="1">
        <v>140</v>
      </c>
      <c r="H665" s="1">
        <v>1831.6360652680414</v>
      </c>
      <c r="I665" s="1">
        <v>-1</v>
      </c>
      <c r="J665" s="1">
        <v>961.83910898177317</v>
      </c>
      <c r="K665" s="1">
        <v>-1</v>
      </c>
      <c r="L665" s="1">
        <v>70</v>
      </c>
      <c r="M665" s="18">
        <v>40</v>
      </c>
      <c r="N665" s="1">
        <v>38</v>
      </c>
      <c r="O665" s="1">
        <v>0</v>
      </c>
      <c r="P665" s="1">
        <v>0</v>
      </c>
      <c r="Q665" s="1">
        <v>0</v>
      </c>
    </row>
    <row r="666" spans="2:17" ht="15.45" x14ac:dyDescent="0.4">
      <c r="B666" s="1">
        <v>141</v>
      </c>
      <c r="C666" s="1">
        <v>1258.2953875380667</v>
      </c>
      <c r="D666" s="1">
        <v>1</v>
      </c>
      <c r="E666" s="1">
        <v>3988.1433643125738</v>
      </c>
      <c r="F666" s="1">
        <v>-1</v>
      </c>
      <c r="G666" s="1">
        <v>141</v>
      </c>
      <c r="H666" s="1">
        <v>611.26823231701371</v>
      </c>
      <c r="I666" s="1">
        <v>1</v>
      </c>
      <c r="J666" s="1">
        <v>963.96598915235154</v>
      </c>
      <c r="K666" s="1">
        <v>1</v>
      </c>
      <c r="L666" s="1">
        <v>71</v>
      </c>
      <c r="M666" s="18">
        <v>40</v>
      </c>
      <c r="N666" s="1">
        <v>39</v>
      </c>
      <c r="O666" s="1">
        <v>0</v>
      </c>
      <c r="P666" s="1">
        <v>0</v>
      </c>
      <c r="Q666" s="1">
        <v>0</v>
      </c>
    </row>
    <row r="667" spans="2:17" ht="15.45" x14ac:dyDescent="0.4">
      <c r="B667" s="1">
        <v>142</v>
      </c>
      <c r="C667" s="1">
        <v>1302.5402099252833</v>
      </c>
      <c r="D667" s="1">
        <v>1</v>
      </c>
      <c r="E667" s="1">
        <v>3995.6488488816885</v>
      </c>
      <c r="F667" s="1">
        <v>-1</v>
      </c>
      <c r="G667" s="1">
        <v>142</v>
      </c>
      <c r="H667" s="1">
        <v>1844.2504262003381</v>
      </c>
      <c r="I667" s="1">
        <v>-1</v>
      </c>
      <c r="J667" s="1">
        <v>971.35683829062521</v>
      </c>
      <c r="K667" s="1">
        <v>-1</v>
      </c>
      <c r="L667" s="1">
        <v>70</v>
      </c>
      <c r="M667" s="18">
        <v>40</v>
      </c>
      <c r="N667" s="1">
        <v>38</v>
      </c>
      <c r="O667" s="1">
        <v>0</v>
      </c>
      <c r="P667" s="1">
        <v>0</v>
      </c>
      <c r="Q667" s="1">
        <v>0</v>
      </c>
    </row>
    <row r="668" spans="2:17" ht="15.45" x14ac:dyDescent="0.4">
      <c r="B668" s="1">
        <v>143</v>
      </c>
      <c r="C668" s="1">
        <v>1306.2369684137873</v>
      </c>
      <c r="D668" s="1">
        <v>1</v>
      </c>
      <c r="E668" s="1">
        <v>4028.0980351694889</v>
      </c>
      <c r="F668" s="1">
        <v>-1</v>
      </c>
      <c r="G668" s="1">
        <v>143</v>
      </c>
      <c r="H668" s="1">
        <v>616.7103063349598</v>
      </c>
      <c r="I668" s="1">
        <v>1</v>
      </c>
      <c r="J668" s="1">
        <v>976.202228932916</v>
      </c>
      <c r="K668" s="1">
        <v>1</v>
      </c>
      <c r="L668" s="1">
        <v>71</v>
      </c>
      <c r="M668" s="18">
        <v>40</v>
      </c>
      <c r="N668" s="1">
        <v>39</v>
      </c>
      <c r="O668" s="1">
        <v>0</v>
      </c>
      <c r="P668" s="1">
        <v>0</v>
      </c>
      <c r="Q668" s="1">
        <v>0</v>
      </c>
    </row>
    <row r="669" spans="2:17" ht="15.45" x14ac:dyDescent="0.4">
      <c r="B669" s="1">
        <v>144</v>
      </c>
      <c r="C669" s="1">
        <v>1317.7001590794662</v>
      </c>
      <c r="D669" s="1">
        <v>1</v>
      </c>
      <c r="E669" s="1">
        <v>4031.4180819006633</v>
      </c>
      <c r="F669" s="1">
        <v>-1</v>
      </c>
      <c r="G669" s="1">
        <v>144</v>
      </c>
      <c r="H669" s="1">
        <v>1870.6799431473166</v>
      </c>
      <c r="I669" s="1">
        <v>-1</v>
      </c>
      <c r="J669" s="1">
        <v>979.48290668897289</v>
      </c>
      <c r="K669" s="1">
        <v>-1</v>
      </c>
      <c r="L669" s="1">
        <v>70</v>
      </c>
      <c r="M669" s="18">
        <v>40</v>
      </c>
      <c r="N669" s="1">
        <v>38</v>
      </c>
      <c r="O669" s="1">
        <v>0</v>
      </c>
      <c r="P669" s="1">
        <v>0</v>
      </c>
      <c r="Q669" s="1">
        <v>0</v>
      </c>
    </row>
    <row r="670" spans="2:17" ht="15.45" x14ac:dyDescent="0.4">
      <c r="B670" s="1">
        <v>145</v>
      </c>
      <c r="C670" s="1">
        <v>1318.046775330946</v>
      </c>
      <c r="D670" s="1">
        <v>1</v>
      </c>
      <c r="E670" s="1">
        <v>4039.2017911600169</v>
      </c>
      <c r="F670" s="1">
        <v>-1</v>
      </c>
      <c r="G670" s="1">
        <v>145</v>
      </c>
      <c r="H670" s="1">
        <v>634.58016321607124</v>
      </c>
      <c r="I670" s="1">
        <v>1</v>
      </c>
      <c r="J670" s="1">
        <v>983.68407692681672</v>
      </c>
      <c r="K670" s="1">
        <v>1</v>
      </c>
      <c r="L670" s="1">
        <v>71</v>
      </c>
      <c r="M670" s="18">
        <v>40</v>
      </c>
      <c r="N670" s="1">
        <v>39</v>
      </c>
      <c r="O670" s="1">
        <v>0</v>
      </c>
      <c r="P670" s="1">
        <v>0</v>
      </c>
      <c r="Q670" s="1">
        <v>0</v>
      </c>
    </row>
    <row r="671" spans="2:17" ht="15.45" x14ac:dyDescent="0.4">
      <c r="B671" s="1">
        <v>146</v>
      </c>
      <c r="C671" s="1">
        <v>1323.7321622759468</v>
      </c>
      <c r="D671" s="1">
        <v>1</v>
      </c>
      <c r="E671" s="1">
        <v>4043.9775387172876</v>
      </c>
      <c r="F671" s="1">
        <v>-1</v>
      </c>
      <c r="G671" s="1">
        <v>146</v>
      </c>
      <c r="H671" s="1">
        <v>1883.4917509242805</v>
      </c>
      <c r="I671" s="1">
        <v>-1</v>
      </c>
      <c r="J671" s="1">
        <v>991.97140805433412</v>
      </c>
      <c r="K671" s="1">
        <v>-1</v>
      </c>
      <c r="L671" s="1">
        <v>70</v>
      </c>
      <c r="M671" s="18">
        <v>40</v>
      </c>
      <c r="N671" s="1">
        <v>38</v>
      </c>
      <c r="O671" s="1">
        <v>0</v>
      </c>
      <c r="P671" s="1">
        <v>0</v>
      </c>
      <c r="Q671" s="1">
        <v>0</v>
      </c>
    </row>
    <row r="672" spans="2:17" ht="15.45" x14ac:dyDescent="0.4">
      <c r="B672" s="1">
        <v>147</v>
      </c>
      <c r="C672" s="1">
        <v>1327.555009648707</v>
      </c>
      <c r="D672" s="1">
        <v>1</v>
      </c>
      <c r="E672" s="1">
        <v>4058.7388697021279</v>
      </c>
      <c r="F672" s="1">
        <v>-1</v>
      </c>
      <c r="G672" s="1">
        <v>147</v>
      </c>
      <c r="H672" s="1">
        <v>654.12367580771263</v>
      </c>
      <c r="I672" s="1">
        <v>1</v>
      </c>
      <c r="J672" s="1">
        <v>992.78381615463252</v>
      </c>
      <c r="K672" s="1">
        <v>-1</v>
      </c>
      <c r="L672" s="1">
        <v>69</v>
      </c>
      <c r="M672" s="18">
        <v>40</v>
      </c>
      <c r="N672" s="1">
        <v>37</v>
      </c>
      <c r="O672" s="1">
        <v>0</v>
      </c>
      <c r="P672" s="1">
        <v>0</v>
      </c>
      <c r="Q672" s="1">
        <v>0</v>
      </c>
    </row>
    <row r="673" spans="2:17" ht="15.45" x14ac:dyDescent="0.4">
      <c r="B673" s="1">
        <v>148</v>
      </c>
      <c r="C673" s="1">
        <v>1328.5805311165755</v>
      </c>
      <c r="D673" s="1">
        <v>1</v>
      </c>
      <c r="E673" s="1">
        <v>4076.855484806541</v>
      </c>
      <c r="F673" s="1">
        <v>-1</v>
      </c>
      <c r="G673" s="1">
        <v>148</v>
      </c>
      <c r="H673" s="1">
        <v>1893.9706176739801</v>
      </c>
      <c r="I673" s="1">
        <v>-1</v>
      </c>
      <c r="J673" s="1">
        <v>998.39164700411743</v>
      </c>
      <c r="K673" s="1">
        <v>-1</v>
      </c>
      <c r="L673" s="1">
        <v>68</v>
      </c>
      <c r="M673" s="18">
        <v>40</v>
      </c>
      <c r="N673" s="1">
        <v>36</v>
      </c>
      <c r="O673" s="1">
        <v>0</v>
      </c>
      <c r="P673" s="1">
        <v>0</v>
      </c>
      <c r="Q673" s="1">
        <v>0</v>
      </c>
    </row>
    <row r="674" spans="2:17" ht="15.45" x14ac:dyDescent="0.4">
      <c r="B674" s="1">
        <v>149</v>
      </c>
      <c r="C674" s="1">
        <v>1341.8475033074424</v>
      </c>
      <c r="D674" s="1">
        <v>1</v>
      </c>
      <c r="E674" s="1">
        <v>4117.3945726144957</v>
      </c>
      <c r="F674" s="1">
        <v>-1</v>
      </c>
      <c r="G674" s="1">
        <v>149</v>
      </c>
      <c r="H674" s="1">
        <v>654.2280668632186</v>
      </c>
      <c r="I674" s="1">
        <v>1</v>
      </c>
      <c r="J674" s="1">
        <v>999.404925989665</v>
      </c>
      <c r="K674" s="1">
        <v>1</v>
      </c>
      <c r="L674" s="1">
        <v>69</v>
      </c>
      <c r="M674" s="18">
        <v>40</v>
      </c>
      <c r="N674" s="1">
        <v>37</v>
      </c>
      <c r="O674" s="1">
        <v>0</v>
      </c>
      <c r="P674" s="1">
        <v>0</v>
      </c>
      <c r="Q674" s="1">
        <v>0</v>
      </c>
    </row>
    <row r="675" spans="2:17" ht="15.45" x14ac:dyDescent="0.4">
      <c r="B675" s="1">
        <v>150</v>
      </c>
      <c r="C675" s="1">
        <v>1364.5589168988843</v>
      </c>
      <c r="D675" s="1">
        <v>1</v>
      </c>
      <c r="E675" s="1">
        <v>4121.5107175366447</v>
      </c>
      <c r="F675" s="1">
        <v>-1</v>
      </c>
      <c r="G675" s="1">
        <v>150</v>
      </c>
      <c r="H675" s="1">
        <v>1899.4764103851735</v>
      </c>
      <c r="I675" s="1">
        <v>-1</v>
      </c>
      <c r="J675" s="1">
        <v>1009.9822486007247</v>
      </c>
      <c r="K675" s="1">
        <v>-1</v>
      </c>
      <c r="L675" s="1">
        <v>68</v>
      </c>
      <c r="M675" s="18">
        <v>40</v>
      </c>
      <c r="N675" s="1">
        <v>36</v>
      </c>
      <c r="O675" s="1">
        <v>0</v>
      </c>
      <c r="P675" s="1">
        <v>0</v>
      </c>
      <c r="Q675" s="1">
        <v>0</v>
      </c>
    </row>
    <row r="676" spans="2:17" ht="15.45" x14ac:dyDescent="0.4">
      <c r="B676" s="1">
        <v>151</v>
      </c>
      <c r="C676" s="1">
        <v>1388.2267541213785</v>
      </c>
      <c r="D676" s="1">
        <v>1</v>
      </c>
      <c r="E676" s="1">
        <v>4126.6999087313834</v>
      </c>
      <c r="F676" s="1">
        <v>-1</v>
      </c>
      <c r="G676" s="1">
        <v>151</v>
      </c>
      <c r="H676" s="1">
        <v>661.16970340597652</v>
      </c>
      <c r="I676" s="1">
        <v>1</v>
      </c>
      <c r="J676" s="1">
        <v>1034.0972145606961</v>
      </c>
      <c r="K676" s="1">
        <v>1</v>
      </c>
      <c r="L676" s="1">
        <v>69</v>
      </c>
      <c r="M676" s="18">
        <v>40</v>
      </c>
      <c r="N676" s="1">
        <v>37</v>
      </c>
      <c r="O676" s="1">
        <v>0</v>
      </c>
      <c r="P676" s="1">
        <v>0</v>
      </c>
      <c r="Q676" s="1">
        <v>0</v>
      </c>
    </row>
    <row r="677" spans="2:17" ht="15.45" x14ac:dyDescent="0.4">
      <c r="B677" s="1">
        <v>152</v>
      </c>
      <c r="C677" s="1">
        <v>1409.2416970622398</v>
      </c>
      <c r="D677" s="1">
        <v>1</v>
      </c>
      <c r="E677" s="1">
        <v>4139.8381872300542</v>
      </c>
      <c r="F677" s="1">
        <v>-1</v>
      </c>
      <c r="G677" s="1">
        <v>152</v>
      </c>
      <c r="H677" s="1">
        <v>1922.89865804696</v>
      </c>
      <c r="I677" s="1">
        <v>-1</v>
      </c>
      <c r="J677" s="1">
        <v>1041.502016806229</v>
      </c>
      <c r="K677" s="1">
        <v>-1</v>
      </c>
      <c r="L677" s="1">
        <v>68</v>
      </c>
      <c r="M677" s="18">
        <v>40</v>
      </c>
      <c r="N677" s="1">
        <v>36</v>
      </c>
      <c r="O677" s="1">
        <v>0</v>
      </c>
      <c r="P677" s="1">
        <v>0</v>
      </c>
      <c r="Q677" s="1">
        <v>0</v>
      </c>
    </row>
    <row r="678" spans="2:17" ht="15.45" x14ac:dyDescent="0.4">
      <c r="B678" s="1">
        <v>153</v>
      </c>
      <c r="C678" s="1">
        <v>1441.5219099227652</v>
      </c>
      <c r="D678" s="1">
        <v>1</v>
      </c>
      <c r="E678" s="1">
        <v>4163.9872015971496</v>
      </c>
      <c r="F678" s="1">
        <v>-1</v>
      </c>
      <c r="G678" s="1">
        <v>153</v>
      </c>
      <c r="H678" s="1">
        <v>662.32615032962372</v>
      </c>
      <c r="I678" s="1">
        <v>1</v>
      </c>
      <c r="J678" s="1">
        <v>1044.9900821887247</v>
      </c>
      <c r="K678" s="1">
        <v>1</v>
      </c>
      <c r="L678" s="1">
        <v>69</v>
      </c>
      <c r="M678" s="18">
        <v>40</v>
      </c>
      <c r="N678" s="1">
        <v>37</v>
      </c>
      <c r="O678" s="1">
        <v>0</v>
      </c>
      <c r="P678" s="1">
        <v>0</v>
      </c>
      <c r="Q678" s="1">
        <v>0</v>
      </c>
    </row>
    <row r="679" spans="2:17" ht="15.45" x14ac:dyDescent="0.4">
      <c r="B679" s="1">
        <v>154</v>
      </c>
      <c r="C679" s="1">
        <v>1453.40677552795</v>
      </c>
      <c r="D679" s="1">
        <v>1</v>
      </c>
      <c r="E679" s="1">
        <v>4181.872429252845</v>
      </c>
      <c r="F679" s="1">
        <v>-1</v>
      </c>
      <c r="G679" s="1">
        <v>154</v>
      </c>
      <c r="H679" s="1">
        <v>1942.6624637862421</v>
      </c>
      <c r="I679" s="1">
        <v>-1</v>
      </c>
      <c r="J679" s="1">
        <v>1046.0234539596327</v>
      </c>
      <c r="K679" s="1">
        <v>-1</v>
      </c>
      <c r="L679" s="1">
        <v>68</v>
      </c>
      <c r="M679" s="18">
        <v>40</v>
      </c>
      <c r="N679" s="1">
        <v>36</v>
      </c>
      <c r="O679" s="1">
        <v>0</v>
      </c>
      <c r="P679" s="1">
        <v>0</v>
      </c>
      <c r="Q679" s="1">
        <v>0</v>
      </c>
    </row>
    <row r="680" spans="2:17" ht="15.45" x14ac:dyDescent="0.4">
      <c r="B680" s="1">
        <v>155</v>
      </c>
      <c r="C680" s="1">
        <v>1461.6096622790774</v>
      </c>
      <c r="D680" s="1">
        <v>1</v>
      </c>
      <c r="E680" s="1">
        <v>4314.6068964144943</v>
      </c>
      <c r="F680" s="1">
        <v>-1</v>
      </c>
      <c r="G680" s="1">
        <v>155</v>
      </c>
      <c r="H680" s="1">
        <v>674.47612754418253</v>
      </c>
      <c r="I680" s="1">
        <v>1</v>
      </c>
      <c r="J680" s="1">
        <v>1049.9873874768848</v>
      </c>
      <c r="K680" s="1">
        <v>-1</v>
      </c>
      <c r="L680" s="1">
        <v>67</v>
      </c>
      <c r="M680" s="18">
        <v>40</v>
      </c>
      <c r="N680" s="1">
        <v>35</v>
      </c>
      <c r="O680" s="1">
        <v>0</v>
      </c>
      <c r="P680" s="1">
        <v>0</v>
      </c>
      <c r="Q680" s="1">
        <v>0</v>
      </c>
    </row>
    <row r="681" spans="2:17" ht="15.45" x14ac:dyDescent="0.4">
      <c r="B681" s="1">
        <v>156</v>
      </c>
      <c r="C681" s="1">
        <v>1473.6262935148798</v>
      </c>
      <c r="D681" s="1">
        <v>1</v>
      </c>
      <c r="E681" s="1">
        <v>4325.697171880006</v>
      </c>
      <c r="F681" s="1">
        <v>-1</v>
      </c>
      <c r="G681" s="1">
        <v>156</v>
      </c>
      <c r="H681" s="1">
        <v>2014.8205007532838</v>
      </c>
      <c r="I681" s="1">
        <v>-1</v>
      </c>
      <c r="J681" s="1">
        <v>1055.6881322109361</v>
      </c>
      <c r="K681" s="1">
        <v>1</v>
      </c>
      <c r="L681" s="1">
        <v>68</v>
      </c>
      <c r="M681" s="18">
        <v>40</v>
      </c>
      <c r="N681" s="1">
        <v>36</v>
      </c>
      <c r="O681" s="1">
        <v>0</v>
      </c>
      <c r="P681" s="1">
        <v>0</v>
      </c>
      <c r="Q681" s="1">
        <v>0</v>
      </c>
    </row>
    <row r="682" spans="2:17" ht="15.45" x14ac:dyDescent="0.4">
      <c r="B682" s="1">
        <v>157</v>
      </c>
      <c r="C682" s="1">
        <v>1476.7392311023443</v>
      </c>
      <c r="D682" s="1">
        <v>1</v>
      </c>
      <c r="E682" s="1">
        <v>4360.0867438770429</v>
      </c>
      <c r="F682" s="1">
        <v>-1</v>
      </c>
      <c r="G682" s="1">
        <v>157</v>
      </c>
      <c r="H682" s="1">
        <v>712.25361881261506</v>
      </c>
      <c r="I682" s="1">
        <v>1</v>
      </c>
      <c r="J682" s="1">
        <v>1060.8663301973277</v>
      </c>
      <c r="K682" s="1">
        <v>1</v>
      </c>
      <c r="L682" s="1">
        <v>69</v>
      </c>
      <c r="M682" s="18">
        <v>40</v>
      </c>
      <c r="N682" s="1">
        <v>37</v>
      </c>
      <c r="O682" s="1">
        <v>0</v>
      </c>
      <c r="P682" s="1">
        <v>0</v>
      </c>
      <c r="Q682" s="1">
        <v>0</v>
      </c>
    </row>
    <row r="683" spans="2:17" ht="15.45" x14ac:dyDescent="0.4">
      <c r="B683" s="1">
        <v>158</v>
      </c>
      <c r="C683" s="1">
        <v>1484.3095614588888</v>
      </c>
      <c r="D683" s="1">
        <v>1</v>
      </c>
      <c r="E683" s="1">
        <v>4361.1265926314827</v>
      </c>
      <c r="F683" s="1">
        <v>-1</v>
      </c>
      <c r="G683" s="1">
        <v>158</v>
      </c>
      <c r="H683" s="1">
        <v>2043.0628317854048</v>
      </c>
      <c r="I683" s="1">
        <v>-1</v>
      </c>
      <c r="J683" s="1">
        <v>1062.1552625416641</v>
      </c>
      <c r="K683" s="1">
        <v>1</v>
      </c>
      <c r="L683" s="1">
        <v>70</v>
      </c>
      <c r="M683" s="18">
        <v>40</v>
      </c>
      <c r="N683" s="1">
        <v>38</v>
      </c>
      <c r="O683" s="1">
        <v>0</v>
      </c>
      <c r="P683" s="1">
        <v>0</v>
      </c>
      <c r="Q683" s="1">
        <v>0</v>
      </c>
    </row>
    <row r="684" spans="2:17" ht="15.45" x14ac:dyDescent="0.4">
      <c r="B684" s="1">
        <v>159</v>
      </c>
      <c r="C684" s="1">
        <v>1491.5610993649091</v>
      </c>
      <c r="D684" s="1">
        <v>1</v>
      </c>
      <c r="E684" s="1">
        <v>4378.1827534664853</v>
      </c>
      <c r="F684" s="1">
        <v>-1</v>
      </c>
      <c r="G684" s="1">
        <v>159</v>
      </c>
      <c r="H684" s="1">
        <v>722.23584076695386</v>
      </c>
      <c r="I684" s="1">
        <v>1</v>
      </c>
      <c r="J684" s="1">
        <v>1068.2530639715224</v>
      </c>
      <c r="K684" s="1">
        <v>-1</v>
      </c>
      <c r="L684" s="1">
        <v>69</v>
      </c>
      <c r="M684" s="18">
        <v>40</v>
      </c>
      <c r="N684" s="1">
        <v>37</v>
      </c>
      <c r="O684" s="1">
        <v>0</v>
      </c>
      <c r="P684" s="1">
        <v>0</v>
      </c>
      <c r="Q684" s="1">
        <v>0</v>
      </c>
    </row>
    <row r="685" spans="2:17" ht="15.45" x14ac:dyDescent="0.4">
      <c r="B685" s="1">
        <v>160</v>
      </c>
      <c r="C685" s="1">
        <v>1508.8534994574479</v>
      </c>
      <c r="D685" s="1">
        <v>1</v>
      </c>
      <c r="E685" s="1">
        <v>4389.6512955847656</v>
      </c>
      <c r="F685" s="1">
        <v>-1</v>
      </c>
      <c r="G685" s="1">
        <v>160</v>
      </c>
      <c r="H685" s="1">
        <v>2093.293268338713</v>
      </c>
      <c r="I685" s="1">
        <v>-1</v>
      </c>
      <c r="J685" s="1">
        <v>1073.2903495642231</v>
      </c>
      <c r="K685" s="1">
        <v>1</v>
      </c>
      <c r="L685" s="1">
        <v>70</v>
      </c>
      <c r="M685" s="18">
        <v>40</v>
      </c>
      <c r="N685" s="1">
        <v>38</v>
      </c>
      <c r="O685" s="1">
        <v>0</v>
      </c>
      <c r="P685" s="1">
        <v>0</v>
      </c>
      <c r="Q685" s="1">
        <v>0</v>
      </c>
    </row>
    <row r="686" spans="2:17" ht="15.45" x14ac:dyDescent="0.4">
      <c r="B686" s="1">
        <v>161</v>
      </c>
      <c r="C686" s="1">
        <v>1530.6843313700303</v>
      </c>
      <c r="D686" s="1">
        <v>1</v>
      </c>
      <c r="E686" s="1">
        <v>4392.7278599883712</v>
      </c>
      <c r="F686" s="1">
        <v>-1</v>
      </c>
      <c r="G686" s="1">
        <v>161</v>
      </c>
      <c r="H686" s="1">
        <v>736.15672577309078</v>
      </c>
      <c r="I686" s="1">
        <v>1</v>
      </c>
      <c r="J686" s="1">
        <v>1074.0105003824895</v>
      </c>
      <c r="K686" s="1">
        <v>1</v>
      </c>
      <c r="L686" s="1">
        <v>71</v>
      </c>
      <c r="M686" s="18">
        <v>40</v>
      </c>
      <c r="N686" s="1">
        <v>39</v>
      </c>
      <c r="O686" s="1">
        <v>0</v>
      </c>
      <c r="P686" s="1">
        <v>0</v>
      </c>
      <c r="Q686" s="1">
        <v>0</v>
      </c>
    </row>
    <row r="687" spans="2:17" ht="15.45" x14ac:dyDescent="0.4">
      <c r="B687" s="1">
        <v>162</v>
      </c>
      <c r="C687" s="1">
        <v>1557.8439981647311</v>
      </c>
      <c r="D687" s="1">
        <v>1</v>
      </c>
      <c r="E687" s="1">
        <v>4432.5287765609719</v>
      </c>
      <c r="F687" s="1">
        <v>-1</v>
      </c>
      <c r="G687" s="1">
        <v>162</v>
      </c>
      <c r="H687" s="1">
        <v>2167.4364907166828</v>
      </c>
      <c r="I687" s="1">
        <v>-1</v>
      </c>
      <c r="J687" s="1">
        <v>1076.8365954958442</v>
      </c>
      <c r="K687" s="1">
        <v>-1</v>
      </c>
      <c r="L687" s="1">
        <v>70</v>
      </c>
      <c r="M687" s="18">
        <v>40</v>
      </c>
      <c r="N687" s="1">
        <v>38</v>
      </c>
      <c r="O687" s="1">
        <v>0</v>
      </c>
      <c r="P687" s="1">
        <v>0</v>
      </c>
      <c r="Q687" s="1">
        <v>0</v>
      </c>
    </row>
    <row r="688" spans="2:17" ht="15.45" x14ac:dyDescent="0.4">
      <c r="B688" s="1">
        <v>163</v>
      </c>
      <c r="C688" s="1">
        <v>1573.3813747056681</v>
      </c>
      <c r="D688" s="1">
        <v>1</v>
      </c>
      <c r="E688" s="1">
        <v>4500.6630173352978</v>
      </c>
      <c r="F688" s="1">
        <v>-1</v>
      </c>
      <c r="G688" s="1">
        <v>163</v>
      </c>
      <c r="H688" s="1">
        <v>737.13306451707308</v>
      </c>
      <c r="I688" s="1">
        <v>1</v>
      </c>
      <c r="J688" s="1">
        <v>1078.0433512286752</v>
      </c>
      <c r="K688" s="1">
        <v>1</v>
      </c>
      <c r="L688" s="1">
        <v>71</v>
      </c>
      <c r="M688" s="18">
        <v>40</v>
      </c>
      <c r="N688" s="1">
        <v>39</v>
      </c>
      <c r="O688" s="1">
        <v>0</v>
      </c>
      <c r="P688" s="1">
        <v>0</v>
      </c>
      <c r="Q688" s="1">
        <v>0</v>
      </c>
    </row>
    <row r="689" spans="2:17" ht="15.45" x14ac:dyDescent="0.4">
      <c r="B689" s="1">
        <v>164</v>
      </c>
      <c r="C689" s="1">
        <v>1576.338355539322</v>
      </c>
      <c r="D689" s="1">
        <v>1</v>
      </c>
      <c r="E689" s="1">
        <v>4571.6665290027804</v>
      </c>
      <c r="F689" s="1">
        <v>-1</v>
      </c>
      <c r="G689" s="1">
        <v>164</v>
      </c>
      <c r="H689" s="1">
        <v>2224.0613538967746</v>
      </c>
      <c r="I689" s="1">
        <v>-1</v>
      </c>
      <c r="J689" s="1">
        <v>1087.6692087800734</v>
      </c>
      <c r="K689" s="1">
        <v>1</v>
      </c>
      <c r="L689" s="1">
        <v>72</v>
      </c>
      <c r="M689" s="18">
        <v>40</v>
      </c>
      <c r="N689" s="1">
        <v>40</v>
      </c>
      <c r="O689" s="1">
        <v>0</v>
      </c>
      <c r="P689" s="1">
        <v>0</v>
      </c>
      <c r="Q689" s="1">
        <v>0</v>
      </c>
    </row>
    <row r="690" spans="2:17" ht="15.45" x14ac:dyDescent="0.4">
      <c r="B690" s="1">
        <v>165</v>
      </c>
      <c r="C690" s="1">
        <v>1584.6356824369866</v>
      </c>
      <c r="D690" s="1">
        <v>1</v>
      </c>
      <c r="E690" s="1">
        <v>4634.7113578253648</v>
      </c>
      <c r="F690" s="1">
        <v>-1</v>
      </c>
      <c r="G690" s="1">
        <v>165</v>
      </c>
      <c r="H690" s="1">
        <v>740.18668141915782</v>
      </c>
      <c r="I690" s="1">
        <v>1</v>
      </c>
      <c r="J690" s="1">
        <v>1087.8066251278585</v>
      </c>
      <c r="K690" s="1">
        <v>-1</v>
      </c>
      <c r="L690" s="1">
        <v>71</v>
      </c>
      <c r="M690" s="18">
        <v>40</v>
      </c>
      <c r="N690" s="1">
        <v>40</v>
      </c>
      <c r="O690" s="1">
        <v>0</v>
      </c>
      <c r="P690" s="1">
        <v>0</v>
      </c>
      <c r="Q690" s="1">
        <v>0</v>
      </c>
    </row>
    <row r="691" spans="2:17" ht="15.45" x14ac:dyDescent="0.4">
      <c r="B691" s="1">
        <v>166</v>
      </c>
      <c r="C691" s="1">
        <v>1590.0046478696052</v>
      </c>
      <c r="D691" s="1">
        <v>1</v>
      </c>
      <c r="E691" s="1">
        <v>4731.5519964069408</v>
      </c>
      <c r="F691" s="1">
        <v>-1</v>
      </c>
      <c r="G691" s="1">
        <v>166</v>
      </c>
      <c r="H691" s="1">
        <v>2225.4705658257326</v>
      </c>
      <c r="I691" s="1">
        <v>-1</v>
      </c>
      <c r="J691" s="1">
        <v>1090.4723906962504</v>
      </c>
      <c r="K691" s="1">
        <v>1</v>
      </c>
      <c r="L691" s="1">
        <v>72</v>
      </c>
      <c r="M691" s="18">
        <v>40</v>
      </c>
      <c r="N691" s="1">
        <v>40</v>
      </c>
      <c r="O691" s="1">
        <v>1</v>
      </c>
      <c r="P691" s="1">
        <v>119</v>
      </c>
      <c r="Q691" s="1">
        <v>0</v>
      </c>
    </row>
    <row r="692" spans="2:17" ht="15.45" x14ac:dyDescent="0.4">
      <c r="B692" s="1">
        <v>167</v>
      </c>
      <c r="C692" s="1">
        <v>1590.9007685016923</v>
      </c>
      <c r="D692" s="1">
        <v>1</v>
      </c>
      <c r="E692" s="1">
        <v>4767.2065932224959</v>
      </c>
      <c r="F692" s="1">
        <v>-1</v>
      </c>
      <c r="G692" s="1">
        <v>167</v>
      </c>
      <c r="H692" s="1">
        <v>740.60963029261006</v>
      </c>
      <c r="I692" s="1">
        <v>1</v>
      </c>
      <c r="J692" s="1">
        <v>1092.0756774939377</v>
      </c>
      <c r="K692" s="1">
        <v>-1</v>
      </c>
      <c r="L692" s="1">
        <v>71</v>
      </c>
      <c r="M692" s="18">
        <v>40</v>
      </c>
      <c r="N692" s="1">
        <v>40</v>
      </c>
      <c r="O692" s="1">
        <v>0</v>
      </c>
      <c r="P692" s="1">
        <v>0</v>
      </c>
      <c r="Q692" s="1">
        <v>0</v>
      </c>
    </row>
    <row r="693" spans="2:17" ht="15.45" x14ac:dyDescent="0.4">
      <c r="B693" s="1">
        <v>168</v>
      </c>
      <c r="C693" s="1">
        <v>1605.4097062727819</v>
      </c>
      <c r="D693" s="1">
        <v>1</v>
      </c>
      <c r="E693" s="1">
        <v>4791.8152534758783</v>
      </c>
      <c r="F693" s="1">
        <v>-1</v>
      </c>
      <c r="G693" s="1">
        <v>168</v>
      </c>
      <c r="H693" s="1">
        <v>2240.7909635896899</v>
      </c>
      <c r="I693" s="1">
        <v>-1</v>
      </c>
      <c r="J693" s="1">
        <v>1099.5476324119666</v>
      </c>
      <c r="K693" s="1">
        <v>1</v>
      </c>
      <c r="L693" s="1">
        <v>72</v>
      </c>
      <c r="M693" s="18">
        <v>40</v>
      </c>
      <c r="N693" s="1">
        <v>40</v>
      </c>
      <c r="O693" s="1">
        <v>1</v>
      </c>
      <c r="P693" s="1">
        <v>120</v>
      </c>
      <c r="Q693" s="1">
        <v>0</v>
      </c>
    </row>
    <row r="694" spans="2:17" ht="15.45" x14ac:dyDescent="0.4">
      <c r="B694" s="1">
        <v>169</v>
      </c>
      <c r="C694" s="1">
        <v>1621.9521829873734</v>
      </c>
      <c r="D694" s="1">
        <v>1</v>
      </c>
      <c r="E694" s="1">
        <v>4827.8651471832854</v>
      </c>
      <c r="F694" s="1">
        <v>-1</v>
      </c>
      <c r="G694" s="1">
        <v>169</v>
      </c>
      <c r="H694" s="1">
        <v>752.15389424021475</v>
      </c>
      <c r="I694" s="1">
        <v>1</v>
      </c>
      <c r="J694" s="1">
        <v>1103.3072567811278</v>
      </c>
      <c r="K694" s="1">
        <v>1</v>
      </c>
      <c r="L694" s="1">
        <v>73</v>
      </c>
      <c r="M694" s="18">
        <v>40</v>
      </c>
      <c r="N694" s="1">
        <v>40</v>
      </c>
      <c r="O694" s="1">
        <v>1</v>
      </c>
      <c r="P694" s="1">
        <v>121</v>
      </c>
      <c r="Q694" s="1">
        <v>0</v>
      </c>
    </row>
    <row r="695" spans="2:17" ht="15.45" x14ac:dyDescent="0.4">
      <c r="B695" s="1">
        <v>170</v>
      </c>
      <c r="C695" s="1">
        <v>1624.0167718270693</v>
      </c>
      <c r="D695" s="1">
        <v>1</v>
      </c>
      <c r="E695" s="1">
        <v>4837.2039599456793</v>
      </c>
      <c r="F695" s="1">
        <v>-1</v>
      </c>
      <c r="G695" s="1">
        <v>170</v>
      </c>
      <c r="H695" s="1">
        <v>2257.117185643528</v>
      </c>
      <c r="I695" s="1">
        <v>-1</v>
      </c>
      <c r="J695" s="1">
        <v>1108.3685617028348</v>
      </c>
      <c r="K695" s="1">
        <v>1</v>
      </c>
      <c r="L695" s="1">
        <v>74</v>
      </c>
      <c r="M695" s="18">
        <v>40</v>
      </c>
      <c r="N695" s="1">
        <v>40</v>
      </c>
      <c r="O695" s="1">
        <v>1</v>
      </c>
      <c r="P695" s="1">
        <v>122</v>
      </c>
      <c r="Q695" s="1">
        <v>0</v>
      </c>
    </row>
    <row r="696" spans="2:17" ht="15.45" x14ac:dyDescent="0.4">
      <c r="B696" s="1">
        <v>171</v>
      </c>
      <c r="C696" s="1">
        <v>1638.096110220921</v>
      </c>
      <c r="D696" s="1">
        <v>1</v>
      </c>
      <c r="E696" s="1">
        <v>4859.9149510153129</v>
      </c>
      <c r="F696" s="1">
        <v>-1</v>
      </c>
      <c r="G696" s="1">
        <v>171</v>
      </c>
      <c r="H696" s="1">
        <v>761.1278779687409</v>
      </c>
      <c r="I696" s="1">
        <v>1</v>
      </c>
      <c r="J696" s="1">
        <v>1122.6912420216738</v>
      </c>
      <c r="K696" s="1">
        <v>-1</v>
      </c>
      <c r="L696" s="1">
        <v>73</v>
      </c>
      <c r="M696" s="18">
        <v>40</v>
      </c>
      <c r="N696" s="1">
        <v>40</v>
      </c>
      <c r="O696" s="1">
        <v>0</v>
      </c>
      <c r="P696" s="1">
        <v>0</v>
      </c>
      <c r="Q696" s="1">
        <v>0</v>
      </c>
    </row>
    <row r="697" spans="2:17" ht="15.45" x14ac:dyDescent="0.4">
      <c r="B697" s="1">
        <v>172</v>
      </c>
      <c r="C697" s="1">
        <v>1656.340461288431</v>
      </c>
      <c r="D697" s="1">
        <v>1</v>
      </c>
      <c r="E697" s="1">
        <v>4881.6695647333736</v>
      </c>
      <c r="F697" s="1">
        <v>-1</v>
      </c>
      <c r="G697" s="1">
        <v>172</v>
      </c>
      <c r="H697" s="1">
        <v>2310.7267562868624</v>
      </c>
      <c r="I697" s="1">
        <v>-1</v>
      </c>
      <c r="J697" s="1">
        <v>1128.4589958800436</v>
      </c>
      <c r="K697" s="1">
        <v>-1</v>
      </c>
      <c r="L697" s="1">
        <v>72</v>
      </c>
      <c r="M697" s="18">
        <v>40</v>
      </c>
      <c r="N697" s="1">
        <v>40</v>
      </c>
      <c r="O697" s="1">
        <v>0</v>
      </c>
      <c r="P697" s="1">
        <v>0</v>
      </c>
      <c r="Q697" s="1">
        <v>0</v>
      </c>
    </row>
    <row r="698" spans="2:17" ht="15.45" x14ac:dyDescent="0.4">
      <c r="B698" s="1">
        <v>173</v>
      </c>
      <c r="C698" s="1">
        <v>1657.1879681035825</v>
      </c>
      <c r="D698" s="1">
        <v>1</v>
      </c>
      <c r="E698" s="1">
        <v>4933.5467650109904</v>
      </c>
      <c r="F698" s="1">
        <v>-1</v>
      </c>
      <c r="G698" s="1">
        <v>173</v>
      </c>
      <c r="H698" s="1">
        <v>770.37126179745621</v>
      </c>
      <c r="I698" s="1">
        <v>1</v>
      </c>
      <c r="J698" s="1">
        <v>1130.5247229544045</v>
      </c>
      <c r="K698" s="1">
        <v>1</v>
      </c>
      <c r="L698" s="1">
        <v>73</v>
      </c>
      <c r="M698" s="18">
        <v>40</v>
      </c>
      <c r="N698" s="1">
        <v>40</v>
      </c>
      <c r="O698" s="1">
        <v>1</v>
      </c>
      <c r="P698" s="1">
        <v>123</v>
      </c>
      <c r="Q698" s="1">
        <v>0</v>
      </c>
    </row>
    <row r="699" spans="2:17" ht="15.45" x14ac:dyDescent="0.4">
      <c r="B699" s="1">
        <v>174</v>
      </c>
      <c r="C699" s="1">
        <v>1660.7204179371963</v>
      </c>
      <c r="D699" s="1">
        <v>1</v>
      </c>
      <c r="E699" s="1">
        <v>4999.0392607487374</v>
      </c>
      <c r="F699" s="1">
        <v>-1</v>
      </c>
      <c r="G699" s="1">
        <v>174</v>
      </c>
      <c r="H699" s="1">
        <v>2369.3572940617869</v>
      </c>
      <c r="I699" s="1">
        <v>-1</v>
      </c>
      <c r="J699" s="1">
        <v>1141.7385156294088</v>
      </c>
      <c r="K699" s="1">
        <v>1</v>
      </c>
      <c r="L699" s="1">
        <v>74</v>
      </c>
      <c r="M699" s="18">
        <v>40</v>
      </c>
      <c r="N699" s="1">
        <v>40</v>
      </c>
      <c r="O699" s="1">
        <v>1</v>
      </c>
      <c r="P699" s="1">
        <v>124</v>
      </c>
      <c r="Q699" s="1">
        <v>0</v>
      </c>
    </row>
    <row r="700" spans="2:17" ht="15.45" x14ac:dyDescent="0.4">
      <c r="B700" s="1">
        <v>175</v>
      </c>
      <c r="C700" s="1">
        <v>1673.2303925773806</v>
      </c>
      <c r="D700" s="1">
        <v>1</v>
      </c>
      <c r="E700" s="1">
        <v>5080.5182611328401</v>
      </c>
      <c r="F700" s="1">
        <v>-1</v>
      </c>
      <c r="G700" s="1">
        <v>175</v>
      </c>
      <c r="H700" s="1">
        <v>778.82528184839327</v>
      </c>
      <c r="I700" s="1">
        <v>1</v>
      </c>
      <c r="J700" s="1">
        <v>1151.5411267619372</v>
      </c>
      <c r="K700" s="1">
        <v>1</v>
      </c>
      <c r="L700" s="1">
        <v>75</v>
      </c>
      <c r="M700" s="18">
        <v>40</v>
      </c>
      <c r="N700" s="1">
        <v>40</v>
      </c>
      <c r="O700" s="1">
        <v>1</v>
      </c>
      <c r="P700" s="1">
        <v>125</v>
      </c>
      <c r="Q700" s="1">
        <v>0</v>
      </c>
    </row>
    <row r="701" spans="2:17" ht="15.45" x14ac:dyDescent="0.4">
      <c r="B701" s="1">
        <v>176</v>
      </c>
      <c r="C701" s="1">
        <v>1703.5299028282234</v>
      </c>
      <c r="D701" s="1">
        <v>1</v>
      </c>
      <c r="E701" s="1">
        <v>5127.1303907556512</v>
      </c>
      <c r="F701" s="1">
        <v>-1</v>
      </c>
      <c r="G701" s="1">
        <v>176</v>
      </c>
      <c r="H701" s="1">
        <v>2369.6704672283049</v>
      </c>
      <c r="I701" s="1">
        <v>-1</v>
      </c>
      <c r="J701" s="1">
        <v>1158.5670313670244</v>
      </c>
      <c r="K701" s="1">
        <v>1</v>
      </c>
      <c r="L701" s="1">
        <v>76</v>
      </c>
      <c r="M701" s="18">
        <v>40</v>
      </c>
      <c r="N701" s="1">
        <v>40</v>
      </c>
      <c r="O701" s="1">
        <v>1</v>
      </c>
      <c r="P701" s="1">
        <v>126</v>
      </c>
      <c r="Q701" s="1">
        <v>0</v>
      </c>
    </row>
    <row r="702" spans="2:17" ht="15.45" x14ac:dyDescent="0.4">
      <c r="B702" s="1">
        <v>177</v>
      </c>
      <c r="C702" s="1">
        <v>1716.5040925527674</v>
      </c>
      <c r="D702" s="1">
        <v>1</v>
      </c>
      <c r="E702" s="1">
        <v>5136.0013332566132</v>
      </c>
      <c r="F702" s="1">
        <v>-1</v>
      </c>
      <c r="G702" s="1">
        <v>177</v>
      </c>
      <c r="H702" s="1">
        <v>789.83859938286434</v>
      </c>
      <c r="I702" s="1">
        <v>1</v>
      </c>
      <c r="J702" s="1">
        <v>1174.723273829562</v>
      </c>
      <c r="K702" s="1">
        <v>-1</v>
      </c>
      <c r="L702" s="1">
        <v>75</v>
      </c>
      <c r="M702" s="18">
        <v>40</v>
      </c>
      <c r="N702" s="1">
        <v>40</v>
      </c>
      <c r="O702" s="1">
        <v>0</v>
      </c>
      <c r="P702" s="1">
        <v>0</v>
      </c>
      <c r="Q702" s="1">
        <v>0</v>
      </c>
    </row>
    <row r="703" spans="2:17" ht="15.45" x14ac:dyDescent="0.4">
      <c r="B703" s="1">
        <v>178</v>
      </c>
      <c r="C703" s="1">
        <v>1722.6706694323771</v>
      </c>
      <c r="D703" s="1">
        <v>1</v>
      </c>
      <c r="E703" s="1">
        <v>5160.8933139496066</v>
      </c>
      <c r="F703" s="1">
        <v>-1</v>
      </c>
      <c r="G703" s="1">
        <v>178</v>
      </c>
      <c r="H703" s="1">
        <v>2390.4953768565788</v>
      </c>
      <c r="I703" s="1">
        <v>-1</v>
      </c>
      <c r="J703" s="1">
        <v>1177.690467152463</v>
      </c>
      <c r="K703" s="1">
        <v>1</v>
      </c>
      <c r="L703" s="1">
        <v>76</v>
      </c>
      <c r="M703" s="18">
        <v>40</v>
      </c>
      <c r="N703" s="1">
        <v>40</v>
      </c>
      <c r="O703" s="1">
        <v>1</v>
      </c>
      <c r="P703" s="1">
        <v>127</v>
      </c>
      <c r="Q703" s="1">
        <v>0</v>
      </c>
    </row>
    <row r="704" spans="2:17" ht="15.45" x14ac:dyDescent="0.4">
      <c r="B704" s="1">
        <v>179</v>
      </c>
      <c r="C704" s="1">
        <v>1755.8039341796007</v>
      </c>
      <c r="D704" s="1">
        <v>1</v>
      </c>
      <c r="E704" s="1">
        <v>5177.0002102474618</v>
      </c>
      <c r="F704" s="1">
        <v>-1</v>
      </c>
      <c r="G704" s="1">
        <v>179</v>
      </c>
      <c r="H704" s="1">
        <v>794.4633942978528</v>
      </c>
      <c r="I704" s="1">
        <v>1</v>
      </c>
      <c r="J704" s="1">
        <v>1193.7190325579761</v>
      </c>
      <c r="K704" s="1">
        <v>1</v>
      </c>
      <c r="L704" s="1">
        <v>77</v>
      </c>
      <c r="M704" s="18">
        <v>40</v>
      </c>
      <c r="N704" s="1">
        <v>40</v>
      </c>
      <c r="O704" s="1">
        <v>1</v>
      </c>
      <c r="P704" s="1">
        <v>128</v>
      </c>
      <c r="Q704" s="1">
        <v>0</v>
      </c>
    </row>
    <row r="705" spans="2:17" ht="15.45" x14ac:dyDescent="0.4">
      <c r="B705" s="1">
        <v>180</v>
      </c>
      <c r="C705" s="1">
        <v>1761.1002681604245</v>
      </c>
      <c r="D705" s="1">
        <v>1</v>
      </c>
      <c r="E705" s="1">
        <v>5179.6885721437229</v>
      </c>
      <c r="F705" s="1">
        <v>-1</v>
      </c>
      <c r="G705" s="1">
        <v>180</v>
      </c>
      <c r="H705" s="1">
        <v>2393.9647176275203</v>
      </c>
      <c r="I705" s="1">
        <v>-1</v>
      </c>
      <c r="J705" s="1">
        <v>1196.2208607476809</v>
      </c>
      <c r="K705" s="1">
        <v>1</v>
      </c>
      <c r="L705" s="1">
        <v>78</v>
      </c>
      <c r="M705" s="18">
        <v>40</v>
      </c>
      <c r="N705" s="1">
        <v>40</v>
      </c>
      <c r="O705" s="1">
        <v>1</v>
      </c>
      <c r="P705" s="1">
        <v>129</v>
      </c>
      <c r="Q705" s="1">
        <v>0</v>
      </c>
    </row>
    <row r="706" spans="2:17" ht="15.45" x14ac:dyDescent="0.4">
      <c r="B706" s="1">
        <v>181</v>
      </c>
      <c r="C706" s="1">
        <v>1765.9759727465885</v>
      </c>
      <c r="D706" s="1">
        <v>1</v>
      </c>
      <c r="E706" s="1">
        <v>5223.2153854569915</v>
      </c>
      <c r="F706" s="1">
        <v>-1</v>
      </c>
      <c r="G706" s="1">
        <v>181</v>
      </c>
      <c r="H706" s="1">
        <v>797.02166143322393</v>
      </c>
      <c r="I706" s="1">
        <v>1</v>
      </c>
      <c r="J706" s="1">
        <v>1207.0372561769477</v>
      </c>
      <c r="K706" s="1">
        <v>1</v>
      </c>
      <c r="L706" s="1">
        <v>79</v>
      </c>
      <c r="M706" s="18">
        <v>40</v>
      </c>
      <c r="N706" s="1">
        <v>40</v>
      </c>
      <c r="O706" s="1">
        <v>1</v>
      </c>
      <c r="P706" s="1">
        <v>130</v>
      </c>
      <c r="Q706" s="1">
        <v>0</v>
      </c>
    </row>
    <row r="707" spans="2:17" ht="15.45" x14ac:dyDescent="0.4">
      <c r="B707" s="1">
        <v>182</v>
      </c>
      <c r="C707" s="1">
        <v>1791.1139668345313</v>
      </c>
      <c r="D707" s="1">
        <v>1</v>
      </c>
      <c r="E707" s="1">
        <v>5272.8428156007658</v>
      </c>
      <c r="F707" s="1">
        <v>-1</v>
      </c>
      <c r="G707" s="1">
        <v>182</v>
      </c>
      <c r="H707" s="1">
        <v>2430.4146492711966</v>
      </c>
      <c r="I707" s="1">
        <v>-1</v>
      </c>
      <c r="J707" s="1">
        <v>1208.1439384206726</v>
      </c>
      <c r="K707" s="1">
        <v>1</v>
      </c>
      <c r="L707" s="1">
        <v>80</v>
      </c>
      <c r="M707" s="18">
        <v>40</v>
      </c>
      <c r="N707" s="1">
        <v>40</v>
      </c>
      <c r="O707" s="1">
        <v>1</v>
      </c>
      <c r="P707" s="1">
        <v>131</v>
      </c>
      <c r="Q707" s="1">
        <v>0</v>
      </c>
    </row>
    <row r="708" spans="2:17" ht="15.45" x14ac:dyDescent="0.4">
      <c r="B708" s="1">
        <v>183</v>
      </c>
      <c r="C708" s="1">
        <v>1799.7269203750759</v>
      </c>
      <c r="D708" s="1">
        <v>1</v>
      </c>
      <c r="E708" s="1">
        <v>5279.0365821198538</v>
      </c>
      <c r="F708" s="1">
        <v>-1</v>
      </c>
      <c r="G708" s="1">
        <v>183</v>
      </c>
      <c r="H708" s="1">
        <v>801.71481520907935</v>
      </c>
      <c r="I708" s="1">
        <v>1</v>
      </c>
      <c r="J708" s="1">
        <v>1210.7385081737905</v>
      </c>
      <c r="K708" s="1">
        <v>1</v>
      </c>
      <c r="L708" s="1">
        <v>81</v>
      </c>
      <c r="M708" s="18">
        <v>40</v>
      </c>
      <c r="N708" s="1">
        <v>40</v>
      </c>
      <c r="O708" s="1">
        <v>1</v>
      </c>
      <c r="P708" s="1">
        <v>132</v>
      </c>
      <c r="Q708" s="1">
        <v>0</v>
      </c>
    </row>
    <row r="709" spans="2:17" ht="15.45" x14ac:dyDescent="0.4">
      <c r="B709" s="1">
        <v>184</v>
      </c>
      <c r="C709" s="1">
        <v>1822.7909253353794</v>
      </c>
      <c r="D709" s="1">
        <v>1</v>
      </c>
      <c r="E709" s="1">
        <v>5321.2745973014089</v>
      </c>
      <c r="F709" s="1">
        <v>-1</v>
      </c>
      <c r="G709" s="1">
        <v>184</v>
      </c>
      <c r="H709" s="1">
        <v>2543.7471230764941</v>
      </c>
      <c r="I709" s="1">
        <v>-1</v>
      </c>
      <c r="J709" s="1">
        <v>1212.3304240262141</v>
      </c>
      <c r="K709" s="1">
        <v>1</v>
      </c>
      <c r="L709" s="1">
        <v>82</v>
      </c>
      <c r="M709" s="18">
        <v>40</v>
      </c>
      <c r="N709" s="1">
        <v>40</v>
      </c>
      <c r="O709" s="1">
        <v>1</v>
      </c>
      <c r="P709" s="1">
        <v>133</v>
      </c>
      <c r="Q709" s="1">
        <v>0</v>
      </c>
    </row>
    <row r="710" spans="2:17" ht="15.45" x14ac:dyDescent="0.4">
      <c r="B710" s="1">
        <v>185</v>
      </c>
      <c r="C710" s="1">
        <v>1833.0684802770757</v>
      </c>
      <c r="D710" s="1">
        <v>1</v>
      </c>
      <c r="E710" s="1">
        <v>5376.0076505039387</v>
      </c>
      <c r="F710" s="1">
        <v>-1</v>
      </c>
      <c r="G710" s="1">
        <v>185</v>
      </c>
      <c r="H710" s="1">
        <v>830.94075854985147</v>
      </c>
      <c r="I710" s="1">
        <v>1</v>
      </c>
      <c r="J710" s="1">
        <v>1216.0172515635784</v>
      </c>
      <c r="K710" s="1">
        <v>-1</v>
      </c>
      <c r="L710" s="1">
        <v>81</v>
      </c>
      <c r="M710" s="18">
        <v>40</v>
      </c>
      <c r="N710" s="1">
        <v>40</v>
      </c>
      <c r="O710" s="1">
        <v>0</v>
      </c>
      <c r="P710" s="1">
        <v>0</v>
      </c>
      <c r="Q710" s="1">
        <v>0</v>
      </c>
    </row>
    <row r="711" spans="2:17" ht="15.45" x14ac:dyDescent="0.4">
      <c r="B711" s="1">
        <v>186</v>
      </c>
      <c r="C711" s="1">
        <v>1845.8081387274638</v>
      </c>
      <c r="D711" s="1">
        <v>1</v>
      </c>
      <c r="E711" s="1">
        <v>5378.5501709493929</v>
      </c>
      <c r="F711" s="1">
        <v>-1</v>
      </c>
      <c r="G711" s="1">
        <v>186</v>
      </c>
      <c r="H711" s="1">
        <v>2573.6937889395103</v>
      </c>
      <c r="I711" s="1">
        <v>-1</v>
      </c>
      <c r="J711" s="1">
        <v>1217.2508676878276</v>
      </c>
      <c r="K711" s="1">
        <v>1</v>
      </c>
      <c r="L711" s="1">
        <v>82</v>
      </c>
      <c r="M711" s="18">
        <v>40</v>
      </c>
      <c r="N711" s="1">
        <v>40</v>
      </c>
      <c r="O711" s="1">
        <v>1</v>
      </c>
      <c r="P711" s="1">
        <v>134</v>
      </c>
      <c r="Q711" s="1">
        <v>0</v>
      </c>
    </row>
    <row r="712" spans="2:17" ht="15.45" x14ac:dyDescent="0.4">
      <c r="B712" s="1">
        <v>187</v>
      </c>
      <c r="C712" s="1">
        <v>1848.0165712883293</v>
      </c>
      <c r="D712" s="1">
        <v>1</v>
      </c>
      <c r="E712" s="1">
        <v>5389.147520450234</v>
      </c>
      <c r="F712" s="1">
        <v>-1</v>
      </c>
      <c r="G712" s="1">
        <v>187</v>
      </c>
      <c r="H712" s="1">
        <v>837.44767157441288</v>
      </c>
      <c r="I712" s="1">
        <v>1</v>
      </c>
      <c r="J712" s="1">
        <v>1223.2897393892986</v>
      </c>
      <c r="K712" s="1">
        <v>1</v>
      </c>
      <c r="L712" s="1">
        <v>83</v>
      </c>
      <c r="M712" s="18">
        <v>40</v>
      </c>
      <c r="N712" s="1">
        <v>40</v>
      </c>
      <c r="O712" s="1">
        <v>1</v>
      </c>
      <c r="P712" s="1">
        <v>135</v>
      </c>
      <c r="Q712" s="1">
        <v>0</v>
      </c>
    </row>
    <row r="713" spans="2:17" ht="15.45" x14ac:dyDescent="0.4">
      <c r="B713" s="1">
        <v>188</v>
      </c>
      <c r="C713" s="1">
        <v>1860.8985994167654</v>
      </c>
      <c r="D713" s="1">
        <v>1</v>
      </c>
      <c r="E713" s="1">
        <v>5426.6774443707873</v>
      </c>
      <c r="F713" s="1">
        <v>-1</v>
      </c>
      <c r="G713" s="1">
        <v>188</v>
      </c>
      <c r="H713" s="1">
        <v>2615.4564439579212</v>
      </c>
      <c r="I713" s="1">
        <v>-1</v>
      </c>
      <c r="J713" s="1">
        <v>1230.9892039338022</v>
      </c>
      <c r="K713" s="1">
        <v>-1</v>
      </c>
      <c r="L713" s="1">
        <v>82</v>
      </c>
      <c r="M713" s="18">
        <v>40</v>
      </c>
      <c r="N713" s="1">
        <v>39</v>
      </c>
      <c r="O713" s="1">
        <v>0</v>
      </c>
      <c r="P713" s="1">
        <v>0</v>
      </c>
      <c r="Q713" s="1">
        <v>0</v>
      </c>
    </row>
    <row r="714" spans="2:17" ht="15.45" x14ac:dyDescent="0.4">
      <c r="B714" s="1">
        <v>189</v>
      </c>
      <c r="C714" s="1">
        <v>1886.76850529231</v>
      </c>
      <c r="D714" s="1">
        <v>1</v>
      </c>
      <c r="E714" s="1">
        <v>5517.5759751233154</v>
      </c>
      <c r="F714" s="1">
        <v>-1</v>
      </c>
      <c r="G714" s="1">
        <v>189</v>
      </c>
      <c r="H714" s="1">
        <v>839.4238215767391</v>
      </c>
      <c r="I714" s="1">
        <v>1</v>
      </c>
      <c r="J714" s="1">
        <v>1236.0776306266873</v>
      </c>
      <c r="K714" s="1">
        <v>-1</v>
      </c>
      <c r="L714" s="1">
        <v>81</v>
      </c>
      <c r="M714" s="18">
        <v>40</v>
      </c>
      <c r="N714" s="1">
        <v>38</v>
      </c>
      <c r="O714" s="1">
        <v>0</v>
      </c>
      <c r="P714" s="1">
        <v>0</v>
      </c>
      <c r="Q714" s="1">
        <v>0</v>
      </c>
    </row>
    <row r="715" spans="2:17" ht="15.45" x14ac:dyDescent="0.4">
      <c r="B715" s="1">
        <v>190</v>
      </c>
      <c r="C715" s="1">
        <v>1903.8498201710938</v>
      </c>
      <c r="D715" s="1">
        <v>1</v>
      </c>
      <c r="E715" s="1">
        <v>5556.4985442969473</v>
      </c>
      <c r="F715" s="1">
        <v>-1</v>
      </c>
      <c r="G715" s="1">
        <v>190</v>
      </c>
      <c r="H715" s="1">
        <v>2618.3854601898679</v>
      </c>
      <c r="I715" s="1">
        <v>-1</v>
      </c>
      <c r="J715" s="1">
        <v>1236.802768658617</v>
      </c>
      <c r="K715" s="1">
        <v>1</v>
      </c>
      <c r="L715" s="1">
        <v>82</v>
      </c>
      <c r="M715" s="18">
        <v>40</v>
      </c>
      <c r="N715" s="1">
        <v>39</v>
      </c>
      <c r="O715" s="1">
        <v>0</v>
      </c>
      <c r="P715" s="1">
        <v>0</v>
      </c>
      <c r="Q715" s="1">
        <v>0</v>
      </c>
    </row>
    <row r="716" spans="2:17" ht="15.45" x14ac:dyDescent="0.4">
      <c r="B716" s="1">
        <v>191</v>
      </c>
      <c r="C716" s="1">
        <v>1905.4937275258349</v>
      </c>
      <c r="D716" s="1">
        <v>1</v>
      </c>
      <c r="E716" s="1">
        <v>5574.998274935776</v>
      </c>
      <c r="F716" s="1">
        <v>-1</v>
      </c>
      <c r="G716" s="1">
        <v>191</v>
      </c>
      <c r="H716" s="1">
        <v>846.53463747689898</v>
      </c>
      <c r="I716" s="1">
        <v>1</v>
      </c>
      <c r="J716" s="1">
        <v>1238.174816966</v>
      </c>
      <c r="K716" s="1">
        <v>1</v>
      </c>
      <c r="L716" s="1">
        <v>83</v>
      </c>
      <c r="M716" s="18">
        <v>40</v>
      </c>
      <c r="N716" s="1">
        <v>40</v>
      </c>
      <c r="O716" s="1">
        <v>0</v>
      </c>
      <c r="P716" s="1">
        <v>0</v>
      </c>
      <c r="Q716" s="1">
        <v>0</v>
      </c>
    </row>
    <row r="717" spans="2:17" ht="15.45" x14ac:dyDescent="0.4">
      <c r="B717" s="1">
        <v>192</v>
      </c>
      <c r="C717" s="1">
        <v>1906.4210998803189</v>
      </c>
      <c r="D717" s="1">
        <v>1</v>
      </c>
      <c r="E717" s="1">
        <v>5674.3980691774468</v>
      </c>
      <c r="F717" s="1">
        <v>-1</v>
      </c>
      <c r="G717" s="1">
        <v>192</v>
      </c>
      <c r="H717" s="1">
        <v>2627.5463108961221</v>
      </c>
      <c r="I717" s="1">
        <v>-1</v>
      </c>
      <c r="J717" s="1">
        <v>1239.9045473642464</v>
      </c>
      <c r="K717" s="1">
        <v>1</v>
      </c>
      <c r="L717" s="1">
        <v>84</v>
      </c>
      <c r="M717" s="18">
        <v>40</v>
      </c>
      <c r="N717" s="1">
        <v>40</v>
      </c>
      <c r="O717" s="1">
        <v>1</v>
      </c>
      <c r="P717" s="1">
        <v>138</v>
      </c>
      <c r="Q717" s="1">
        <v>0</v>
      </c>
    </row>
    <row r="718" spans="2:17" ht="15.45" x14ac:dyDescent="0.4">
      <c r="B718" s="1">
        <v>193</v>
      </c>
      <c r="C718" s="1">
        <v>1914.5303419948757</v>
      </c>
      <c r="D718" s="1">
        <v>1</v>
      </c>
      <c r="E718" s="1">
        <v>5690.2870711199184</v>
      </c>
      <c r="F718" s="1">
        <v>-1</v>
      </c>
      <c r="G718" s="1">
        <v>193</v>
      </c>
      <c r="H718" s="1">
        <v>855.24559718465059</v>
      </c>
      <c r="I718" s="1">
        <v>1</v>
      </c>
      <c r="J718" s="1">
        <v>1244.2839735304701</v>
      </c>
      <c r="K718" s="1">
        <v>1</v>
      </c>
      <c r="L718" s="1">
        <v>85</v>
      </c>
      <c r="M718" s="18">
        <v>40</v>
      </c>
      <c r="N718" s="1">
        <v>40</v>
      </c>
      <c r="O718" s="1">
        <v>1</v>
      </c>
      <c r="P718" s="1">
        <v>139</v>
      </c>
      <c r="Q718" s="1">
        <v>0</v>
      </c>
    </row>
    <row r="719" spans="2:17" ht="15.45" x14ac:dyDescent="0.4">
      <c r="B719" s="1">
        <v>194</v>
      </c>
      <c r="C719" s="1">
        <v>1945.539068566442</v>
      </c>
      <c r="D719" s="1">
        <v>1</v>
      </c>
      <c r="E719" s="1">
        <v>5704.9141848784102</v>
      </c>
      <c r="F719" s="1">
        <v>-1</v>
      </c>
      <c r="G719" s="1">
        <v>194</v>
      </c>
      <c r="H719" s="1">
        <v>2628.8151575164788</v>
      </c>
      <c r="I719" s="1">
        <v>-1</v>
      </c>
      <c r="J719" s="1">
        <v>1252.3336449861683</v>
      </c>
      <c r="K719" s="1">
        <v>1</v>
      </c>
      <c r="L719" s="1">
        <v>86</v>
      </c>
      <c r="M719" s="18">
        <v>40</v>
      </c>
      <c r="N719" s="1">
        <v>40</v>
      </c>
      <c r="O719" s="1">
        <v>1</v>
      </c>
      <c r="P719" s="1">
        <v>140</v>
      </c>
      <c r="Q719" s="1">
        <v>0</v>
      </c>
    </row>
    <row r="720" spans="2:17" ht="15.45" x14ac:dyDescent="0.4">
      <c r="B720" s="1">
        <v>195</v>
      </c>
      <c r="C720" s="1">
        <v>1951.4242128942776</v>
      </c>
      <c r="D720" s="1">
        <v>1</v>
      </c>
      <c r="E720" s="1">
        <v>5780.3281671422392</v>
      </c>
      <c r="F720" s="1">
        <v>-1</v>
      </c>
      <c r="G720" s="1">
        <v>195</v>
      </c>
      <c r="H720" s="1">
        <v>865.33874226149646</v>
      </c>
      <c r="I720" s="1">
        <v>1</v>
      </c>
      <c r="J720" s="1">
        <v>1258.2953875380667</v>
      </c>
      <c r="K720" s="1">
        <v>1</v>
      </c>
      <c r="L720" s="1">
        <v>87</v>
      </c>
      <c r="M720" s="18">
        <v>40</v>
      </c>
      <c r="N720" s="1">
        <v>40</v>
      </c>
      <c r="O720" s="1">
        <v>1</v>
      </c>
      <c r="P720" s="1">
        <v>141</v>
      </c>
      <c r="Q720" s="1">
        <v>0</v>
      </c>
    </row>
    <row r="721" spans="2:17" ht="15.45" x14ac:dyDescent="0.4">
      <c r="B721" s="1">
        <v>196</v>
      </c>
      <c r="C721" s="1">
        <v>1954.7558236172667</v>
      </c>
      <c r="D721" s="1">
        <v>1</v>
      </c>
      <c r="E721" s="1">
        <v>5806.1670277638732</v>
      </c>
      <c r="F721" s="1">
        <v>-1</v>
      </c>
      <c r="G721" s="1">
        <v>196</v>
      </c>
      <c r="H721" s="1">
        <v>2663.447949359293</v>
      </c>
      <c r="I721" s="1">
        <v>-1</v>
      </c>
      <c r="J721" s="1">
        <v>1261.7295154788569</v>
      </c>
      <c r="K721" s="1">
        <v>-1</v>
      </c>
      <c r="L721" s="1">
        <v>86</v>
      </c>
      <c r="M721" s="18">
        <v>40</v>
      </c>
      <c r="N721" s="1">
        <v>39</v>
      </c>
      <c r="O721" s="1">
        <v>0</v>
      </c>
      <c r="P721" s="1">
        <v>0</v>
      </c>
      <c r="Q721" s="1">
        <v>0</v>
      </c>
    </row>
    <row r="722" spans="2:17" ht="15.45" x14ac:dyDescent="0.4">
      <c r="B722" s="1">
        <v>197</v>
      </c>
      <c r="C722" s="1">
        <v>1957.0192208229748</v>
      </c>
      <c r="D722" s="1">
        <v>1</v>
      </c>
      <c r="E722" s="1">
        <v>5875.3590426447836</v>
      </c>
      <c r="F722" s="1">
        <v>-1</v>
      </c>
      <c r="G722" s="1">
        <v>197</v>
      </c>
      <c r="H722" s="1">
        <v>871.71400088839619</v>
      </c>
      <c r="I722" s="1">
        <v>1</v>
      </c>
      <c r="J722" s="1">
        <v>1276.1481682074889</v>
      </c>
      <c r="K722" s="1">
        <v>-1</v>
      </c>
      <c r="L722" s="1">
        <v>85</v>
      </c>
      <c r="M722" s="18">
        <v>40</v>
      </c>
      <c r="N722" s="1">
        <v>38</v>
      </c>
      <c r="O722" s="1">
        <v>0</v>
      </c>
      <c r="P722" s="1">
        <v>0</v>
      </c>
      <c r="Q722" s="1">
        <v>0</v>
      </c>
    </row>
    <row r="723" spans="2:17" ht="15.45" x14ac:dyDescent="0.4">
      <c r="B723" s="1">
        <v>198</v>
      </c>
      <c r="C723" s="1">
        <v>1962.8555777367619</v>
      </c>
      <c r="D723" s="1">
        <v>1</v>
      </c>
      <c r="E723" s="1">
        <v>5906.1917074698722</v>
      </c>
      <c r="F723" s="1">
        <v>-1</v>
      </c>
      <c r="G723" s="1">
        <v>198</v>
      </c>
      <c r="H723" s="1">
        <v>2690.3699005448716</v>
      </c>
      <c r="I723" s="1">
        <v>-1</v>
      </c>
      <c r="J723" s="1">
        <v>1282.5047032637287</v>
      </c>
      <c r="K723" s="1">
        <v>-1</v>
      </c>
      <c r="L723" s="1">
        <v>84</v>
      </c>
      <c r="M723" s="18">
        <v>40</v>
      </c>
      <c r="N723" s="1">
        <v>37</v>
      </c>
      <c r="O723" s="1">
        <v>0</v>
      </c>
      <c r="P723" s="1">
        <v>0</v>
      </c>
      <c r="Q723" s="1">
        <v>0</v>
      </c>
    </row>
    <row r="724" spans="2:17" ht="15.45" x14ac:dyDescent="0.4">
      <c r="B724" s="1">
        <v>199</v>
      </c>
      <c r="C724" s="1">
        <v>1977.6400364884491</v>
      </c>
      <c r="D724" s="1">
        <v>1</v>
      </c>
      <c r="E724" s="1">
        <v>5944.410682821037</v>
      </c>
      <c r="F724" s="1">
        <v>-1</v>
      </c>
      <c r="G724" s="1">
        <v>199</v>
      </c>
      <c r="H724" s="1">
        <v>899.40405206876846</v>
      </c>
      <c r="I724" s="1">
        <v>1</v>
      </c>
      <c r="J724" s="1">
        <v>1301.8706739376944</v>
      </c>
      <c r="K724" s="1">
        <v>-1</v>
      </c>
      <c r="L724" s="1">
        <v>83</v>
      </c>
      <c r="M724" s="18">
        <v>40</v>
      </c>
      <c r="N724" s="1">
        <v>36</v>
      </c>
      <c r="O724" s="1">
        <v>0</v>
      </c>
      <c r="P724" s="1">
        <v>0</v>
      </c>
      <c r="Q724" s="1">
        <v>0</v>
      </c>
    </row>
    <row r="725" spans="2:17" ht="15.45" x14ac:dyDescent="0.4">
      <c r="B725" s="1">
        <v>200</v>
      </c>
      <c r="C725" s="1">
        <v>1977.8648795502288</v>
      </c>
      <c r="D725" s="1">
        <v>1</v>
      </c>
      <c r="E725" s="1">
        <v>5951.0359805036333</v>
      </c>
      <c r="F725" s="1">
        <v>-1</v>
      </c>
      <c r="G725" s="1">
        <v>200</v>
      </c>
      <c r="H725" s="1">
        <v>2718.1000520310172</v>
      </c>
      <c r="I725" s="1">
        <v>-1</v>
      </c>
      <c r="J725" s="1">
        <v>1302.5402099252833</v>
      </c>
      <c r="K725" s="1">
        <v>1</v>
      </c>
      <c r="L725" s="1">
        <v>84</v>
      </c>
      <c r="M725" s="18">
        <v>40</v>
      </c>
      <c r="N725" s="1">
        <v>37</v>
      </c>
      <c r="O725" s="1">
        <v>0</v>
      </c>
      <c r="P725" s="1">
        <v>0</v>
      </c>
      <c r="Q725" s="1">
        <v>0</v>
      </c>
    </row>
    <row r="726" spans="2:17" ht="15.45" x14ac:dyDescent="0.4">
      <c r="B726" s="1">
        <v>201</v>
      </c>
      <c r="C726" s="1">
        <v>1984.1606466416486</v>
      </c>
      <c r="D726" s="1">
        <v>1</v>
      </c>
      <c r="E726" s="1">
        <v>5989.6820648889416</v>
      </c>
      <c r="F726" s="1">
        <v>-1</v>
      </c>
      <c r="G726" s="1">
        <v>201</v>
      </c>
      <c r="H726" s="1">
        <v>906.56960049088968</v>
      </c>
      <c r="I726" s="1">
        <v>1</v>
      </c>
      <c r="J726" s="1">
        <v>1306.2369684137873</v>
      </c>
      <c r="K726" s="1">
        <v>1</v>
      </c>
      <c r="L726" s="1">
        <v>85</v>
      </c>
      <c r="M726" s="18">
        <v>40</v>
      </c>
      <c r="N726" s="1">
        <v>38</v>
      </c>
      <c r="O726" s="1">
        <v>0</v>
      </c>
      <c r="P726" s="1">
        <v>0</v>
      </c>
      <c r="Q726" s="1">
        <v>0</v>
      </c>
    </row>
    <row r="727" spans="2:17" ht="15.45" x14ac:dyDescent="0.4">
      <c r="B727" s="1">
        <v>202</v>
      </c>
      <c r="C727" s="1">
        <v>1986.5705010171187</v>
      </c>
      <c r="D727" s="1">
        <v>1</v>
      </c>
      <c r="E727" s="1">
        <v>6067.2917825155755</v>
      </c>
      <c r="F727" s="1">
        <v>-1</v>
      </c>
      <c r="G727" s="1">
        <v>202</v>
      </c>
      <c r="H727" s="1">
        <v>2743.4621121838281</v>
      </c>
      <c r="I727" s="1">
        <v>-1</v>
      </c>
      <c r="J727" s="1">
        <v>1317.7001590794662</v>
      </c>
      <c r="K727" s="1">
        <v>1</v>
      </c>
      <c r="L727" s="1">
        <v>86</v>
      </c>
      <c r="M727" s="18">
        <v>40</v>
      </c>
      <c r="N727" s="1">
        <v>39</v>
      </c>
      <c r="O727" s="1">
        <v>0</v>
      </c>
      <c r="P727" s="1">
        <v>0</v>
      </c>
      <c r="Q727" s="1">
        <v>0</v>
      </c>
    </row>
    <row r="728" spans="2:17" ht="15.45" x14ac:dyDescent="0.4">
      <c r="B728" s="1">
        <v>203</v>
      </c>
      <c r="C728" s="1">
        <v>1991.8205601614618</v>
      </c>
      <c r="D728" s="1">
        <v>1</v>
      </c>
      <c r="E728" s="1">
        <v>6118.5357271519269</v>
      </c>
      <c r="F728" s="1">
        <v>-1</v>
      </c>
      <c r="G728" s="1">
        <v>203</v>
      </c>
      <c r="H728" s="1">
        <v>907.3378106691506</v>
      </c>
      <c r="I728" s="1">
        <v>1</v>
      </c>
      <c r="J728" s="1">
        <v>1318.046775330946</v>
      </c>
      <c r="K728" s="1">
        <v>1</v>
      </c>
      <c r="L728" s="1">
        <v>87</v>
      </c>
      <c r="M728" s="18">
        <v>40</v>
      </c>
      <c r="N728" s="1">
        <v>40</v>
      </c>
      <c r="O728" s="1">
        <v>0</v>
      </c>
      <c r="P728" s="1">
        <v>0</v>
      </c>
      <c r="Q728" s="1">
        <v>0</v>
      </c>
    </row>
    <row r="729" spans="2:17" ht="15.45" x14ac:dyDescent="0.4">
      <c r="B729" s="1">
        <v>204</v>
      </c>
      <c r="C729" s="1">
        <v>2011.6281487594699</v>
      </c>
      <c r="D729" s="1">
        <v>1</v>
      </c>
      <c r="E729" s="1">
        <v>6123.4674492161503</v>
      </c>
      <c r="F729" s="1">
        <v>-1</v>
      </c>
      <c r="G729" s="1">
        <v>204</v>
      </c>
      <c r="H729" s="1">
        <v>2776.5020647872416</v>
      </c>
      <c r="I729" s="1">
        <v>-1</v>
      </c>
      <c r="J729" s="1">
        <v>1323.7321622759468</v>
      </c>
      <c r="K729" s="1">
        <v>1</v>
      </c>
      <c r="L729" s="1">
        <v>88</v>
      </c>
      <c r="M729" s="18">
        <v>40</v>
      </c>
      <c r="N729" s="1">
        <v>40</v>
      </c>
      <c r="O729" s="1">
        <v>1</v>
      </c>
      <c r="P729" s="1">
        <v>146</v>
      </c>
      <c r="Q729" s="1">
        <v>0</v>
      </c>
    </row>
    <row r="730" spans="2:17" ht="15.45" x14ac:dyDescent="0.4">
      <c r="B730" s="1">
        <v>205</v>
      </c>
      <c r="C730" s="1">
        <v>2026.2438505511457</v>
      </c>
      <c r="D730" s="1">
        <v>1</v>
      </c>
      <c r="E730" s="1">
        <v>6126.2495662796027</v>
      </c>
      <c r="F730" s="1">
        <v>-1</v>
      </c>
      <c r="G730" s="1">
        <v>205</v>
      </c>
      <c r="H730" s="1">
        <v>923.24521407902137</v>
      </c>
      <c r="I730" s="1">
        <v>1</v>
      </c>
      <c r="J730" s="1">
        <v>1327.555009648707</v>
      </c>
      <c r="K730" s="1">
        <v>1</v>
      </c>
      <c r="L730" s="1">
        <v>89</v>
      </c>
      <c r="M730" s="18">
        <v>40</v>
      </c>
      <c r="N730" s="1">
        <v>40</v>
      </c>
      <c r="O730" s="1">
        <v>1</v>
      </c>
      <c r="P730" s="1">
        <v>147</v>
      </c>
      <c r="Q730" s="1">
        <v>0</v>
      </c>
    </row>
    <row r="731" spans="2:17" ht="15.45" x14ac:dyDescent="0.4">
      <c r="B731" s="1">
        <v>206</v>
      </c>
      <c r="C731" s="1">
        <v>2030.1712028852994</v>
      </c>
      <c r="D731" s="1">
        <v>1</v>
      </c>
      <c r="E731" s="1">
        <v>6150.577292623273</v>
      </c>
      <c r="F731" s="1">
        <v>-1</v>
      </c>
      <c r="G731" s="1">
        <v>206</v>
      </c>
      <c r="H731" s="1">
        <v>2790.3764495322066</v>
      </c>
      <c r="I731" s="1">
        <v>-1</v>
      </c>
      <c r="J731" s="1">
        <v>1328.5805311165755</v>
      </c>
      <c r="K731" s="1">
        <v>1</v>
      </c>
      <c r="L731" s="1">
        <v>90</v>
      </c>
      <c r="M731" s="18">
        <v>40</v>
      </c>
      <c r="N731" s="1">
        <v>40</v>
      </c>
      <c r="O731" s="1">
        <v>1</v>
      </c>
      <c r="P731" s="1">
        <v>148</v>
      </c>
      <c r="Q731" s="1">
        <v>0</v>
      </c>
    </row>
    <row r="732" spans="2:17" ht="15.45" x14ac:dyDescent="0.4">
      <c r="B732" s="1">
        <v>207</v>
      </c>
      <c r="C732" s="1">
        <v>2034.6847563898784</v>
      </c>
      <c r="D732" s="1">
        <v>1</v>
      </c>
      <c r="E732" s="1">
        <v>6243.6034723379726</v>
      </c>
      <c r="F732" s="1">
        <v>-1</v>
      </c>
      <c r="G732" s="1">
        <v>207</v>
      </c>
      <c r="H732" s="1">
        <v>935.84430379576463</v>
      </c>
      <c r="I732" s="1">
        <v>1</v>
      </c>
      <c r="J732" s="1">
        <v>1335.884048891751</v>
      </c>
      <c r="K732" s="1">
        <v>-1</v>
      </c>
      <c r="L732" s="1">
        <v>89</v>
      </c>
      <c r="M732" s="18">
        <v>40</v>
      </c>
      <c r="N732" s="1">
        <v>39</v>
      </c>
      <c r="O732" s="1">
        <v>0</v>
      </c>
      <c r="P732" s="1">
        <v>0</v>
      </c>
      <c r="Q732" s="1">
        <v>0</v>
      </c>
    </row>
    <row r="733" spans="2:17" ht="15.45" x14ac:dyDescent="0.4">
      <c r="B733" s="1">
        <v>208</v>
      </c>
      <c r="C733" s="1">
        <v>2070.4471734622089</v>
      </c>
      <c r="D733" s="1">
        <v>1</v>
      </c>
      <c r="E733" s="1">
        <v>6261.2589053214797</v>
      </c>
      <c r="F733" s="1">
        <v>-1</v>
      </c>
      <c r="G733" s="1">
        <v>208</v>
      </c>
      <c r="H733" s="1">
        <v>2798.0512509383202</v>
      </c>
      <c r="I733" s="1">
        <v>-1</v>
      </c>
      <c r="J733" s="1">
        <v>1341.8475033074424</v>
      </c>
      <c r="K733" s="1">
        <v>1</v>
      </c>
      <c r="L733" s="1">
        <v>90</v>
      </c>
      <c r="M733" s="18">
        <v>40</v>
      </c>
      <c r="N733" s="1">
        <v>40</v>
      </c>
      <c r="O733" s="1">
        <v>0</v>
      </c>
      <c r="P733" s="1">
        <v>0</v>
      </c>
      <c r="Q733" s="1">
        <v>0</v>
      </c>
    </row>
    <row r="734" spans="2:17" ht="15.45" x14ac:dyDescent="0.4">
      <c r="B734" s="1">
        <v>209</v>
      </c>
      <c r="C734" s="1">
        <v>2075.1843350110335</v>
      </c>
      <c r="D734" s="1">
        <v>1</v>
      </c>
      <c r="E734" s="1">
        <v>6271.2537374904477</v>
      </c>
      <c r="F734" s="1">
        <v>-1</v>
      </c>
      <c r="G734" s="1">
        <v>209</v>
      </c>
      <c r="H734" s="1">
        <v>942.6490656983226</v>
      </c>
      <c r="I734" s="1">
        <v>1</v>
      </c>
      <c r="J734" s="1">
        <v>1348.1770042670603</v>
      </c>
      <c r="K734" s="1">
        <v>-1</v>
      </c>
      <c r="L734" s="1">
        <v>89</v>
      </c>
      <c r="M734" s="18">
        <v>40</v>
      </c>
      <c r="N734" s="1">
        <v>39</v>
      </c>
      <c r="O734" s="1">
        <v>0</v>
      </c>
      <c r="P734" s="1">
        <v>0</v>
      </c>
      <c r="Q734" s="1">
        <v>0</v>
      </c>
    </row>
    <row r="735" spans="2:17" ht="15.45" x14ac:dyDescent="0.4">
      <c r="B735" s="1">
        <v>210</v>
      </c>
      <c r="C735" s="1">
        <v>2081.8538876792031</v>
      </c>
      <c r="D735" s="1">
        <v>1</v>
      </c>
      <c r="E735" s="1">
        <v>6278.0439291075709</v>
      </c>
      <c r="F735" s="1">
        <v>-1</v>
      </c>
      <c r="G735" s="1">
        <v>210</v>
      </c>
      <c r="H735" s="1">
        <v>2812.1307122658864</v>
      </c>
      <c r="I735" s="1">
        <v>-1</v>
      </c>
      <c r="J735" s="1">
        <v>1360.1516234915011</v>
      </c>
      <c r="K735" s="1">
        <v>-1</v>
      </c>
      <c r="L735" s="1">
        <v>88</v>
      </c>
      <c r="M735" s="18">
        <v>40</v>
      </c>
      <c r="N735" s="1">
        <v>38</v>
      </c>
      <c r="O735" s="1">
        <v>0</v>
      </c>
      <c r="P735" s="1">
        <v>0</v>
      </c>
      <c r="Q735" s="1">
        <v>0</v>
      </c>
    </row>
    <row r="736" spans="2:17" ht="15.45" x14ac:dyDescent="0.4">
      <c r="B736" s="1">
        <v>211</v>
      </c>
      <c r="C736" s="1">
        <v>2092.2453694005771</v>
      </c>
      <c r="D736" s="1">
        <v>1</v>
      </c>
      <c r="E736" s="1">
        <v>6295.5529998489319</v>
      </c>
      <c r="F736" s="1">
        <v>-1</v>
      </c>
      <c r="G736" s="1">
        <v>211</v>
      </c>
      <c r="H736" s="1">
        <v>963.96598915235154</v>
      </c>
      <c r="I736" s="1">
        <v>1</v>
      </c>
      <c r="J736" s="1">
        <v>1362.0768913438769</v>
      </c>
      <c r="K736" s="1">
        <v>-1</v>
      </c>
      <c r="L736" s="1">
        <v>87</v>
      </c>
      <c r="M736" s="18">
        <v>40</v>
      </c>
      <c r="N736" s="1">
        <v>37</v>
      </c>
      <c r="O736" s="1">
        <v>0</v>
      </c>
      <c r="P736" s="1">
        <v>0</v>
      </c>
      <c r="Q736" s="1">
        <v>0</v>
      </c>
    </row>
    <row r="737" spans="2:17" ht="15.45" x14ac:dyDescent="0.4">
      <c r="B737" s="1">
        <v>212</v>
      </c>
      <c r="C737" s="1">
        <v>2098.0059847074717</v>
      </c>
      <c r="D737" s="1">
        <v>1</v>
      </c>
      <c r="E737" s="1">
        <v>6339.9063761039934</v>
      </c>
      <c r="F737" s="1">
        <v>-1</v>
      </c>
      <c r="G737" s="1">
        <v>212</v>
      </c>
      <c r="H737" s="1">
        <v>2899.8085422882027</v>
      </c>
      <c r="I737" s="1">
        <v>-1</v>
      </c>
      <c r="J737" s="1">
        <v>1364.0937886858615</v>
      </c>
      <c r="K737" s="1">
        <v>-1</v>
      </c>
      <c r="L737" s="1">
        <v>86</v>
      </c>
      <c r="M737" s="18">
        <v>40</v>
      </c>
      <c r="N737" s="1">
        <v>36</v>
      </c>
      <c r="O737" s="1">
        <v>0</v>
      </c>
      <c r="P737" s="1">
        <v>0</v>
      </c>
      <c r="Q737" s="1">
        <v>0</v>
      </c>
    </row>
    <row r="738" spans="2:17" ht="15.45" x14ac:dyDescent="0.4">
      <c r="B738" s="1">
        <v>213</v>
      </c>
      <c r="C738" s="1">
        <v>2098.1558382531243</v>
      </c>
      <c r="D738" s="1">
        <v>1</v>
      </c>
      <c r="E738" s="1">
        <v>6340.5809052893328</v>
      </c>
      <c r="F738" s="1">
        <v>-1</v>
      </c>
      <c r="G738" s="1">
        <v>213</v>
      </c>
      <c r="H738" s="1">
        <v>976.202228932916</v>
      </c>
      <c r="I738" s="1">
        <v>1</v>
      </c>
      <c r="J738" s="1">
        <v>1364.5589168988843</v>
      </c>
      <c r="K738" s="1">
        <v>1</v>
      </c>
      <c r="L738" s="1">
        <v>87</v>
      </c>
      <c r="M738" s="18">
        <v>40</v>
      </c>
      <c r="N738" s="1">
        <v>37</v>
      </c>
      <c r="O738" s="1">
        <v>0</v>
      </c>
      <c r="P738" s="1">
        <v>0</v>
      </c>
      <c r="Q738" s="1">
        <v>0</v>
      </c>
    </row>
    <row r="739" spans="2:17" ht="15.45" x14ac:dyDescent="0.4">
      <c r="B739" s="1">
        <v>214</v>
      </c>
      <c r="C739" s="1">
        <v>2100.4545861533898</v>
      </c>
      <c r="D739" s="1">
        <v>1</v>
      </c>
      <c r="E739" s="1">
        <v>6359.4682065635916</v>
      </c>
      <c r="F739" s="1">
        <v>-1</v>
      </c>
      <c r="G739" s="1">
        <v>214</v>
      </c>
      <c r="H739" s="1">
        <v>2919.3292813618868</v>
      </c>
      <c r="I739" s="1">
        <v>-1</v>
      </c>
      <c r="J739" s="1">
        <v>1388.2267541213785</v>
      </c>
      <c r="K739" s="1">
        <v>1</v>
      </c>
      <c r="L739" s="1">
        <v>88</v>
      </c>
      <c r="M739" s="18">
        <v>40</v>
      </c>
      <c r="N739" s="1">
        <v>38</v>
      </c>
      <c r="O739" s="1">
        <v>0</v>
      </c>
      <c r="P739" s="1">
        <v>0</v>
      </c>
      <c r="Q739" s="1">
        <v>0</v>
      </c>
    </row>
    <row r="740" spans="2:17" ht="15.45" x14ac:dyDescent="0.4">
      <c r="B740" s="1">
        <v>215</v>
      </c>
      <c r="C740" s="1">
        <v>2102.9002601458242</v>
      </c>
      <c r="D740" s="1">
        <v>1</v>
      </c>
      <c r="E740" s="1">
        <v>6366.6977696900021</v>
      </c>
      <c r="F740" s="1">
        <v>-1</v>
      </c>
      <c r="G740" s="1">
        <v>215</v>
      </c>
      <c r="H740" s="1">
        <v>983.68407692681672</v>
      </c>
      <c r="I740" s="1">
        <v>1</v>
      </c>
      <c r="J740" s="1">
        <v>1393.1773955973335</v>
      </c>
      <c r="K740" s="1">
        <v>-1</v>
      </c>
      <c r="L740" s="1">
        <v>87</v>
      </c>
      <c r="M740" s="18">
        <v>40</v>
      </c>
      <c r="N740" s="1">
        <v>38</v>
      </c>
      <c r="O740" s="1">
        <v>0</v>
      </c>
      <c r="P740" s="1">
        <v>0</v>
      </c>
      <c r="Q740" s="1">
        <v>0</v>
      </c>
    </row>
    <row r="741" spans="2:17" ht="15.45" x14ac:dyDescent="0.4">
      <c r="B741" s="1">
        <v>216</v>
      </c>
      <c r="C741" s="1">
        <v>2104.9108571268521</v>
      </c>
      <c r="D741" s="1">
        <v>1</v>
      </c>
      <c r="E741" s="1">
        <v>6382.4479471230316</v>
      </c>
      <c r="F741" s="1">
        <v>-1</v>
      </c>
      <c r="G741" s="1">
        <v>216</v>
      </c>
      <c r="H741" s="1">
        <v>2925.2577313688653</v>
      </c>
      <c r="I741" s="1">
        <v>-1</v>
      </c>
      <c r="J741" s="1">
        <v>1409.2416970622398</v>
      </c>
      <c r="K741" s="1">
        <v>1</v>
      </c>
      <c r="L741" s="1">
        <v>88</v>
      </c>
      <c r="M741" s="18">
        <v>40</v>
      </c>
      <c r="N741" s="1">
        <v>39</v>
      </c>
      <c r="O741" s="1">
        <v>0</v>
      </c>
      <c r="P741" s="1">
        <v>0</v>
      </c>
      <c r="Q741" s="1">
        <v>0</v>
      </c>
    </row>
    <row r="742" spans="2:17" ht="15.45" x14ac:dyDescent="0.4">
      <c r="B742" s="1">
        <v>217</v>
      </c>
      <c r="C742" s="1">
        <v>2108.2813926207</v>
      </c>
      <c r="D742" s="1">
        <v>1</v>
      </c>
      <c r="E742" s="1">
        <v>6441.8707129170562</v>
      </c>
      <c r="F742" s="1">
        <v>-1</v>
      </c>
      <c r="G742" s="1">
        <v>217</v>
      </c>
      <c r="H742" s="1">
        <v>999.404925989665</v>
      </c>
      <c r="I742" s="1">
        <v>1</v>
      </c>
      <c r="J742" s="1">
        <v>1438.9057740172666</v>
      </c>
      <c r="K742" s="1">
        <v>-1</v>
      </c>
      <c r="L742" s="1">
        <v>87</v>
      </c>
      <c r="M742" s="18">
        <v>40</v>
      </c>
      <c r="N742" s="1">
        <v>38</v>
      </c>
      <c r="O742" s="1">
        <v>0</v>
      </c>
      <c r="P742" s="1">
        <v>0</v>
      </c>
      <c r="Q742" s="1">
        <v>0</v>
      </c>
    </row>
    <row r="743" spans="2:17" ht="15.45" x14ac:dyDescent="0.4">
      <c r="B743" s="1">
        <v>218</v>
      </c>
      <c r="C743" s="1">
        <v>2121.9471248646746</v>
      </c>
      <c r="D743" s="1">
        <v>1</v>
      </c>
      <c r="E743" s="1">
        <v>6485.7178182920834</v>
      </c>
      <c r="F743" s="1">
        <v>-1</v>
      </c>
      <c r="G743" s="1">
        <v>218</v>
      </c>
      <c r="H743" s="1">
        <v>2946.5901790693447</v>
      </c>
      <c r="I743" s="1">
        <v>-1</v>
      </c>
      <c r="J743" s="1">
        <v>1441.5219099227652</v>
      </c>
      <c r="K743" s="1">
        <v>1</v>
      </c>
      <c r="L743" s="1">
        <v>88</v>
      </c>
      <c r="M743" s="18">
        <v>40</v>
      </c>
      <c r="N743" s="1">
        <v>39</v>
      </c>
      <c r="O743" s="1">
        <v>0</v>
      </c>
      <c r="P743" s="1">
        <v>0</v>
      </c>
      <c r="Q743" s="1">
        <v>0</v>
      </c>
    </row>
    <row r="744" spans="2:17" ht="15.45" x14ac:dyDescent="0.4">
      <c r="B744" s="1">
        <v>219</v>
      </c>
      <c r="C744" s="1">
        <v>2142.2020131873091</v>
      </c>
      <c r="D744" s="1">
        <v>1</v>
      </c>
      <c r="E744" s="1">
        <v>6497.4998752945448</v>
      </c>
      <c r="F744" s="1">
        <v>-1</v>
      </c>
      <c r="G744" s="1">
        <v>219</v>
      </c>
      <c r="H744" s="1">
        <v>1034.0972145606961</v>
      </c>
      <c r="I744" s="1">
        <v>1</v>
      </c>
      <c r="J744" s="1">
        <v>1453.40677552795</v>
      </c>
      <c r="K744" s="1">
        <v>1</v>
      </c>
      <c r="L744" s="1">
        <v>89</v>
      </c>
      <c r="M744" s="18">
        <v>40</v>
      </c>
      <c r="N744" s="1">
        <v>40</v>
      </c>
      <c r="O744" s="1">
        <v>0</v>
      </c>
      <c r="P744" s="1">
        <v>0</v>
      </c>
      <c r="Q744" s="1">
        <v>0</v>
      </c>
    </row>
    <row r="745" spans="2:17" ht="15.45" x14ac:dyDescent="0.4">
      <c r="B745" s="1">
        <v>220</v>
      </c>
      <c r="C745" s="1">
        <v>2184.2654309397135</v>
      </c>
      <c r="D745" s="1">
        <v>1</v>
      </c>
      <c r="E745" s="1">
        <v>6511.0405358082808</v>
      </c>
      <c r="F745" s="1">
        <v>-1</v>
      </c>
      <c r="G745" s="1">
        <v>220</v>
      </c>
      <c r="H745" s="1">
        <v>2972.7230581925996</v>
      </c>
      <c r="I745" s="1">
        <v>-1</v>
      </c>
      <c r="J745" s="1">
        <v>1461.6096622790774</v>
      </c>
      <c r="K745" s="1">
        <v>1</v>
      </c>
      <c r="L745" s="1">
        <v>90</v>
      </c>
      <c r="M745" s="18">
        <v>40</v>
      </c>
      <c r="N745" s="1">
        <v>40</v>
      </c>
      <c r="O745" s="1">
        <v>1</v>
      </c>
      <c r="P745" s="1">
        <v>155</v>
      </c>
      <c r="Q745" s="1">
        <v>0</v>
      </c>
    </row>
    <row r="746" spans="2:17" ht="15.45" x14ac:dyDescent="0.4">
      <c r="B746" s="1">
        <v>221</v>
      </c>
      <c r="C746" s="1">
        <v>2193.4060209281997</v>
      </c>
      <c r="D746" s="1">
        <v>1</v>
      </c>
      <c r="E746" s="1">
        <v>6618.3277870252723</v>
      </c>
      <c r="F746" s="1">
        <v>-1</v>
      </c>
      <c r="G746" s="1">
        <v>221</v>
      </c>
      <c r="H746" s="1">
        <v>1044.9900821887247</v>
      </c>
      <c r="I746" s="1">
        <v>1</v>
      </c>
      <c r="J746" s="1">
        <v>1473.6262935148798</v>
      </c>
      <c r="K746" s="1">
        <v>1</v>
      </c>
      <c r="L746" s="1">
        <v>91</v>
      </c>
      <c r="M746" s="18">
        <v>40</v>
      </c>
      <c r="N746" s="1">
        <v>40</v>
      </c>
      <c r="O746" s="1">
        <v>1</v>
      </c>
      <c r="P746" s="1">
        <v>156</v>
      </c>
      <c r="Q746" s="1">
        <v>0</v>
      </c>
    </row>
    <row r="747" spans="2:17" ht="15.45" x14ac:dyDescent="0.4">
      <c r="B747" s="1">
        <v>222</v>
      </c>
      <c r="C747" s="1">
        <v>2211.8849972005182</v>
      </c>
      <c r="D747" s="1">
        <v>1</v>
      </c>
      <c r="E747" s="1">
        <v>6632.5392716717461</v>
      </c>
      <c r="F747" s="1">
        <v>-1</v>
      </c>
      <c r="G747" s="1">
        <v>222</v>
      </c>
      <c r="H747" s="1">
        <v>3003.0024934231374</v>
      </c>
      <c r="I747" s="1">
        <v>-1</v>
      </c>
      <c r="J747" s="1">
        <v>1476.7392311023443</v>
      </c>
      <c r="K747" s="1">
        <v>1</v>
      </c>
      <c r="L747" s="1">
        <v>92</v>
      </c>
      <c r="M747" s="18">
        <v>40</v>
      </c>
      <c r="N747" s="1">
        <v>40</v>
      </c>
      <c r="O747" s="1">
        <v>1</v>
      </c>
      <c r="P747" s="1">
        <v>157</v>
      </c>
      <c r="Q747" s="1">
        <v>0</v>
      </c>
    </row>
    <row r="748" spans="2:17" ht="15.45" x14ac:dyDescent="0.4">
      <c r="B748" s="1">
        <v>223</v>
      </c>
      <c r="C748" s="1">
        <v>2229.5326201223957</v>
      </c>
      <c r="D748" s="1">
        <v>1</v>
      </c>
      <c r="E748" s="1">
        <v>6652.5479296762551</v>
      </c>
      <c r="F748" s="1">
        <v>-1</v>
      </c>
      <c r="G748" s="1">
        <v>223</v>
      </c>
      <c r="H748" s="1">
        <v>1055.6881322109361</v>
      </c>
      <c r="I748" s="1">
        <v>1</v>
      </c>
      <c r="J748" s="1">
        <v>1484.3095614588888</v>
      </c>
      <c r="K748" s="1">
        <v>1</v>
      </c>
      <c r="L748" s="1">
        <v>93</v>
      </c>
      <c r="M748" s="18">
        <v>40</v>
      </c>
      <c r="N748" s="1">
        <v>40</v>
      </c>
      <c r="O748" s="1">
        <v>1</v>
      </c>
      <c r="P748" s="1">
        <v>158</v>
      </c>
      <c r="Q748" s="1">
        <v>0</v>
      </c>
    </row>
    <row r="749" spans="2:17" ht="15.45" x14ac:dyDescent="0.4">
      <c r="B749" s="1">
        <v>224</v>
      </c>
      <c r="C749" s="1">
        <v>2230.7711929971688</v>
      </c>
      <c r="D749" s="1">
        <v>1</v>
      </c>
      <c r="E749" s="1">
        <v>6683.7223748403758</v>
      </c>
      <c r="F749" s="1">
        <v>-1</v>
      </c>
      <c r="G749" s="1">
        <v>224</v>
      </c>
      <c r="H749" s="1">
        <v>3022.1282693038365</v>
      </c>
      <c r="I749" s="1">
        <v>-1</v>
      </c>
      <c r="J749" s="1">
        <v>1491.5610993649091</v>
      </c>
      <c r="K749" s="1">
        <v>1</v>
      </c>
      <c r="L749" s="1">
        <v>94</v>
      </c>
      <c r="M749" s="18">
        <v>40</v>
      </c>
      <c r="N749" s="1">
        <v>40</v>
      </c>
      <c r="O749" s="1">
        <v>1</v>
      </c>
      <c r="P749" s="1">
        <v>159</v>
      </c>
      <c r="Q749" s="1">
        <v>0</v>
      </c>
    </row>
    <row r="750" spans="2:17" ht="15.45" x14ac:dyDescent="0.4">
      <c r="B750" s="1">
        <v>225</v>
      </c>
      <c r="C750" s="1">
        <v>2232.9249310680984</v>
      </c>
      <c r="D750" s="1">
        <v>1</v>
      </c>
      <c r="E750" s="1">
        <v>6701.0042207610604</v>
      </c>
      <c r="F750" s="1">
        <v>-1</v>
      </c>
      <c r="G750" s="1">
        <v>225</v>
      </c>
      <c r="H750" s="1">
        <v>1060.8663301973277</v>
      </c>
      <c r="I750" s="1">
        <v>1</v>
      </c>
      <c r="J750" s="1">
        <v>1508.8534994574479</v>
      </c>
      <c r="K750" s="1">
        <v>1</v>
      </c>
      <c r="L750" s="1">
        <v>95</v>
      </c>
      <c r="M750" s="18">
        <v>40</v>
      </c>
      <c r="N750" s="1">
        <v>40</v>
      </c>
      <c r="O750" s="1">
        <v>1</v>
      </c>
      <c r="P750" s="1">
        <v>160</v>
      </c>
      <c r="Q750" s="1">
        <v>0</v>
      </c>
    </row>
    <row r="751" spans="2:17" ht="15.45" x14ac:dyDescent="0.4">
      <c r="B751" s="1">
        <v>226</v>
      </c>
      <c r="C751" s="1">
        <v>2235.8234158785381</v>
      </c>
      <c r="D751" s="1">
        <v>1</v>
      </c>
      <c r="E751" s="1">
        <v>6701.4537813980178</v>
      </c>
      <c r="F751" s="1">
        <v>-1</v>
      </c>
      <c r="G751" s="1">
        <v>226</v>
      </c>
      <c r="H751" s="1">
        <v>3105.1984228449533</v>
      </c>
      <c r="I751" s="1">
        <v>-1</v>
      </c>
      <c r="J751" s="1">
        <v>1530.6843313700303</v>
      </c>
      <c r="K751" s="1">
        <v>1</v>
      </c>
      <c r="L751" s="1">
        <v>96</v>
      </c>
      <c r="M751" s="18">
        <v>40</v>
      </c>
      <c r="N751" s="1">
        <v>40</v>
      </c>
      <c r="O751" s="1">
        <v>1</v>
      </c>
      <c r="P751" s="1">
        <v>161</v>
      </c>
      <c r="Q751" s="1">
        <v>0</v>
      </c>
    </row>
    <row r="752" spans="2:17" ht="15.45" x14ac:dyDescent="0.4">
      <c r="B752" s="1">
        <v>227</v>
      </c>
      <c r="C752" s="1">
        <v>2236.6225192779243</v>
      </c>
      <c r="D752" s="1">
        <v>1</v>
      </c>
      <c r="E752" s="1">
        <v>6708.3500250988127</v>
      </c>
      <c r="F752" s="1">
        <v>-1</v>
      </c>
      <c r="G752" s="1">
        <v>227</v>
      </c>
      <c r="H752" s="1">
        <v>1062.1552625416641</v>
      </c>
      <c r="I752" s="1">
        <v>1</v>
      </c>
      <c r="J752" s="1">
        <v>1557.8439981647311</v>
      </c>
      <c r="K752" s="1">
        <v>1</v>
      </c>
      <c r="L752" s="1">
        <v>97</v>
      </c>
      <c r="M752" s="18">
        <v>40</v>
      </c>
      <c r="N752" s="1">
        <v>40</v>
      </c>
      <c r="O752" s="1">
        <v>1</v>
      </c>
      <c r="P752" s="1">
        <v>162</v>
      </c>
      <c r="Q752" s="1">
        <v>0</v>
      </c>
    </row>
    <row r="753" spans="2:17" ht="15.45" x14ac:dyDescent="0.4">
      <c r="B753" s="1">
        <v>228</v>
      </c>
      <c r="C753" s="1">
        <v>2245.4961590314151</v>
      </c>
      <c r="D753" s="1">
        <v>1</v>
      </c>
      <c r="E753" s="1">
        <v>6715.687047076116</v>
      </c>
      <c r="F753" s="1">
        <v>-1</v>
      </c>
      <c r="G753" s="1">
        <v>228</v>
      </c>
      <c r="H753" s="1">
        <v>3126.6950681113167</v>
      </c>
      <c r="I753" s="1">
        <v>-1</v>
      </c>
      <c r="J753" s="1">
        <v>1573.3813747056681</v>
      </c>
      <c r="K753" s="1">
        <v>1</v>
      </c>
      <c r="L753" s="1">
        <v>98</v>
      </c>
      <c r="M753" s="18">
        <v>40</v>
      </c>
      <c r="N753" s="1">
        <v>40</v>
      </c>
      <c r="O753" s="1">
        <v>1</v>
      </c>
      <c r="P753" s="1">
        <v>163</v>
      </c>
      <c r="Q753" s="1">
        <v>0</v>
      </c>
    </row>
    <row r="754" spans="2:17" ht="15.45" x14ac:dyDescent="0.4">
      <c r="B754" s="1">
        <v>229</v>
      </c>
      <c r="C754" s="1">
        <v>2266.0328058962418</v>
      </c>
      <c r="D754" s="1">
        <v>1</v>
      </c>
      <c r="E754" s="1">
        <v>6721.7188380192001</v>
      </c>
      <c r="F754" s="1">
        <v>-1</v>
      </c>
      <c r="G754" s="1">
        <v>229</v>
      </c>
      <c r="H754" s="1">
        <v>1073.2903495642231</v>
      </c>
      <c r="I754" s="1">
        <v>1</v>
      </c>
      <c r="J754" s="1">
        <v>1576.338355539322</v>
      </c>
      <c r="K754" s="1">
        <v>1</v>
      </c>
      <c r="L754" s="1">
        <v>99</v>
      </c>
      <c r="M754" s="18">
        <v>40</v>
      </c>
      <c r="N754" s="1">
        <v>40</v>
      </c>
      <c r="O754" s="1">
        <v>1</v>
      </c>
      <c r="P754" s="1">
        <v>164</v>
      </c>
      <c r="Q754" s="1">
        <v>0</v>
      </c>
    </row>
    <row r="755" spans="2:17" ht="15.45" x14ac:dyDescent="0.4">
      <c r="B755" s="1">
        <v>230</v>
      </c>
      <c r="C755" s="1">
        <v>2279.3952021582591</v>
      </c>
      <c r="D755" s="1">
        <v>1</v>
      </c>
      <c r="E755" s="1">
        <v>6731.8304445007443</v>
      </c>
      <c r="F755" s="1">
        <v>-1</v>
      </c>
      <c r="G755" s="1">
        <v>230</v>
      </c>
      <c r="H755" s="1">
        <v>3128.9996986460997</v>
      </c>
      <c r="I755" s="1">
        <v>-1</v>
      </c>
      <c r="J755" s="1">
        <v>1584.6356824369866</v>
      </c>
      <c r="K755" s="1">
        <v>1</v>
      </c>
      <c r="L755" s="1">
        <v>100</v>
      </c>
      <c r="M755" s="18">
        <v>40</v>
      </c>
      <c r="N755" s="1">
        <v>40</v>
      </c>
      <c r="O755" s="1">
        <v>1</v>
      </c>
      <c r="P755" s="1">
        <v>165</v>
      </c>
      <c r="Q755" s="1">
        <v>0</v>
      </c>
    </row>
    <row r="756" spans="2:17" ht="15.45" x14ac:dyDescent="0.4">
      <c r="B756" s="1">
        <v>231</v>
      </c>
      <c r="C756" s="1">
        <v>2284.9582672160027</v>
      </c>
      <c r="D756" s="1">
        <v>1</v>
      </c>
      <c r="E756" s="1">
        <v>6772.8276412326686</v>
      </c>
      <c r="F756" s="1">
        <v>-1</v>
      </c>
      <c r="G756" s="1">
        <v>231</v>
      </c>
      <c r="H756" s="1">
        <v>1074.0105003824895</v>
      </c>
      <c r="I756" s="1">
        <v>1</v>
      </c>
      <c r="J756" s="1">
        <v>1586.3022206892301</v>
      </c>
      <c r="K756" s="1">
        <v>-1</v>
      </c>
      <c r="L756" s="1">
        <v>99</v>
      </c>
      <c r="M756" s="18">
        <v>40</v>
      </c>
      <c r="N756" s="1">
        <v>40</v>
      </c>
      <c r="O756" s="1">
        <v>0</v>
      </c>
      <c r="P756" s="1">
        <v>0</v>
      </c>
      <c r="Q756" s="1">
        <v>0</v>
      </c>
    </row>
    <row r="757" spans="2:17" ht="15.45" x14ac:dyDescent="0.4">
      <c r="B757" s="1">
        <v>232</v>
      </c>
      <c r="C757" s="1">
        <v>2285.4749912507896</v>
      </c>
      <c r="D757" s="1">
        <v>1</v>
      </c>
      <c r="E757" s="1">
        <v>6833.5923062005713</v>
      </c>
      <c r="F757" s="1">
        <v>-1</v>
      </c>
      <c r="G757" s="1">
        <v>232</v>
      </c>
      <c r="H757" s="1">
        <v>3176.721908875712</v>
      </c>
      <c r="I757" s="1">
        <v>-1</v>
      </c>
      <c r="J757" s="1">
        <v>1590.0046478696052</v>
      </c>
      <c r="K757" s="1">
        <v>1</v>
      </c>
      <c r="L757" s="1">
        <v>100</v>
      </c>
      <c r="M757" s="18">
        <v>40</v>
      </c>
      <c r="N757" s="1">
        <v>40</v>
      </c>
      <c r="O757" s="1">
        <v>1</v>
      </c>
      <c r="P757" s="1">
        <v>166</v>
      </c>
      <c r="Q757" s="1">
        <v>0</v>
      </c>
    </row>
    <row r="758" spans="2:17" ht="15.45" x14ac:dyDescent="0.4">
      <c r="B758" s="1">
        <v>233</v>
      </c>
      <c r="C758" s="1">
        <v>2286.5321305376488</v>
      </c>
      <c r="D758" s="1">
        <v>1</v>
      </c>
      <c r="E758" s="1">
        <v>6959.7825594577862</v>
      </c>
      <c r="F758" s="1">
        <v>-1</v>
      </c>
      <c r="G758" s="1">
        <v>233</v>
      </c>
      <c r="H758" s="1">
        <v>1078.0433512286752</v>
      </c>
      <c r="I758" s="1">
        <v>1</v>
      </c>
      <c r="J758" s="1">
        <v>1590.9007685016923</v>
      </c>
      <c r="K758" s="1">
        <v>1</v>
      </c>
      <c r="L758" s="1">
        <v>101</v>
      </c>
      <c r="M758" s="18">
        <v>40</v>
      </c>
      <c r="N758" s="1">
        <v>40</v>
      </c>
      <c r="O758" s="1">
        <v>1</v>
      </c>
      <c r="P758" s="1">
        <v>167</v>
      </c>
      <c r="Q758" s="1">
        <v>0</v>
      </c>
    </row>
    <row r="759" spans="2:17" ht="15.45" x14ac:dyDescent="0.4">
      <c r="B759" s="1">
        <v>234</v>
      </c>
      <c r="C759" s="1">
        <v>2293.9261953621758</v>
      </c>
      <c r="D759" s="1">
        <v>1</v>
      </c>
      <c r="E759" s="1">
        <v>6987.2043294232444</v>
      </c>
      <c r="F759" s="1">
        <v>-1</v>
      </c>
      <c r="G759" s="1">
        <v>234</v>
      </c>
      <c r="H759" s="1">
        <v>3214.519178025942</v>
      </c>
      <c r="I759" s="1">
        <v>-1</v>
      </c>
      <c r="J759" s="1">
        <v>1605.4097062727819</v>
      </c>
      <c r="K759" s="1">
        <v>1</v>
      </c>
      <c r="L759" s="1">
        <v>102</v>
      </c>
      <c r="M759" s="18">
        <v>40</v>
      </c>
      <c r="N759" s="1">
        <v>40</v>
      </c>
      <c r="O759" s="1">
        <v>1</v>
      </c>
      <c r="P759" s="1">
        <v>168</v>
      </c>
      <c r="Q759" s="1">
        <v>0</v>
      </c>
    </row>
    <row r="760" spans="2:17" ht="15.45" x14ac:dyDescent="0.4">
      <c r="B760" s="1">
        <v>235</v>
      </c>
      <c r="C760" s="1">
        <v>2294.3192775580055</v>
      </c>
      <c r="D760" s="1">
        <v>1</v>
      </c>
      <c r="E760" s="1">
        <v>7042.641258240199</v>
      </c>
      <c r="F760" s="1">
        <v>-1</v>
      </c>
      <c r="G760" s="1">
        <v>235</v>
      </c>
      <c r="H760" s="1">
        <v>1087.6692087800734</v>
      </c>
      <c r="I760" s="1">
        <v>1</v>
      </c>
      <c r="J760" s="1">
        <v>1611.3769523197766</v>
      </c>
      <c r="K760" s="1">
        <v>-1</v>
      </c>
      <c r="L760" s="1">
        <v>101</v>
      </c>
      <c r="M760" s="18">
        <v>40</v>
      </c>
      <c r="N760" s="1">
        <v>39</v>
      </c>
      <c r="O760" s="1">
        <v>0</v>
      </c>
      <c r="P760" s="1">
        <v>0</v>
      </c>
      <c r="Q760" s="1">
        <v>0</v>
      </c>
    </row>
    <row r="761" spans="2:17" ht="15.45" x14ac:dyDescent="0.4">
      <c r="B761" s="1">
        <v>236</v>
      </c>
      <c r="C761" s="1">
        <v>2295.7750668305926</v>
      </c>
      <c r="D761" s="1">
        <v>1</v>
      </c>
      <c r="E761" s="1">
        <v>7095.5841270058318</v>
      </c>
      <c r="F761" s="1">
        <v>-1</v>
      </c>
      <c r="G761" s="1">
        <v>236</v>
      </c>
      <c r="H761" s="1">
        <v>3234.933463733616</v>
      </c>
      <c r="I761" s="1">
        <v>-1</v>
      </c>
      <c r="J761" s="1">
        <v>1621.9521829873734</v>
      </c>
      <c r="K761" s="1">
        <v>1</v>
      </c>
      <c r="L761" s="1">
        <v>102</v>
      </c>
      <c r="M761" s="18">
        <v>40</v>
      </c>
      <c r="N761" s="1">
        <v>40</v>
      </c>
      <c r="O761" s="1">
        <v>0</v>
      </c>
      <c r="P761" s="1">
        <v>0</v>
      </c>
      <c r="Q761" s="1">
        <v>0</v>
      </c>
    </row>
    <row r="762" spans="2:17" ht="15.45" x14ac:dyDescent="0.4">
      <c r="B762" s="1">
        <v>237</v>
      </c>
      <c r="C762" s="1">
        <v>2301.2642248238949</v>
      </c>
      <c r="D762" s="1">
        <v>1</v>
      </c>
      <c r="E762" s="1">
        <v>7099.299845630152</v>
      </c>
      <c r="F762" s="1">
        <v>-1</v>
      </c>
      <c r="G762" s="1">
        <v>237</v>
      </c>
      <c r="H762" s="1">
        <v>1090.4723906962504</v>
      </c>
      <c r="I762" s="1">
        <v>1</v>
      </c>
      <c r="J762" s="1">
        <v>1624.0167718270693</v>
      </c>
      <c r="K762" s="1">
        <v>1</v>
      </c>
      <c r="L762" s="1">
        <v>103</v>
      </c>
      <c r="M762" s="18">
        <v>40</v>
      </c>
      <c r="N762" s="1">
        <v>40</v>
      </c>
      <c r="O762" s="1">
        <v>1</v>
      </c>
      <c r="P762" s="1">
        <v>170</v>
      </c>
      <c r="Q762" s="1">
        <v>0</v>
      </c>
    </row>
    <row r="763" spans="2:17" ht="15.45" x14ac:dyDescent="0.4">
      <c r="B763" s="1">
        <v>238</v>
      </c>
      <c r="C763" s="1">
        <v>2305.6010345706727</v>
      </c>
      <c r="D763" s="1">
        <v>1</v>
      </c>
      <c r="E763" s="1">
        <v>7105.7610598429401</v>
      </c>
      <c r="F763" s="1">
        <v>-1</v>
      </c>
      <c r="G763" s="1">
        <v>238</v>
      </c>
      <c r="H763" s="1">
        <v>3298.8842340957031</v>
      </c>
      <c r="I763" s="1">
        <v>-1</v>
      </c>
      <c r="J763" s="1">
        <v>1638.096110220921</v>
      </c>
      <c r="K763" s="1">
        <v>1</v>
      </c>
      <c r="L763" s="1">
        <v>104</v>
      </c>
      <c r="M763" s="18">
        <v>40</v>
      </c>
      <c r="N763" s="1">
        <v>40</v>
      </c>
      <c r="O763" s="1">
        <v>1</v>
      </c>
      <c r="P763" s="1">
        <v>171</v>
      </c>
      <c r="Q763" s="1">
        <v>0</v>
      </c>
    </row>
    <row r="764" spans="2:17" ht="15.45" x14ac:dyDescent="0.4">
      <c r="B764" s="1">
        <v>239</v>
      </c>
      <c r="C764" s="1">
        <v>2359.2958143196597</v>
      </c>
      <c r="D764" s="1">
        <v>1</v>
      </c>
      <c r="E764" s="1">
        <v>7114.4565142742595</v>
      </c>
      <c r="F764" s="1">
        <v>-1</v>
      </c>
      <c r="G764" s="1">
        <v>239</v>
      </c>
      <c r="H764" s="1">
        <v>1099.5476324119666</v>
      </c>
      <c r="I764" s="1">
        <v>1</v>
      </c>
      <c r="J764" s="1">
        <v>1656.340461288431</v>
      </c>
      <c r="K764" s="1">
        <v>1</v>
      </c>
      <c r="L764" s="1">
        <v>105</v>
      </c>
      <c r="M764" s="18">
        <v>40</v>
      </c>
      <c r="N764" s="1">
        <v>40</v>
      </c>
      <c r="O764" s="1">
        <v>1</v>
      </c>
      <c r="P764" s="1">
        <v>172</v>
      </c>
      <c r="Q764" s="1">
        <v>0</v>
      </c>
    </row>
    <row r="765" spans="2:17" ht="15.45" x14ac:dyDescent="0.4">
      <c r="B765" s="1">
        <v>240</v>
      </c>
      <c r="C765" s="1">
        <v>2362.5067605871091</v>
      </c>
      <c r="D765" s="1">
        <v>1</v>
      </c>
      <c r="E765" s="1">
        <v>7116.8538244724177</v>
      </c>
      <c r="F765" s="1">
        <v>-1</v>
      </c>
      <c r="G765" s="1">
        <v>240</v>
      </c>
      <c r="H765" s="1">
        <v>3335.5929534373963</v>
      </c>
      <c r="I765" s="1">
        <v>-1</v>
      </c>
      <c r="J765" s="1">
        <v>1657.1879681035825</v>
      </c>
      <c r="K765" s="1">
        <v>1</v>
      </c>
      <c r="L765" s="1">
        <v>106</v>
      </c>
      <c r="M765" s="18">
        <v>40</v>
      </c>
      <c r="N765" s="1">
        <v>40</v>
      </c>
      <c r="O765" s="1">
        <v>1</v>
      </c>
      <c r="P765" s="1">
        <v>173</v>
      </c>
      <c r="Q765" s="1">
        <v>0</v>
      </c>
    </row>
    <row r="766" spans="2:17" ht="15.45" x14ac:dyDescent="0.4">
      <c r="B766" s="1">
        <v>241</v>
      </c>
      <c r="C766" s="1">
        <v>2377.4625783353831</v>
      </c>
      <c r="D766" s="1">
        <v>1</v>
      </c>
      <c r="E766" s="1">
        <v>7143.4747437328906</v>
      </c>
      <c r="F766" s="1">
        <v>-1</v>
      </c>
      <c r="G766" s="1">
        <v>241</v>
      </c>
      <c r="H766" s="1">
        <v>1103.3072567811278</v>
      </c>
      <c r="I766" s="1">
        <v>1</v>
      </c>
      <c r="J766" s="1">
        <v>1660.7204179371963</v>
      </c>
      <c r="K766" s="1">
        <v>1</v>
      </c>
      <c r="L766" s="1">
        <v>107</v>
      </c>
      <c r="M766" s="18">
        <v>40</v>
      </c>
      <c r="N766" s="1">
        <v>40</v>
      </c>
      <c r="O766" s="1">
        <v>1</v>
      </c>
      <c r="P766" s="1">
        <v>174</v>
      </c>
      <c r="Q766" s="1">
        <v>0</v>
      </c>
    </row>
    <row r="767" spans="2:17" ht="15.45" x14ac:dyDescent="0.4">
      <c r="B767" s="1">
        <v>242</v>
      </c>
      <c r="C767" s="1">
        <v>2392.5295634957506</v>
      </c>
      <c r="D767" s="1">
        <v>1</v>
      </c>
      <c r="E767" s="1">
        <v>7205.0846843273721</v>
      </c>
      <c r="F767" s="1">
        <v>-1</v>
      </c>
      <c r="G767" s="1">
        <v>242</v>
      </c>
      <c r="H767" s="1">
        <v>3358.0384974190983</v>
      </c>
      <c r="I767" s="1">
        <v>-1</v>
      </c>
      <c r="J767" s="1">
        <v>1673.2303925773806</v>
      </c>
      <c r="K767" s="1">
        <v>1</v>
      </c>
      <c r="L767" s="1">
        <v>108</v>
      </c>
      <c r="M767" s="18">
        <v>40</v>
      </c>
      <c r="N767" s="1">
        <v>40</v>
      </c>
      <c r="O767" s="1">
        <v>1</v>
      </c>
      <c r="P767" s="1">
        <v>175</v>
      </c>
      <c r="Q767" s="1">
        <v>0</v>
      </c>
    </row>
    <row r="768" spans="2:17" ht="15.45" x14ac:dyDescent="0.4">
      <c r="B768" s="1">
        <v>243</v>
      </c>
      <c r="C768" s="1">
        <v>2395.9611401426146</v>
      </c>
      <c r="D768" s="1">
        <v>1</v>
      </c>
      <c r="E768" s="1">
        <v>7245.1718731134233</v>
      </c>
      <c r="F768" s="1">
        <v>-1</v>
      </c>
      <c r="G768" s="1">
        <v>243</v>
      </c>
      <c r="H768" s="1">
        <v>1108.3685617028348</v>
      </c>
      <c r="I768" s="1">
        <v>1</v>
      </c>
      <c r="J768" s="1">
        <v>1690.3996873321439</v>
      </c>
      <c r="K768" s="1">
        <v>-1</v>
      </c>
      <c r="L768" s="1">
        <v>107</v>
      </c>
      <c r="M768" s="18">
        <v>40</v>
      </c>
      <c r="N768" s="1">
        <v>39</v>
      </c>
      <c r="O768" s="1">
        <v>0</v>
      </c>
      <c r="P768" s="1">
        <v>0</v>
      </c>
      <c r="Q768" s="1">
        <v>0</v>
      </c>
    </row>
    <row r="769" spans="2:17" ht="15.45" x14ac:dyDescent="0.4">
      <c r="B769" s="1">
        <v>244</v>
      </c>
      <c r="C769" s="1">
        <v>2402.2062866830811</v>
      </c>
      <c r="D769" s="1">
        <v>1</v>
      </c>
      <c r="E769" s="1">
        <v>7261.8610682866547</v>
      </c>
      <c r="F769" s="1">
        <v>-1</v>
      </c>
      <c r="G769" s="1">
        <v>244</v>
      </c>
      <c r="H769" s="1">
        <v>3405.2010446076438</v>
      </c>
      <c r="I769" s="1">
        <v>-1</v>
      </c>
      <c r="J769" s="1">
        <v>1703.5299028282234</v>
      </c>
      <c r="K769" s="1">
        <v>1</v>
      </c>
      <c r="L769" s="1">
        <v>108</v>
      </c>
      <c r="M769" s="18">
        <v>40</v>
      </c>
      <c r="N769" s="1">
        <v>40</v>
      </c>
      <c r="O769" s="1">
        <v>0</v>
      </c>
      <c r="P769" s="1">
        <v>0</v>
      </c>
      <c r="Q769" s="1">
        <v>0</v>
      </c>
    </row>
    <row r="770" spans="2:17" ht="15.45" x14ac:dyDescent="0.4">
      <c r="B770" s="1">
        <v>245</v>
      </c>
      <c r="C770" s="1">
        <v>2414.5785513858955</v>
      </c>
      <c r="D770" s="1">
        <v>1</v>
      </c>
      <c r="E770" s="1">
        <v>7263.4112403910158</v>
      </c>
      <c r="F770" s="1">
        <v>-1</v>
      </c>
      <c r="G770" s="1">
        <v>245</v>
      </c>
      <c r="H770" s="1">
        <v>1130.5247229544045</v>
      </c>
      <c r="I770" s="1">
        <v>1</v>
      </c>
      <c r="J770" s="1">
        <v>1713.9967847070491</v>
      </c>
      <c r="K770" s="1">
        <v>-1</v>
      </c>
      <c r="L770" s="1">
        <v>107</v>
      </c>
      <c r="M770" s="18">
        <v>40</v>
      </c>
      <c r="N770" s="1">
        <v>39</v>
      </c>
      <c r="O770" s="1">
        <v>0</v>
      </c>
      <c r="P770" s="1">
        <v>0</v>
      </c>
      <c r="Q770" s="1">
        <v>0</v>
      </c>
    </row>
    <row r="771" spans="2:17" ht="15.45" x14ac:dyDescent="0.4">
      <c r="B771" s="1">
        <v>246</v>
      </c>
      <c r="C771" s="1">
        <v>2417.2300343293596</v>
      </c>
      <c r="D771" s="1">
        <v>1</v>
      </c>
      <c r="E771" s="1">
        <v>7266.5826582515929</v>
      </c>
      <c r="F771" s="1">
        <v>-1</v>
      </c>
      <c r="G771" s="1">
        <v>246</v>
      </c>
      <c r="H771" s="1">
        <v>3509.2779103207367</v>
      </c>
      <c r="I771" s="1">
        <v>-1</v>
      </c>
      <c r="J771" s="1">
        <v>1716.5040925527674</v>
      </c>
      <c r="K771" s="1">
        <v>1</v>
      </c>
      <c r="L771" s="1">
        <v>108</v>
      </c>
      <c r="M771" s="18">
        <v>40</v>
      </c>
      <c r="N771" s="1">
        <v>40</v>
      </c>
      <c r="O771" s="1">
        <v>0</v>
      </c>
      <c r="P771" s="1">
        <v>0</v>
      </c>
      <c r="Q771" s="1">
        <v>0</v>
      </c>
    </row>
    <row r="772" spans="2:17" ht="15.45" x14ac:dyDescent="0.4">
      <c r="B772" s="1">
        <v>247</v>
      </c>
      <c r="C772" s="1">
        <v>2427.1417818270961</v>
      </c>
      <c r="D772" s="1">
        <v>1</v>
      </c>
      <c r="E772" s="1">
        <v>7288.7648527251749</v>
      </c>
      <c r="F772" s="1">
        <v>-1</v>
      </c>
      <c r="G772" s="1">
        <v>247</v>
      </c>
      <c r="H772" s="1">
        <v>1141.7385156294088</v>
      </c>
      <c r="I772" s="1">
        <v>1</v>
      </c>
      <c r="J772" s="1">
        <v>1722.6706694323771</v>
      </c>
      <c r="K772" s="1">
        <v>1</v>
      </c>
      <c r="L772" s="1">
        <v>109</v>
      </c>
      <c r="M772" s="18">
        <v>40</v>
      </c>
      <c r="N772" s="1">
        <v>40</v>
      </c>
      <c r="O772" s="1">
        <v>1</v>
      </c>
      <c r="P772" s="1">
        <v>178</v>
      </c>
      <c r="Q772" s="1">
        <v>0</v>
      </c>
    </row>
    <row r="773" spans="2:17" ht="15.45" x14ac:dyDescent="0.4">
      <c r="B773" s="1">
        <v>248</v>
      </c>
      <c r="C773" s="1">
        <v>2429.4959432170217</v>
      </c>
      <c r="D773" s="1">
        <v>1</v>
      </c>
      <c r="E773" s="1">
        <v>7289.9440993126645</v>
      </c>
      <c r="F773" s="1">
        <v>-1</v>
      </c>
      <c r="G773" s="1">
        <v>248</v>
      </c>
      <c r="H773" s="1">
        <v>3541.9565132048219</v>
      </c>
      <c r="I773" s="1">
        <v>-1</v>
      </c>
      <c r="J773" s="1">
        <v>1755.8039341796007</v>
      </c>
      <c r="K773" s="1">
        <v>1</v>
      </c>
      <c r="L773" s="1">
        <v>110</v>
      </c>
      <c r="M773" s="18">
        <v>40</v>
      </c>
      <c r="N773" s="1">
        <v>40</v>
      </c>
      <c r="O773" s="1">
        <v>1</v>
      </c>
      <c r="P773" s="1">
        <v>179</v>
      </c>
      <c r="Q773" s="1">
        <v>0</v>
      </c>
    </row>
    <row r="774" spans="2:17" ht="15.45" x14ac:dyDescent="0.4">
      <c r="B774" s="1">
        <v>249</v>
      </c>
      <c r="C774" s="1">
        <v>2441.2972215962586</v>
      </c>
      <c r="D774" s="1">
        <v>1</v>
      </c>
      <c r="E774" s="1">
        <v>7294.3114671304247</v>
      </c>
      <c r="F774" s="1">
        <v>-1</v>
      </c>
      <c r="G774" s="1">
        <v>249</v>
      </c>
      <c r="H774" s="1">
        <v>1151.5411267619372</v>
      </c>
      <c r="I774" s="1">
        <v>1</v>
      </c>
      <c r="J774" s="1">
        <v>1761.1002681604245</v>
      </c>
      <c r="K774" s="1">
        <v>1</v>
      </c>
      <c r="L774" s="1">
        <v>111</v>
      </c>
      <c r="M774" s="18">
        <v>40</v>
      </c>
      <c r="N774" s="1">
        <v>40</v>
      </c>
      <c r="O774" s="1">
        <v>1</v>
      </c>
      <c r="P774" s="1">
        <v>180</v>
      </c>
      <c r="Q774" s="1">
        <v>0</v>
      </c>
    </row>
    <row r="775" spans="2:17" ht="15.45" x14ac:dyDescent="0.4">
      <c r="B775" s="1">
        <v>250</v>
      </c>
      <c r="C775" s="1">
        <v>2514.8802566671111</v>
      </c>
      <c r="D775" s="1">
        <v>1</v>
      </c>
      <c r="E775" s="1">
        <v>7310.7789411103313</v>
      </c>
      <c r="F775" s="1">
        <v>-1</v>
      </c>
      <c r="G775" s="1">
        <v>250</v>
      </c>
      <c r="H775" s="1">
        <v>3574.050663271456</v>
      </c>
      <c r="I775" s="1">
        <v>-1</v>
      </c>
      <c r="J775" s="1">
        <v>1765.9759727465885</v>
      </c>
      <c r="K775" s="1">
        <v>1</v>
      </c>
      <c r="L775" s="1">
        <v>112</v>
      </c>
      <c r="M775" s="18">
        <v>40</v>
      </c>
      <c r="N775" s="1">
        <v>40</v>
      </c>
      <c r="O775" s="1">
        <v>1</v>
      </c>
      <c r="P775" s="1">
        <v>181</v>
      </c>
      <c r="Q775" s="1">
        <v>0</v>
      </c>
    </row>
    <row r="776" spans="2:17" ht="15.45" x14ac:dyDescent="0.4">
      <c r="B776" s="1">
        <v>251</v>
      </c>
      <c r="C776" s="1">
        <v>2522.5076359921654</v>
      </c>
      <c r="D776" s="1">
        <v>1</v>
      </c>
      <c r="E776" s="1">
        <v>7323.7893703506652</v>
      </c>
      <c r="F776" s="1">
        <v>-1</v>
      </c>
      <c r="G776" s="1">
        <v>251</v>
      </c>
      <c r="H776" s="1">
        <v>1158.5670313670244</v>
      </c>
      <c r="I776" s="1">
        <v>1</v>
      </c>
      <c r="J776" s="1">
        <v>1791.1139668345313</v>
      </c>
      <c r="K776" s="1">
        <v>1</v>
      </c>
      <c r="L776" s="1">
        <v>113</v>
      </c>
      <c r="M776" s="18">
        <v>40</v>
      </c>
      <c r="N776" s="1">
        <v>40</v>
      </c>
      <c r="O776" s="1">
        <v>1</v>
      </c>
      <c r="P776" s="1">
        <v>182</v>
      </c>
      <c r="Q776" s="1">
        <v>0</v>
      </c>
    </row>
    <row r="777" spans="2:17" ht="15.45" x14ac:dyDescent="0.4">
      <c r="B777" s="1">
        <v>252</v>
      </c>
      <c r="C777" s="1">
        <v>2522.5378435874313</v>
      </c>
      <c r="D777" s="1">
        <v>1</v>
      </c>
      <c r="E777" s="1">
        <v>7484.8737095976267</v>
      </c>
      <c r="F777" s="1">
        <v>-1</v>
      </c>
      <c r="G777" s="1">
        <v>252</v>
      </c>
      <c r="H777" s="1">
        <v>3589.5852572306303</v>
      </c>
      <c r="I777" s="1">
        <v>-1</v>
      </c>
      <c r="J777" s="1">
        <v>1799.7269203750759</v>
      </c>
      <c r="K777" s="1">
        <v>1</v>
      </c>
      <c r="L777" s="1">
        <v>114</v>
      </c>
      <c r="M777" s="18">
        <v>40</v>
      </c>
      <c r="N777" s="1">
        <v>40</v>
      </c>
      <c r="O777" s="1">
        <v>1</v>
      </c>
      <c r="P777" s="1">
        <v>183</v>
      </c>
      <c r="Q777" s="1">
        <v>0</v>
      </c>
    </row>
    <row r="778" spans="2:17" ht="15.45" x14ac:dyDescent="0.4">
      <c r="B778" s="1">
        <v>253</v>
      </c>
      <c r="C778" s="1">
        <v>2525.2833322146994</v>
      </c>
      <c r="D778" s="1">
        <v>1</v>
      </c>
      <c r="E778" s="1">
        <v>7494.5065483999751</v>
      </c>
      <c r="F778" s="1">
        <v>-1</v>
      </c>
      <c r="G778" s="1">
        <v>253</v>
      </c>
      <c r="H778" s="1">
        <v>1177.690467152463</v>
      </c>
      <c r="I778" s="1">
        <v>1</v>
      </c>
      <c r="J778" s="1">
        <v>1822.7909253353794</v>
      </c>
      <c r="K778" s="1">
        <v>1</v>
      </c>
      <c r="L778" s="1">
        <v>115</v>
      </c>
      <c r="M778" s="18">
        <v>40</v>
      </c>
      <c r="N778" s="1">
        <v>40</v>
      </c>
      <c r="O778" s="1">
        <v>1</v>
      </c>
      <c r="P778" s="1">
        <v>184</v>
      </c>
      <c r="Q778" s="1">
        <v>0</v>
      </c>
    </row>
    <row r="779" spans="2:17" ht="15.45" x14ac:dyDescent="0.4">
      <c r="B779" s="1">
        <v>254</v>
      </c>
      <c r="C779" s="1">
        <v>2526.4717721848701</v>
      </c>
      <c r="D779" s="1">
        <v>1</v>
      </c>
      <c r="E779" s="1">
        <v>7539.3740016447964</v>
      </c>
      <c r="F779" s="1">
        <v>-1</v>
      </c>
      <c r="G779" s="1">
        <v>254</v>
      </c>
      <c r="H779" s="1">
        <v>3593.4520542636396</v>
      </c>
      <c r="I779" s="1">
        <v>-1</v>
      </c>
      <c r="J779" s="1">
        <v>1831.6360652680414</v>
      </c>
      <c r="K779" s="1">
        <v>-1</v>
      </c>
      <c r="L779" s="1">
        <v>114</v>
      </c>
      <c r="M779" s="18">
        <v>40</v>
      </c>
      <c r="N779" s="1">
        <v>39</v>
      </c>
      <c r="O779" s="1">
        <v>0</v>
      </c>
      <c r="P779" s="1">
        <v>0</v>
      </c>
      <c r="Q779" s="1">
        <v>0</v>
      </c>
    </row>
    <row r="780" spans="2:17" ht="15.45" x14ac:dyDescent="0.4">
      <c r="B780" s="1">
        <v>255</v>
      </c>
      <c r="C780" s="1">
        <v>2533.1939214044</v>
      </c>
      <c r="D780" s="1">
        <v>1</v>
      </c>
      <c r="E780" s="1">
        <v>7584.5749571258984</v>
      </c>
      <c r="F780" s="1">
        <v>-1</v>
      </c>
      <c r="G780" s="1">
        <v>255</v>
      </c>
      <c r="H780" s="1">
        <v>1193.7190325579761</v>
      </c>
      <c r="I780" s="1">
        <v>1</v>
      </c>
      <c r="J780" s="1">
        <v>1833.0684802770757</v>
      </c>
      <c r="K780" s="1">
        <v>1</v>
      </c>
      <c r="L780" s="1">
        <v>115</v>
      </c>
      <c r="M780" s="18">
        <v>40</v>
      </c>
      <c r="N780" s="1">
        <v>40</v>
      </c>
      <c r="O780" s="1">
        <v>0</v>
      </c>
      <c r="P780" s="1">
        <v>0</v>
      </c>
      <c r="Q780" s="1">
        <v>0</v>
      </c>
    </row>
    <row r="781" spans="2:17" ht="15.45" x14ac:dyDescent="0.4">
      <c r="B781" s="1">
        <v>256</v>
      </c>
      <c r="C781" s="1">
        <v>2534.7526627314951</v>
      </c>
      <c r="D781" s="1">
        <v>1</v>
      </c>
      <c r="E781" s="1">
        <v>7594.8696870664899</v>
      </c>
      <c r="F781" s="1">
        <v>-1</v>
      </c>
      <c r="G781" s="1">
        <v>256</v>
      </c>
      <c r="H781" s="1">
        <v>3626.8573153313164</v>
      </c>
      <c r="I781" s="1">
        <v>-1</v>
      </c>
      <c r="J781" s="1">
        <v>1844.2504262003381</v>
      </c>
      <c r="K781" s="1">
        <v>-1</v>
      </c>
      <c r="L781" s="1">
        <v>114</v>
      </c>
      <c r="M781" s="18">
        <v>40</v>
      </c>
      <c r="N781" s="1">
        <v>40</v>
      </c>
      <c r="O781" s="1">
        <v>0</v>
      </c>
      <c r="P781" s="1">
        <v>0</v>
      </c>
      <c r="Q781" s="1">
        <v>0</v>
      </c>
    </row>
    <row r="782" spans="2:17" ht="15.45" x14ac:dyDescent="0.4">
      <c r="B782" s="1">
        <v>257</v>
      </c>
      <c r="C782" s="1">
        <v>2544.0998012249011</v>
      </c>
      <c r="D782" s="1">
        <v>1</v>
      </c>
      <c r="E782" s="1">
        <v>7613.6051266878903</v>
      </c>
      <c r="F782" s="1">
        <v>-1</v>
      </c>
      <c r="G782" s="1">
        <v>257</v>
      </c>
      <c r="H782" s="1">
        <v>1196.2208607476809</v>
      </c>
      <c r="I782" s="1">
        <v>1</v>
      </c>
      <c r="J782" s="1">
        <v>1845.8081387274638</v>
      </c>
      <c r="K782" s="1">
        <v>1</v>
      </c>
      <c r="L782" s="1">
        <v>115</v>
      </c>
      <c r="M782" s="18">
        <v>40</v>
      </c>
      <c r="N782" s="1">
        <v>40</v>
      </c>
      <c r="O782" s="1">
        <v>1</v>
      </c>
      <c r="P782" s="1">
        <v>186</v>
      </c>
      <c r="Q782" s="1">
        <v>0</v>
      </c>
    </row>
    <row r="783" spans="2:17" ht="15.45" x14ac:dyDescent="0.4">
      <c r="B783" s="1">
        <v>258</v>
      </c>
      <c r="C783" s="1">
        <v>2547.3709159191094</v>
      </c>
      <c r="D783" s="1">
        <v>1</v>
      </c>
      <c r="E783" s="1">
        <v>7650.7219207963326</v>
      </c>
      <c r="F783" s="1">
        <v>-1</v>
      </c>
      <c r="G783" s="1">
        <v>258</v>
      </c>
      <c r="H783" s="1">
        <v>3629.0177677861152</v>
      </c>
      <c r="I783" s="1">
        <v>-1</v>
      </c>
      <c r="J783" s="1">
        <v>1848.0165712883293</v>
      </c>
      <c r="K783" s="1">
        <v>1</v>
      </c>
      <c r="L783" s="1">
        <v>116</v>
      </c>
      <c r="M783" s="18">
        <v>40</v>
      </c>
      <c r="N783" s="1">
        <v>40</v>
      </c>
      <c r="O783" s="1">
        <v>1</v>
      </c>
      <c r="P783" s="1">
        <v>187</v>
      </c>
      <c r="Q783" s="1">
        <v>0</v>
      </c>
    </row>
    <row r="784" spans="2:17" ht="15.45" x14ac:dyDescent="0.4">
      <c r="B784" s="1">
        <v>259</v>
      </c>
      <c r="C784" s="1">
        <v>2554.2589100846599</v>
      </c>
      <c r="D784" s="1">
        <v>1</v>
      </c>
      <c r="E784" s="1">
        <v>7658.6763696267253</v>
      </c>
      <c r="F784" s="1">
        <v>-1</v>
      </c>
      <c r="G784" s="1">
        <v>259</v>
      </c>
      <c r="H784" s="1">
        <v>1207.0372561769477</v>
      </c>
      <c r="I784" s="1">
        <v>1</v>
      </c>
      <c r="J784" s="1">
        <v>1860.8985994167654</v>
      </c>
      <c r="K784" s="1">
        <v>1</v>
      </c>
      <c r="L784" s="1">
        <v>117</v>
      </c>
      <c r="M784" s="18">
        <v>40</v>
      </c>
      <c r="N784" s="1">
        <v>40</v>
      </c>
      <c r="O784" s="1">
        <v>1</v>
      </c>
      <c r="P784" s="1">
        <v>188</v>
      </c>
      <c r="Q784" s="1">
        <v>0</v>
      </c>
    </row>
    <row r="785" spans="2:17" ht="15.45" x14ac:dyDescent="0.4">
      <c r="B785" s="1">
        <v>260</v>
      </c>
      <c r="C785" s="1">
        <v>2563.778389118972</v>
      </c>
      <c r="D785" s="1">
        <v>1</v>
      </c>
      <c r="E785" s="1">
        <v>7688.4116121199359</v>
      </c>
      <c r="F785" s="1">
        <v>-1</v>
      </c>
      <c r="G785" s="1">
        <v>260</v>
      </c>
      <c r="H785" s="1">
        <v>3641.1163203246724</v>
      </c>
      <c r="I785" s="1">
        <v>-1</v>
      </c>
      <c r="J785" s="1">
        <v>1870.6799431473166</v>
      </c>
      <c r="K785" s="1">
        <v>-1</v>
      </c>
      <c r="L785" s="1">
        <v>116</v>
      </c>
      <c r="M785" s="18">
        <v>40</v>
      </c>
      <c r="N785" s="1">
        <v>40</v>
      </c>
      <c r="O785" s="1">
        <v>0</v>
      </c>
      <c r="P785" s="1">
        <v>0</v>
      </c>
      <c r="Q785" s="1">
        <v>0</v>
      </c>
    </row>
    <row r="786" spans="2:17" ht="15.45" x14ac:dyDescent="0.4">
      <c r="B786" s="1">
        <v>261</v>
      </c>
      <c r="C786" s="1">
        <v>2571.4954222474094</v>
      </c>
      <c r="D786" s="1">
        <v>1</v>
      </c>
      <c r="E786" s="1">
        <v>7695.474096289714</v>
      </c>
      <c r="F786" s="1">
        <v>-1</v>
      </c>
      <c r="G786" s="1">
        <v>261</v>
      </c>
      <c r="H786" s="1">
        <v>1208.1439384206726</v>
      </c>
      <c r="I786" s="1">
        <v>1</v>
      </c>
      <c r="J786" s="1">
        <v>1883.4917509242805</v>
      </c>
      <c r="K786" s="1">
        <v>-1</v>
      </c>
      <c r="L786" s="1">
        <v>115</v>
      </c>
      <c r="M786" s="18">
        <v>40</v>
      </c>
      <c r="N786" s="1">
        <v>39</v>
      </c>
      <c r="O786" s="1">
        <v>0</v>
      </c>
      <c r="P786" s="1">
        <v>0</v>
      </c>
      <c r="Q786" s="1">
        <v>0</v>
      </c>
    </row>
    <row r="787" spans="2:17" ht="15.45" x14ac:dyDescent="0.4">
      <c r="B787" s="1">
        <v>262</v>
      </c>
      <c r="C787" s="1">
        <v>2585.8397065583449</v>
      </c>
      <c r="D787" s="1">
        <v>1</v>
      </c>
      <c r="E787" s="1">
        <v>7730.8779314274243</v>
      </c>
      <c r="F787" s="1">
        <v>-1</v>
      </c>
      <c r="G787" s="1">
        <v>262</v>
      </c>
      <c r="H787" s="1">
        <v>3669.9938929788668</v>
      </c>
      <c r="I787" s="1">
        <v>-1</v>
      </c>
      <c r="J787" s="1">
        <v>1886.76850529231</v>
      </c>
      <c r="K787" s="1">
        <v>1</v>
      </c>
      <c r="L787" s="1">
        <v>116</v>
      </c>
      <c r="M787" s="18">
        <v>40</v>
      </c>
      <c r="N787" s="1">
        <v>40</v>
      </c>
      <c r="O787" s="1">
        <v>0</v>
      </c>
      <c r="P787" s="1">
        <v>0</v>
      </c>
      <c r="Q787" s="1">
        <v>0</v>
      </c>
    </row>
    <row r="788" spans="2:17" ht="15.45" x14ac:dyDescent="0.4">
      <c r="B788" s="1">
        <v>263</v>
      </c>
      <c r="C788" s="1">
        <v>2586.4339455171316</v>
      </c>
      <c r="D788" s="1">
        <v>1</v>
      </c>
      <c r="E788" s="1">
        <v>7951.6270366399822</v>
      </c>
      <c r="F788" s="1">
        <v>-1</v>
      </c>
      <c r="G788" s="1">
        <v>263</v>
      </c>
      <c r="H788" s="1">
        <v>1210.7385081737905</v>
      </c>
      <c r="I788" s="1">
        <v>1</v>
      </c>
      <c r="J788" s="1">
        <v>1893.9706176739801</v>
      </c>
      <c r="K788" s="1">
        <v>-1</v>
      </c>
      <c r="L788" s="1">
        <v>115</v>
      </c>
      <c r="M788" s="18">
        <v>40</v>
      </c>
      <c r="N788" s="1">
        <v>40</v>
      </c>
      <c r="O788" s="1">
        <v>0</v>
      </c>
      <c r="P788" s="1">
        <v>0</v>
      </c>
      <c r="Q788" s="1">
        <v>0</v>
      </c>
    </row>
    <row r="789" spans="2:17" ht="15.45" x14ac:dyDescent="0.4">
      <c r="B789" s="1">
        <v>264</v>
      </c>
      <c r="C789" s="1">
        <v>2590.9908004526924</v>
      </c>
      <c r="D789" s="1">
        <v>1</v>
      </c>
      <c r="E789" s="1">
        <v>7974.5091746151447</v>
      </c>
      <c r="F789" s="1">
        <v>-1</v>
      </c>
      <c r="G789" s="1">
        <v>264</v>
      </c>
      <c r="H789" s="1">
        <v>3678.4034387273969</v>
      </c>
      <c r="I789" s="1">
        <v>-1</v>
      </c>
      <c r="J789" s="1">
        <v>1899.4764103851735</v>
      </c>
      <c r="K789" s="1">
        <v>-1</v>
      </c>
      <c r="L789" s="1">
        <v>114</v>
      </c>
      <c r="M789" s="18">
        <v>40</v>
      </c>
      <c r="N789" s="1">
        <v>40</v>
      </c>
      <c r="O789" s="1">
        <v>0</v>
      </c>
      <c r="P789" s="1">
        <v>0</v>
      </c>
      <c r="Q789" s="1">
        <v>0</v>
      </c>
    </row>
    <row r="790" spans="2:17" ht="15.45" x14ac:dyDescent="0.4">
      <c r="B790" s="1">
        <v>265</v>
      </c>
      <c r="C790" s="1">
        <v>2598.328998505398</v>
      </c>
      <c r="D790" s="1">
        <v>1</v>
      </c>
      <c r="E790" s="1">
        <v>7974.5997974009424</v>
      </c>
      <c r="F790" s="1">
        <v>-1</v>
      </c>
      <c r="G790" s="1">
        <v>265</v>
      </c>
      <c r="H790" s="1">
        <v>1212.3304240262141</v>
      </c>
      <c r="I790" s="1">
        <v>1</v>
      </c>
      <c r="J790" s="1">
        <v>1903.8498201710938</v>
      </c>
      <c r="K790" s="1">
        <v>1</v>
      </c>
      <c r="L790" s="1">
        <v>115</v>
      </c>
      <c r="M790" s="18">
        <v>40</v>
      </c>
      <c r="N790" s="1">
        <v>40</v>
      </c>
      <c r="O790" s="1">
        <v>1</v>
      </c>
      <c r="P790" s="1">
        <v>190</v>
      </c>
      <c r="Q790" s="1">
        <v>0</v>
      </c>
    </row>
    <row r="791" spans="2:17" ht="15.45" x14ac:dyDescent="0.4">
      <c r="B791" s="1">
        <v>266</v>
      </c>
      <c r="C791" s="1">
        <v>2606.286303465447</v>
      </c>
      <c r="D791" s="1">
        <v>1</v>
      </c>
      <c r="E791" s="1">
        <v>7982.8362632827466</v>
      </c>
      <c r="F791" s="1">
        <v>-1</v>
      </c>
      <c r="G791" s="1">
        <v>266</v>
      </c>
      <c r="H791" s="1">
        <v>3705.6291638745452</v>
      </c>
      <c r="I791" s="1">
        <v>-1</v>
      </c>
      <c r="J791" s="1">
        <v>1905.4937275258349</v>
      </c>
      <c r="K791" s="1">
        <v>1</v>
      </c>
      <c r="L791" s="1">
        <v>116</v>
      </c>
      <c r="M791" s="18">
        <v>40</v>
      </c>
      <c r="N791" s="1">
        <v>40</v>
      </c>
      <c r="O791" s="1">
        <v>1</v>
      </c>
      <c r="P791" s="1">
        <v>191</v>
      </c>
      <c r="Q791" s="1">
        <v>0</v>
      </c>
    </row>
    <row r="792" spans="2:17" ht="15.45" x14ac:dyDescent="0.4">
      <c r="B792" s="1">
        <v>267</v>
      </c>
      <c r="C792" s="1">
        <v>2619.4059195745172</v>
      </c>
      <c r="D792" s="1">
        <v>1</v>
      </c>
      <c r="E792" s="1">
        <v>7986.4015831932593</v>
      </c>
      <c r="F792" s="1">
        <v>-1</v>
      </c>
      <c r="G792" s="1">
        <v>267</v>
      </c>
      <c r="H792" s="1">
        <v>1217.2508676878276</v>
      </c>
      <c r="I792" s="1">
        <v>1</v>
      </c>
      <c r="J792" s="1">
        <v>1906.4210998803189</v>
      </c>
      <c r="K792" s="1">
        <v>1</v>
      </c>
      <c r="L792" s="1">
        <v>117</v>
      </c>
      <c r="M792" s="18">
        <v>40</v>
      </c>
      <c r="N792" s="1">
        <v>40</v>
      </c>
      <c r="O792" s="1">
        <v>1</v>
      </c>
      <c r="P792" s="1">
        <v>192</v>
      </c>
      <c r="Q792" s="1">
        <v>0</v>
      </c>
    </row>
    <row r="793" spans="2:17" ht="15.45" x14ac:dyDescent="0.4">
      <c r="B793" s="1">
        <v>268</v>
      </c>
      <c r="C793" s="1">
        <v>2621.1882917212397</v>
      </c>
      <c r="D793" s="1">
        <v>1</v>
      </c>
      <c r="E793" s="1">
        <v>8006.5680308518486</v>
      </c>
      <c r="F793" s="1">
        <v>-1</v>
      </c>
      <c r="G793" s="1">
        <v>268</v>
      </c>
      <c r="H793" s="1">
        <v>3716.9080369820285</v>
      </c>
      <c r="I793" s="1">
        <v>-1</v>
      </c>
      <c r="J793" s="1">
        <v>1914.5303419948757</v>
      </c>
      <c r="K793" s="1">
        <v>1</v>
      </c>
      <c r="L793" s="1">
        <v>118</v>
      </c>
      <c r="M793" s="18">
        <v>40</v>
      </c>
      <c r="N793" s="1">
        <v>40</v>
      </c>
      <c r="O793" s="1">
        <v>1</v>
      </c>
      <c r="P793" s="1">
        <v>193</v>
      </c>
      <c r="Q793" s="1">
        <v>0</v>
      </c>
    </row>
    <row r="794" spans="2:17" ht="15.45" x14ac:dyDescent="0.4">
      <c r="B794" s="1">
        <v>269</v>
      </c>
      <c r="C794" s="1">
        <v>2621.7352168942666</v>
      </c>
      <c r="D794" s="1">
        <v>1</v>
      </c>
      <c r="E794" s="1">
        <v>8011.2442548331346</v>
      </c>
      <c r="F794" s="1">
        <v>-1</v>
      </c>
      <c r="G794" s="1">
        <v>269</v>
      </c>
      <c r="H794" s="1">
        <v>1223.2897393892986</v>
      </c>
      <c r="I794" s="1">
        <v>1</v>
      </c>
      <c r="J794" s="1">
        <v>1922.89865804696</v>
      </c>
      <c r="K794" s="1">
        <v>-1</v>
      </c>
      <c r="L794" s="1">
        <v>117</v>
      </c>
      <c r="M794" s="18">
        <v>40</v>
      </c>
      <c r="N794" s="1">
        <v>39</v>
      </c>
      <c r="O794" s="1">
        <v>0</v>
      </c>
      <c r="P794" s="1">
        <v>0</v>
      </c>
      <c r="Q794" s="1">
        <v>0</v>
      </c>
    </row>
    <row r="795" spans="2:17" ht="15.45" x14ac:dyDescent="0.4">
      <c r="B795" s="1">
        <v>270</v>
      </c>
      <c r="C795" s="1">
        <v>2632.3161694109363</v>
      </c>
      <c r="D795" s="1">
        <v>1</v>
      </c>
      <c r="E795" s="1">
        <v>8039.285670313353</v>
      </c>
      <c r="F795" s="1">
        <v>-1</v>
      </c>
      <c r="G795" s="1">
        <v>270</v>
      </c>
      <c r="H795" s="1">
        <v>3732.0919517471498</v>
      </c>
      <c r="I795" s="1">
        <v>-1</v>
      </c>
      <c r="J795" s="1">
        <v>1942.6624637862421</v>
      </c>
      <c r="K795" s="1">
        <v>-1</v>
      </c>
      <c r="L795" s="1">
        <v>116</v>
      </c>
      <c r="M795" s="18">
        <v>40</v>
      </c>
      <c r="N795" s="1">
        <v>39</v>
      </c>
      <c r="O795" s="1">
        <v>0</v>
      </c>
      <c r="P795" s="1">
        <v>0</v>
      </c>
      <c r="Q795" s="1">
        <v>0</v>
      </c>
    </row>
    <row r="796" spans="2:17" ht="15.45" x14ac:dyDescent="0.4">
      <c r="B796" s="1">
        <v>271</v>
      </c>
      <c r="C796" s="1">
        <v>2643.9881971083214</v>
      </c>
      <c r="D796" s="1">
        <v>1</v>
      </c>
      <c r="E796" s="1">
        <v>8049.099014395978</v>
      </c>
      <c r="F796" s="1">
        <v>-1</v>
      </c>
      <c r="G796" s="1">
        <v>271</v>
      </c>
      <c r="H796" s="1">
        <v>1236.802768658617</v>
      </c>
      <c r="I796" s="1">
        <v>1</v>
      </c>
      <c r="J796" s="1">
        <v>1945.539068566442</v>
      </c>
      <c r="K796" s="1">
        <v>1</v>
      </c>
      <c r="L796" s="1">
        <v>117</v>
      </c>
      <c r="M796" s="18">
        <v>40</v>
      </c>
      <c r="N796" s="1">
        <v>40</v>
      </c>
      <c r="O796" s="1">
        <v>0</v>
      </c>
      <c r="P796" s="1">
        <v>0</v>
      </c>
      <c r="Q796" s="1">
        <v>0</v>
      </c>
    </row>
    <row r="797" spans="2:17" ht="15.45" x14ac:dyDescent="0.4">
      <c r="B797" s="1">
        <v>272</v>
      </c>
      <c r="C797" s="1">
        <v>2647.5825864718204</v>
      </c>
      <c r="D797" s="1">
        <v>1</v>
      </c>
      <c r="E797" s="1">
        <v>8069.7629968926303</v>
      </c>
      <c r="F797" s="1">
        <v>-1</v>
      </c>
      <c r="G797" s="1">
        <v>272</v>
      </c>
      <c r="H797" s="1">
        <v>3798.5604355018595</v>
      </c>
      <c r="I797" s="1">
        <v>-1</v>
      </c>
      <c r="J797" s="1">
        <v>1951.4242128942776</v>
      </c>
      <c r="K797" s="1">
        <v>1</v>
      </c>
      <c r="L797" s="1">
        <v>118</v>
      </c>
      <c r="M797" s="18">
        <v>40</v>
      </c>
      <c r="N797" s="1">
        <v>40</v>
      </c>
      <c r="O797" s="1">
        <v>1</v>
      </c>
      <c r="P797" s="1">
        <v>195</v>
      </c>
      <c r="Q797" s="1">
        <v>0</v>
      </c>
    </row>
    <row r="798" spans="2:17" ht="15.45" x14ac:dyDescent="0.4">
      <c r="B798" s="1">
        <v>273</v>
      </c>
      <c r="C798" s="1">
        <v>2653.220052774122</v>
      </c>
      <c r="D798" s="1">
        <v>1</v>
      </c>
      <c r="E798" s="1">
        <v>8098.3214339955666</v>
      </c>
      <c r="F798" s="1">
        <v>-1</v>
      </c>
      <c r="G798" s="1">
        <v>273</v>
      </c>
      <c r="H798" s="1">
        <v>1238.174816966</v>
      </c>
      <c r="I798" s="1">
        <v>1</v>
      </c>
      <c r="J798" s="1">
        <v>1954.7558236172667</v>
      </c>
      <c r="K798" s="1">
        <v>1</v>
      </c>
      <c r="L798" s="1">
        <v>119</v>
      </c>
      <c r="M798" s="18">
        <v>40</v>
      </c>
      <c r="N798" s="1">
        <v>40</v>
      </c>
      <c r="O798" s="1">
        <v>1</v>
      </c>
      <c r="P798" s="1">
        <v>196</v>
      </c>
      <c r="Q798" s="1">
        <v>0</v>
      </c>
    </row>
    <row r="799" spans="2:17" ht="15.45" x14ac:dyDescent="0.4">
      <c r="B799" s="1">
        <v>274</v>
      </c>
      <c r="C799" s="1">
        <v>2669.4404567159008</v>
      </c>
      <c r="D799" s="1">
        <v>1</v>
      </c>
      <c r="E799" s="1">
        <v>8121.4725333808792</v>
      </c>
      <c r="F799" s="1">
        <v>-1</v>
      </c>
      <c r="G799" s="1">
        <v>274</v>
      </c>
      <c r="H799" s="1">
        <v>3832.2018135268722</v>
      </c>
      <c r="I799" s="1">
        <v>-1</v>
      </c>
      <c r="J799" s="1">
        <v>1957.0192208229748</v>
      </c>
      <c r="K799" s="1">
        <v>1</v>
      </c>
      <c r="L799" s="1">
        <v>120</v>
      </c>
      <c r="M799" s="18">
        <v>40</v>
      </c>
      <c r="N799" s="1">
        <v>40</v>
      </c>
      <c r="O799" s="1">
        <v>1</v>
      </c>
      <c r="P799" s="1">
        <v>197</v>
      </c>
      <c r="Q799" s="1">
        <v>0</v>
      </c>
    </row>
    <row r="800" spans="2:17" ht="15.45" x14ac:dyDescent="0.4">
      <c r="B800" s="1">
        <v>275</v>
      </c>
      <c r="C800" s="1">
        <v>2698.0595029918377</v>
      </c>
      <c r="D800" s="1">
        <v>1</v>
      </c>
      <c r="E800" s="1">
        <v>8164.5053863136854</v>
      </c>
      <c r="F800" s="1">
        <v>-1</v>
      </c>
      <c r="G800" s="1">
        <v>275</v>
      </c>
      <c r="H800" s="1">
        <v>1239.9045473642464</v>
      </c>
      <c r="I800" s="1">
        <v>1</v>
      </c>
      <c r="J800" s="1">
        <v>1962.8555777367619</v>
      </c>
      <c r="K800" s="1">
        <v>1</v>
      </c>
      <c r="L800" s="1">
        <v>121</v>
      </c>
      <c r="M800" s="18">
        <v>40</v>
      </c>
      <c r="N800" s="1">
        <v>40</v>
      </c>
      <c r="O800" s="1">
        <v>1</v>
      </c>
      <c r="P800" s="1">
        <v>198</v>
      </c>
      <c r="Q800" s="1">
        <v>0</v>
      </c>
    </row>
    <row r="801" spans="2:17" ht="15.45" x14ac:dyDescent="0.4">
      <c r="B801" s="1">
        <v>276</v>
      </c>
      <c r="C801" s="1">
        <v>2712.2415377635029</v>
      </c>
      <c r="D801" s="1">
        <v>1</v>
      </c>
      <c r="E801" s="1">
        <v>8166.2881031900451</v>
      </c>
      <c r="F801" s="1">
        <v>-1</v>
      </c>
      <c r="G801" s="1">
        <v>276</v>
      </c>
      <c r="H801" s="1">
        <v>3861.609646924458</v>
      </c>
      <c r="I801" s="1">
        <v>-1</v>
      </c>
      <c r="J801" s="1">
        <v>1977.6400364884491</v>
      </c>
      <c r="K801" s="1">
        <v>1</v>
      </c>
      <c r="L801" s="1">
        <v>122</v>
      </c>
      <c r="M801" s="18">
        <v>40</v>
      </c>
      <c r="N801" s="1">
        <v>40</v>
      </c>
      <c r="O801" s="1">
        <v>1</v>
      </c>
      <c r="P801" s="1">
        <v>199</v>
      </c>
      <c r="Q801" s="1">
        <v>0</v>
      </c>
    </row>
    <row r="802" spans="2:17" ht="15.45" x14ac:dyDescent="0.4">
      <c r="B802" s="1">
        <v>277</v>
      </c>
      <c r="C802" s="1">
        <v>2716.6878247483369</v>
      </c>
      <c r="D802" s="1">
        <v>1</v>
      </c>
      <c r="E802" s="1">
        <v>8179.9586679967269</v>
      </c>
      <c r="F802" s="1">
        <v>-1</v>
      </c>
      <c r="G802" s="1">
        <v>277</v>
      </c>
      <c r="H802" s="1">
        <v>1244.2839735304701</v>
      </c>
      <c r="I802" s="1">
        <v>1</v>
      </c>
      <c r="J802" s="1">
        <v>1977.8648795502288</v>
      </c>
      <c r="K802" s="1">
        <v>1</v>
      </c>
      <c r="L802" s="1">
        <v>123</v>
      </c>
      <c r="M802" s="18">
        <v>40</v>
      </c>
      <c r="N802" s="1">
        <v>40</v>
      </c>
      <c r="O802" s="1">
        <v>1</v>
      </c>
      <c r="P802" s="1">
        <v>200</v>
      </c>
      <c r="Q802" s="1">
        <v>0</v>
      </c>
    </row>
    <row r="803" spans="2:17" ht="15.45" x14ac:dyDescent="0.4">
      <c r="B803" s="1">
        <v>278</v>
      </c>
      <c r="C803" s="1">
        <v>2719.7036101792032</v>
      </c>
      <c r="D803" s="1">
        <v>1</v>
      </c>
      <c r="E803" s="1">
        <v>8201.9732621548428</v>
      </c>
      <c r="F803" s="1">
        <v>-1</v>
      </c>
      <c r="G803" s="1">
        <v>278</v>
      </c>
      <c r="H803" s="1">
        <v>3882.6873607397197</v>
      </c>
      <c r="I803" s="1">
        <v>-1</v>
      </c>
      <c r="J803" s="1">
        <v>1984.1606466416486</v>
      </c>
      <c r="K803" s="1">
        <v>1</v>
      </c>
      <c r="L803" s="1">
        <v>124</v>
      </c>
      <c r="M803" s="18">
        <v>40</v>
      </c>
      <c r="N803" s="1">
        <v>40</v>
      </c>
      <c r="O803" s="1">
        <v>1</v>
      </c>
      <c r="P803" s="1">
        <v>201</v>
      </c>
      <c r="Q803" s="1">
        <v>0</v>
      </c>
    </row>
    <row r="804" spans="2:17" ht="15.45" x14ac:dyDescent="0.4">
      <c r="B804" s="1">
        <v>279</v>
      </c>
      <c r="C804" s="1">
        <v>2722.8761866154873</v>
      </c>
      <c r="D804" s="1">
        <v>1</v>
      </c>
      <c r="E804" s="1">
        <v>8225.8451770349893</v>
      </c>
      <c r="F804" s="1">
        <v>-1</v>
      </c>
      <c r="G804" s="1">
        <v>279</v>
      </c>
      <c r="H804" s="1">
        <v>1252.3336449861683</v>
      </c>
      <c r="I804" s="1">
        <v>1</v>
      </c>
      <c r="J804" s="1">
        <v>1986.5705010171187</v>
      </c>
      <c r="K804" s="1">
        <v>1</v>
      </c>
      <c r="L804" s="1">
        <v>125</v>
      </c>
      <c r="M804" s="18">
        <v>40</v>
      </c>
      <c r="N804" s="1">
        <v>40</v>
      </c>
      <c r="O804" s="1">
        <v>1</v>
      </c>
      <c r="P804" s="1">
        <v>202</v>
      </c>
      <c r="Q804" s="1">
        <v>0</v>
      </c>
    </row>
    <row r="805" spans="2:17" ht="15.45" x14ac:dyDescent="0.4">
      <c r="B805" s="1">
        <v>280</v>
      </c>
      <c r="C805" s="1">
        <v>2725.5848760816034</v>
      </c>
      <c r="D805" s="1">
        <v>1</v>
      </c>
      <c r="E805" s="1">
        <v>8265.2040253621999</v>
      </c>
      <c r="F805" s="1">
        <v>-1</v>
      </c>
      <c r="G805" s="1">
        <v>280</v>
      </c>
      <c r="H805" s="1">
        <v>3940.0576680960348</v>
      </c>
      <c r="I805" s="1">
        <v>-1</v>
      </c>
      <c r="J805" s="1">
        <v>1991.8205601614618</v>
      </c>
      <c r="K805" s="1">
        <v>1</v>
      </c>
      <c r="L805" s="1">
        <v>126</v>
      </c>
      <c r="M805" s="18">
        <v>40</v>
      </c>
      <c r="N805" s="1">
        <v>40</v>
      </c>
      <c r="O805" s="1">
        <v>1</v>
      </c>
      <c r="P805" s="1">
        <v>203</v>
      </c>
      <c r="Q805" s="1">
        <v>0</v>
      </c>
    </row>
    <row r="806" spans="2:17" ht="15.45" x14ac:dyDescent="0.4">
      <c r="B806" s="1">
        <v>281</v>
      </c>
      <c r="C806" s="1">
        <v>2729.747709870057</v>
      </c>
      <c r="D806" s="1">
        <v>1</v>
      </c>
      <c r="E806" s="1">
        <v>8270.5511418023671</v>
      </c>
      <c r="F806" s="1">
        <v>-1</v>
      </c>
      <c r="G806" s="1">
        <v>281</v>
      </c>
      <c r="H806" s="1">
        <v>1258.2953875380667</v>
      </c>
      <c r="I806" s="1">
        <v>1</v>
      </c>
      <c r="J806" s="1">
        <v>2011.6281487594699</v>
      </c>
      <c r="K806" s="1">
        <v>1</v>
      </c>
      <c r="L806" s="1">
        <v>127</v>
      </c>
      <c r="M806" s="18">
        <v>40</v>
      </c>
      <c r="N806" s="1">
        <v>40</v>
      </c>
      <c r="O806" s="1">
        <v>1</v>
      </c>
      <c r="P806" s="1">
        <v>204</v>
      </c>
      <c r="Q806" s="1">
        <v>0</v>
      </c>
    </row>
    <row r="807" spans="2:17" ht="15.45" x14ac:dyDescent="0.4">
      <c r="B807" s="1">
        <v>282</v>
      </c>
      <c r="C807" s="1">
        <v>2730.0185125701564</v>
      </c>
      <c r="D807" s="1">
        <v>1</v>
      </c>
      <c r="E807" s="1">
        <v>8272.1919173214483</v>
      </c>
      <c r="F807" s="1">
        <v>-1</v>
      </c>
      <c r="G807" s="1">
        <v>282</v>
      </c>
      <c r="H807" s="1">
        <v>3988.1433643125738</v>
      </c>
      <c r="I807" s="1">
        <v>-1</v>
      </c>
      <c r="J807" s="1">
        <v>2014.8205007532838</v>
      </c>
      <c r="K807" s="1">
        <v>-1</v>
      </c>
      <c r="L807" s="1">
        <v>126</v>
      </c>
      <c r="M807" s="18">
        <v>40</v>
      </c>
      <c r="N807" s="1">
        <v>39</v>
      </c>
      <c r="O807" s="1">
        <v>0</v>
      </c>
      <c r="P807" s="1">
        <v>0</v>
      </c>
      <c r="Q807" s="1">
        <v>0</v>
      </c>
    </row>
    <row r="808" spans="2:17" ht="15.45" x14ac:dyDescent="0.4">
      <c r="B808" s="1">
        <v>283</v>
      </c>
      <c r="C808" s="1">
        <v>2731.8877895199848</v>
      </c>
      <c r="D808" s="1">
        <v>1</v>
      </c>
      <c r="E808" s="1">
        <v>8303.9347748714572</v>
      </c>
      <c r="F808" s="1">
        <v>-1</v>
      </c>
      <c r="G808" s="1">
        <v>283</v>
      </c>
      <c r="H808" s="1">
        <v>1302.5402099252833</v>
      </c>
      <c r="I808" s="1">
        <v>1</v>
      </c>
      <c r="J808" s="1">
        <v>2026.2438505511457</v>
      </c>
      <c r="K808" s="1">
        <v>1</v>
      </c>
      <c r="L808" s="1">
        <v>127</v>
      </c>
      <c r="M808" s="18">
        <v>40</v>
      </c>
      <c r="N808" s="1">
        <v>40</v>
      </c>
      <c r="O808" s="1">
        <v>0</v>
      </c>
      <c r="P808" s="1">
        <v>0</v>
      </c>
      <c r="Q808" s="1">
        <v>0</v>
      </c>
    </row>
    <row r="809" spans="2:17" ht="15.45" x14ac:dyDescent="0.4">
      <c r="B809" s="1">
        <v>284</v>
      </c>
      <c r="C809" s="1">
        <v>2735.7513233855207</v>
      </c>
      <c r="D809" s="1">
        <v>1</v>
      </c>
      <c r="E809" s="1">
        <v>8338.9508579636131</v>
      </c>
      <c r="F809" s="1">
        <v>-1</v>
      </c>
      <c r="G809" s="1">
        <v>284</v>
      </c>
      <c r="H809" s="1">
        <v>3995.6488488816885</v>
      </c>
      <c r="I809" s="1">
        <v>-1</v>
      </c>
      <c r="J809" s="1">
        <v>2030.1712028852994</v>
      </c>
      <c r="K809" s="1">
        <v>1</v>
      </c>
      <c r="L809" s="1">
        <v>128</v>
      </c>
      <c r="M809" s="18">
        <v>40</v>
      </c>
      <c r="N809" s="1">
        <v>40</v>
      </c>
      <c r="O809" s="1">
        <v>1</v>
      </c>
      <c r="P809" s="1">
        <v>206</v>
      </c>
      <c r="Q809" s="1">
        <v>0</v>
      </c>
    </row>
    <row r="810" spans="2:17" ht="15.45" x14ac:dyDescent="0.4">
      <c r="B810" s="1">
        <v>285</v>
      </c>
      <c r="C810" s="1">
        <v>2746.2579127873555</v>
      </c>
      <c r="D810" s="1">
        <v>1</v>
      </c>
      <c r="E810" s="1">
        <v>8349.7340260541096</v>
      </c>
      <c r="F810" s="1">
        <v>-1</v>
      </c>
      <c r="G810" s="1">
        <v>285</v>
      </c>
      <c r="H810" s="1">
        <v>1306.2369684137873</v>
      </c>
      <c r="I810" s="1">
        <v>1</v>
      </c>
      <c r="J810" s="1">
        <v>2034.6847563898784</v>
      </c>
      <c r="K810" s="1">
        <v>1</v>
      </c>
      <c r="L810" s="1">
        <v>129</v>
      </c>
      <c r="M810" s="18">
        <v>40</v>
      </c>
      <c r="N810" s="1">
        <v>40</v>
      </c>
      <c r="O810" s="1">
        <v>1</v>
      </c>
      <c r="P810" s="1">
        <v>207</v>
      </c>
      <c r="Q810" s="1">
        <v>0</v>
      </c>
    </row>
    <row r="811" spans="2:17" ht="15.45" x14ac:dyDescent="0.4">
      <c r="B811" s="1">
        <v>286</v>
      </c>
      <c r="C811" s="1">
        <v>2747.765058505157</v>
      </c>
      <c r="D811" s="1">
        <v>1</v>
      </c>
      <c r="E811" s="1">
        <v>8366.6464249610144</v>
      </c>
      <c r="F811" s="1">
        <v>-1</v>
      </c>
      <c r="G811" s="1">
        <v>286</v>
      </c>
      <c r="H811" s="1">
        <v>4028.0980351694889</v>
      </c>
      <c r="I811" s="1">
        <v>-1</v>
      </c>
      <c r="J811" s="1">
        <v>2043.0628317854048</v>
      </c>
      <c r="K811" s="1">
        <v>-1</v>
      </c>
      <c r="L811" s="1">
        <v>128</v>
      </c>
      <c r="M811" s="18">
        <v>40</v>
      </c>
      <c r="N811" s="1">
        <v>39</v>
      </c>
      <c r="O811" s="1">
        <v>0</v>
      </c>
      <c r="P811" s="1">
        <v>0</v>
      </c>
      <c r="Q811" s="1">
        <v>0</v>
      </c>
    </row>
    <row r="812" spans="2:17" ht="15.45" x14ac:dyDescent="0.4">
      <c r="B812" s="1">
        <v>287</v>
      </c>
      <c r="C812" s="1">
        <v>2749.0863696775746</v>
      </c>
      <c r="D812" s="1">
        <v>1</v>
      </c>
      <c r="E812" s="1">
        <v>8415.3076367863505</v>
      </c>
      <c r="F812" s="1">
        <v>-1</v>
      </c>
      <c r="G812" s="1">
        <v>287</v>
      </c>
      <c r="H812" s="1">
        <v>1317.7001590794662</v>
      </c>
      <c r="I812" s="1">
        <v>1</v>
      </c>
      <c r="J812" s="1">
        <v>2070.4471734622089</v>
      </c>
      <c r="K812" s="1">
        <v>1</v>
      </c>
      <c r="L812" s="1">
        <v>129</v>
      </c>
      <c r="M812" s="18">
        <v>40</v>
      </c>
      <c r="N812" s="1">
        <v>40</v>
      </c>
      <c r="O812" s="1">
        <v>0</v>
      </c>
      <c r="P812" s="1">
        <v>0</v>
      </c>
      <c r="Q812" s="1">
        <v>0</v>
      </c>
    </row>
    <row r="813" spans="2:17" ht="15.45" x14ac:dyDescent="0.4">
      <c r="B813" s="1">
        <v>288</v>
      </c>
      <c r="C813" s="1">
        <v>2755.1749285091205</v>
      </c>
      <c r="D813" s="1">
        <v>1</v>
      </c>
      <c r="E813" s="1">
        <v>8501.164775614161</v>
      </c>
      <c r="F813" s="1">
        <v>-1</v>
      </c>
      <c r="G813" s="1">
        <v>288</v>
      </c>
      <c r="H813" s="1">
        <v>4031.4180819006633</v>
      </c>
      <c r="I813" s="1">
        <v>-1</v>
      </c>
      <c r="J813" s="1">
        <v>2075.1843350110335</v>
      </c>
      <c r="K813" s="1">
        <v>1</v>
      </c>
      <c r="L813" s="1">
        <v>130</v>
      </c>
      <c r="M813" s="18">
        <v>40</v>
      </c>
      <c r="N813" s="1">
        <v>40</v>
      </c>
      <c r="O813" s="1">
        <v>1</v>
      </c>
      <c r="P813" s="1">
        <v>209</v>
      </c>
      <c r="Q813" s="1">
        <v>0</v>
      </c>
    </row>
    <row r="814" spans="2:17" ht="15.45" x14ac:dyDescent="0.4">
      <c r="B814" s="1">
        <v>289</v>
      </c>
      <c r="C814" s="1">
        <v>2758.0361056838942</v>
      </c>
      <c r="D814" s="1">
        <v>1</v>
      </c>
      <c r="E814" s="1">
        <v>8543.7108799291564</v>
      </c>
      <c r="F814" s="1">
        <v>-1</v>
      </c>
      <c r="G814" s="1">
        <v>289</v>
      </c>
      <c r="H814" s="1">
        <v>1318.046775330946</v>
      </c>
      <c r="I814" s="1">
        <v>1</v>
      </c>
      <c r="J814" s="1">
        <v>2081.8538876792031</v>
      </c>
      <c r="K814" s="1">
        <v>1</v>
      </c>
      <c r="L814" s="1">
        <v>131</v>
      </c>
      <c r="M814" s="18">
        <v>40</v>
      </c>
      <c r="N814" s="1">
        <v>40</v>
      </c>
      <c r="O814" s="1">
        <v>1</v>
      </c>
      <c r="P814" s="1">
        <v>210</v>
      </c>
      <c r="Q814" s="1">
        <v>0</v>
      </c>
    </row>
    <row r="815" spans="2:17" ht="15.45" x14ac:dyDescent="0.4">
      <c r="B815" s="1">
        <v>290</v>
      </c>
      <c r="C815" s="1">
        <v>2761.692782227899</v>
      </c>
      <c r="D815" s="1">
        <v>1</v>
      </c>
      <c r="E815" s="1">
        <v>8557.0497408836582</v>
      </c>
      <c r="F815" s="1">
        <v>-1</v>
      </c>
      <c r="G815" s="1">
        <v>290</v>
      </c>
      <c r="H815" s="1">
        <v>4039.2017911600169</v>
      </c>
      <c r="I815" s="1">
        <v>-1</v>
      </c>
      <c r="J815" s="1">
        <v>2092.2453694005771</v>
      </c>
      <c r="K815" s="1">
        <v>1</v>
      </c>
      <c r="L815" s="1">
        <v>132</v>
      </c>
      <c r="M815" s="18">
        <v>40</v>
      </c>
      <c r="N815" s="1">
        <v>40</v>
      </c>
      <c r="O815" s="1">
        <v>1</v>
      </c>
      <c r="P815" s="1">
        <v>211</v>
      </c>
      <c r="Q815" s="1">
        <v>0</v>
      </c>
    </row>
    <row r="816" spans="2:17" ht="15.45" x14ac:dyDescent="0.4">
      <c r="B816" s="1">
        <v>291</v>
      </c>
      <c r="C816" s="1">
        <v>2763.1157996832585</v>
      </c>
      <c r="D816" s="1">
        <v>1</v>
      </c>
      <c r="E816" s="1">
        <v>8566.0970971762563</v>
      </c>
      <c r="F816" s="1">
        <v>-1</v>
      </c>
      <c r="G816" s="1">
        <v>291</v>
      </c>
      <c r="H816" s="1">
        <v>1323.7321622759468</v>
      </c>
      <c r="I816" s="1">
        <v>1</v>
      </c>
      <c r="J816" s="1">
        <v>2093.293268338713</v>
      </c>
      <c r="K816" s="1">
        <v>-1</v>
      </c>
      <c r="L816" s="1">
        <v>131</v>
      </c>
      <c r="M816" s="18">
        <v>40</v>
      </c>
      <c r="N816" s="1">
        <v>39</v>
      </c>
      <c r="O816" s="1">
        <v>0</v>
      </c>
      <c r="P816" s="1">
        <v>0</v>
      </c>
      <c r="Q816" s="1">
        <v>0</v>
      </c>
    </row>
    <row r="817" spans="2:17" ht="15.45" x14ac:dyDescent="0.4">
      <c r="B817" s="1">
        <v>292</v>
      </c>
      <c r="C817" s="1">
        <v>2773.3209878591706</v>
      </c>
      <c r="D817" s="1">
        <v>1</v>
      </c>
      <c r="E817" s="1">
        <v>8575.614826485109</v>
      </c>
      <c r="F817" s="1">
        <v>-1</v>
      </c>
      <c r="G817" s="1">
        <v>292</v>
      </c>
      <c r="H817" s="1">
        <v>4043.9775387172876</v>
      </c>
      <c r="I817" s="1">
        <v>-1</v>
      </c>
      <c r="J817" s="1">
        <v>2098.0059847074717</v>
      </c>
      <c r="K817" s="1">
        <v>1</v>
      </c>
      <c r="L817" s="1">
        <v>132</v>
      </c>
      <c r="M817" s="18">
        <v>40</v>
      </c>
      <c r="N817" s="1">
        <v>40</v>
      </c>
      <c r="O817" s="1">
        <v>0</v>
      </c>
      <c r="P817" s="1">
        <v>0</v>
      </c>
      <c r="Q817" s="1">
        <v>0</v>
      </c>
    </row>
    <row r="818" spans="2:17" ht="15.45" x14ac:dyDescent="0.4">
      <c r="B818" s="1">
        <v>293</v>
      </c>
      <c r="C818" s="1">
        <v>2775.2435724786274</v>
      </c>
      <c r="D818" s="1">
        <v>1</v>
      </c>
      <c r="E818" s="1">
        <v>8583.7408948834563</v>
      </c>
      <c r="F818" s="1">
        <v>-1</v>
      </c>
      <c r="G818" s="1">
        <v>293</v>
      </c>
      <c r="H818" s="1">
        <v>1327.555009648707</v>
      </c>
      <c r="I818" s="1">
        <v>1</v>
      </c>
      <c r="J818" s="1">
        <v>2098.1558382531243</v>
      </c>
      <c r="K818" s="1">
        <v>1</v>
      </c>
      <c r="L818" s="1">
        <v>133</v>
      </c>
      <c r="M818" s="18">
        <v>40</v>
      </c>
      <c r="N818" s="1">
        <v>40</v>
      </c>
      <c r="O818" s="1">
        <v>1</v>
      </c>
      <c r="P818" s="1">
        <v>213</v>
      </c>
      <c r="Q818" s="1">
        <v>0</v>
      </c>
    </row>
    <row r="819" spans="2:17" ht="15.45" x14ac:dyDescent="0.4">
      <c r="B819" s="1">
        <v>294</v>
      </c>
      <c r="C819" s="1">
        <v>2790.6649984618002</v>
      </c>
      <c r="D819" s="1">
        <v>1</v>
      </c>
      <c r="E819" s="1">
        <v>8596.2293962488184</v>
      </c>
      <c r="F819" s="1">
        <v>-1</v>
      </c>
      <c r="G819" s="1">
        <v>294</v>
      </c>
      <c r="H819" s="1">
        <v>4058.7388697021279</v>
      </c>
      <c r="I819" s="1">
        <v>-1</v>
      </c>
      <c r="J819" s="1">
        <v>2100.4545861533898</v>
      </c>
      <c r="K819" s="1">
        <v>1</v>
      </c>
      <c r="L819" s="1">
        <v>134</v>
      </c>
      <c r="M819" s="18">
        <v>40</v>
      </c>
      <c r="N819" s="1">
        <v>40</v>
      </c>
      <c r="O819" s="1">
        <v>1</v>
      </c>
      <c r="P819" s="1">
        <v>214</v>
      </c>
      <c r="Q819" s="1">
        <v>0</v>
      </c>
    </row>
    <row r="820" spans="2:17" ht="15.45" x14ac:dyDescent="0.4">
      <c r="B820" s="1">
        <v>295</v>
      </c>
      <c r="C820" s="1">
        <v>2804.4296577064724</v>
      </c>
      <c r="D820" s="1">
        <v>1</v>
      </c>
      <c r="E820" s="1">
        <v>8597.0418043491172</v>
      </c>
      <c r="F820" s="1">
        <v>-1</v>
      </c>
      <c r="G820" s="1">
        <v>295</v>
      </c>
      <c r="H820" s="1">
        <v>1328.5805311165755</v>
      </c>
      <c r="I820" s="1">
        <v>1</v>
      </c>
      <c r="J820" s="1">
        <v>2102.9002601458242</v>
      </c>
      <c r="K820" s="1">
        <v>1</v>
      </c>
      <c r="L820" s="1">
        <v>135</v>
      </c>
      <c r="M820" s="18">
        <v>40</v>
      </c>
      <c r="N820" s="1">
        <v>40</v>
      </c>
      <c r="O820" s="1">
        <v>1</v>
      </c>
      <c r="P820" s="1">
        <v>215</v>
      </c>
      <c r="Q820" s="1">
        <v>0</v>
      </c>
    </row>
    <row r="821" spans="2:17" ht="15.45" x14ac:dyDescent="0.4">
      <c r="B821" s="1">
        <v>296</v>
      </c>
      <c r="C821" s="1">
        <v>2809.420308496547</v>
      </c>
      <c r="D821" s="1">
        <v>1</v>
      </c>
      <c r="E821" s="1">
        <v>8602.6496351986025</v>
      </c>
      <c r="F821" s="1">
        <v>-1</v>
      </c>
      <c r="G821" s="1">
        <v>296</v>
      </c>
      <c r="H821" s="1">
        <v>4076.855484806541</v>
      </c>
      <c r="I821" s="1">
        <v>-1</v>
      </c>
      <c r="J821" s="1">
        <v>2104.9108571268521</v>
      </c>
      <c r="K821" s="1">
        <v>1</v>
      </c>
      <c r="L821" s="1">
        <v>136</v>
      </c>
      <c r="M821" s="18">
        <v>40</v>
      </c>
      <c r="N821" s="1">
        <v>40</v>
      </c>
      <c r="O821" s="1">
        <v>1</v>
      </c>
      <c r="P821" s="1">
        <v>216</v>
      </c>
      <c r="Q821" s="1">
        <v>0</v>
      </c>
    </row>
    <row r="822" spans="2:17" ht="15.45" x14ac:dyDescent="0.4">
      <c r="B822" s="1">
        <v>297</v>
      </c>
      <c r="C822" s="1">
        <v>2811.1164507275089</v>
      </c>
      <c r="D822" s="1">
        <v>1</v>
      </c>
      <c r="E822" s="1">
        <v>8614.2402367952091</v>
      </c>
      <c r="F822" s="1">
        <v>-1</v>
      </c>
      <c r="G822" s="1">
        <v>297</v>
      </c>
      <c r="H822" s="1">
        <v>1341.8475033074424</v>
      </c>
      <c r="I822" s="1">
        <v>1</v>
      </c>
      <c r="J822" s="1">
        <v>2108.2813926207</v>
      </c>
      <c r="K822" s="1">
        <v>1</v>
      </c>
      <c r="L822" s="1">
        <v>137</v>
      </c>
      <c r="M822" s="18">
        <v>40</v>
      </c>
      <c r="N822" s="1">
        <v>40</v>
      </c>
      <c r="O822" s="1">
        <v>1</v>
      </c>
      <c r="P822" s="1">
        <v>217</v>
      </c>
      <c r="Q822" s="1">
        <v>0</v>
      </c>
    </row>
    <row r="823" spans="2:17" ht="15.45" x14ac:dyDescent="0.4">
      <c r="B823" s="1">
        <v>298</v>
      </c>
      <c r="C823" s="1">
        <v>2819.6670790115654</v>
      </c>
      <c r="D823" s="1">
        <v>1</v>
      </c>
      <c r="E823" s="1">
        <v>8645.7600050007131</v>
      </c>
      <c r="F823" s="1">
        <v>-1</v>
      </c>
      <c r="G823" s="1">
        <v>298</v>
      </c>
      <c r="H823" s="1">
        <v>4117.3945726144957</v>
      </c>
      <c r="I823" s="1">
        <v>-1</v>
      </c>
      <c r="J823" s="1">
        <v>2121.9471248646746</v>
      </c>
      <c r="K823" s="1">
        <v>1</v>
      </c>
      <c r="L823" s="1">
        <v>138</v>
      </c>
      <c r="M823" s="18">
        <v>40</v>
      </c>
      <c r="N823" s="1">
        <v>40</v>
      </c>
      <c r="O823" s="1">
        <v>1</v>
      </c>
      <c r="P823" s="1">
        <v>218</v>
      </c>
      <c r="Q823" s="1">
        <v>0</v>
      </c>
    </row>
    <row r="824" spans="2:17" ht="15.45" x14ac:dyDescent="0.4">
      <c r="B824" s="1">
        <v>299</v>
      </c>
      <c r="C824" s="1">
        <v>2824.4732965877761</v>
      </c>
      <c r="D824" s="1">
        <v>1</v>
      </c>
      <c r="E824" s="1">
        <v>8650.281442154117</v>
      </c>
      <c r="F824" s="1">
        <v>-1</v>
      </c>
      <c r="G824" s="1">
        <v>299</v>
      </c>
      <c r="H824" s="1">
        <v>1364.5589168988843</v>
      </c>
      <c r="I824" s="1">
        <v>1</v>
      </c>
      <c r="J824" s="1">
        <v>2142.2020131873091</v>
      </c>
      <c r="K824" s="1">
        <v>1</v>
      </c>
      <c r="L824" s="1">
        <v>139</v>
      </c>
      <c r="M824" s="18">
        <v>40</v>
      </c>
      <c r="N824" s="1">
        <v>40</v>
      </c>
      <c r="O824" s="1">
        <v>1</v>
      </c>
      <c r="P824" s="1">
        <v>219</v>
      </c>
      <c r="Q824" s="1">
        <v>0</v>
      </c>
    </row>
    <row r="825" spans="2:17" ht="15.45" x14ac:dyDescent="0.4">
      <c r="B825" s="1">
        <v>300</v>
      </c>
      <c r="C825" s="1">
        <v>2826.5921416065225</v>
      </c>
      <c r="D825" s="1">
        <v>1</v>
      </c>
      <c r="E825" s="1">
        <v>8654.2453756713694</v>
      </c>
      <c r="F825" s="1">
        <v>-1</v>
      </c>
      <c r="G825" s="1">
        <v>300</v>
      </c>
      <c r="H825" s="1">
        <v>4121.5107175366447</v>
      </c>
      <c r="I825" s="1">
        <v>-1</v>
      </c>
      <c r="J825" s="1">
        <v>2167.4364907166828</v>
      </c>
      <c r="K825" s="1">
        <v>-1</v>
      </c>
      <c r="L825" s="1">
        <v>138</v>
      </c>
      <c r="M825" s="18">
        <v>40</v>
      </c>
      <c r="N825" s="1">
        <v>39</v>
      </c>
      <c r="O825" s="1">
        <v>0</v>
      </c>
      <c r="P825" s="1">
        <v>0</v>
      </c>
      <c r="Q825" s="1">
        <v>0</v>
      </c>
    </row>
    <row r="826" spans="2:17" ht="15.45" x14ac:dyDescent="0.4">
      <c r="B826" s="1">
        <v>301</v>
      </c>
      <c r="C826" s="1">
        <v>2833.0474651645113</v>
      </c>
      <c r="D826" s="1">
        <v>1</v>
      </c>
      <c r="E826" s="1">
        <v>8672.5110521660063</v>
      </c>
      <c r="F826" s="1">
        <v>-1</v>
      </c>
      <c r="G826" s="1">
        <v>301</v>
      </c>
      <c r="H826" s="1">
        <v>1388.2267541213785</v>
      </c>
      <c r="I826" s="1">
        <v>1</v>
      </c>
      <c r="J826" s="1">
        <v>2184.2654309397135</v>
      </c>
      <c r="K826" s="1">
        <v>1</v>
      </c>
      <c r="L826" s="1">
        <v>139</v>
      </c>
      <c r="M826" s="18">
        <v>40</v>
      </c>
      <c r="N826" s="1">
        <v>40</v>
      </c>
      <c r="O826" s="1">
        <v>0</v>
      </c>
      <c r="P826" s="1">
        <v>0</v>
      </c>
      <c r="Q826" s="1">
        <v>0</v>
      </c>
    </row>
    <row r="827" spans="2:17" ht="15.45" x14ac:dyDescent="0.4">
      <c r="B827" s="1">
        <v>302</v>
      </c>
      <c r="C827" s="1">
        <v>2844.3852568158636</v>
      </c>
      <c r="D827" s="1">
        <v>1</v>
      </c>
      <c r="E827" s="1">
        <v>8681.0945836903284</v>
      </c>
      <c r="F827" s="1">
        <v>-1</v>
      </c>
      <c r="G827" s="1">
        <v>302</v>
      </c>
      <c r="H827" s="1">
        <v>4126.6999087313834</v>
      </c>
      <c r="I827" s="1">
        <v>-1</v>
      </c>
      <c r="J827" s="1">
        <v>2193.4060209281997</v>
      </c>
      <c r="K827" s="1">
        <v>1</v>
      </c>
      <c r="L827" s="1">
        <v>140</v>
      </c>
      <c r="M827" s="18">
        <v>40</v>
      </c>
      <c r="N827" s="1">
        <v>40</v>
      </c>
      <c r="O827" s="1">
        <v>1</v>
      </c>
      <c r="P827" s="1">
        <v>221</v>
      </c>
      <c r="Q827" s="1">
        <v>0</v>
      </c>
    </row>
    <row r="828" spans="2:17" ht="15.45" x14ac:dyDescent="0.4">
      <c r="B828" s="1">
        <v>303</v>
      </c>
      <c r="C828" s="1">
        <v>2848.4829086076334</v>
      </c>
      <c r="D828" s="1">
        <v>1</v>
      </c>
      <c r="E828" s="1">
        <v>8692.0646133223418</v>
      </c>
      <c r="F828" s="1">
        <v>-1</v>
      </c>
      <c r="G828" s="1">
        <v>303</v>
      </c>
      <c r="H828" s="1">
        <v>1409.2416970622398</v>
      </c>
      <c r="I828" s="1">
        <v>1</v>
      </c>
      <c r="J828" s="1">
        <v>2211.8849972005182</v>
      </c>
      <c r="K828" s="1">
        <v>1</v>
      </c>
      <c r="L828" s="1">
        <v>141</v>
      </c>
      <c r="M828" s="18">
        <v>40</v>
      </c>
      <c r="N828" s="1">
        <v>40</v>
      </c>
      <c r="O828" s="1">
        <v>1</v>
      </c>
      <c r="P828" s="1">
        <v>222</v>
      </c>
      <c r="Q828" s="1">
        <v>0</v>
      </c>
    </row>
    <row r="829" spans="2:17" ht="15.45" x14ac:dyDescent="0.4">
      <c r="B829" s="1">
        <v>304</v>
      </c>
      <c r="C829" s="1">
        <v>2852.4744483491136</v>
      </c>
      <c r="D829" s="1">
        <v>1</v>
      </c>
      <c r="E829" s="1">
        <v>8696.3336656884203</v>
      </c>
      <c r="F829" s="1">
        <v>-1</v>
      </c>
      <c r="G829" s="1">
        <v>304</v>
      </c>
      <c r="H829" s="1">
        <v>4139.8381872300542</v>
      </c>
      <c r="I829" s="1">
        <v>-1</v>
      </c>
      <c r="J829" s="1">
        <v>2224.0613538967746</v>
      </c>
      <c r="K829" s="1">
        <v>-1</v>
      </c>
      <c r="L829" s="1">
        <v>140</v>
      </c>
      <c r="M829" s="18">
        <v>40</v>
      </c>
      <c r="N829" s="1">
        <v>40</v>
      </c>
      <c r="O829" s="1">
        <v>0</v>
      </c>
      <c r="P829" s="1">
        <v>0</v>
      </c>
      <c r="Q829" s="1">
        <v>0</v>
      </c>
    </row>
    <row r="830" spans="2:17" ht="15.45" x14ac:dyDescent="0.4">
      <c r="B830" s="1">
        <v>305</v>
      </c>
      <c r="C830" s="1">
        <v>2853.1162042999053</v>
      </c>
      <c r="D830" s="1">
        <v>1</v>
      </c>
      <c r="E830" s="1">
        <v>8726.9492302161561</v>
      </c>
      <c r="F830" s="1">
        <v>-1</v>
      </c>
      <c r="G830" s="1">
        <v>305</v>
      </c>
      <c r="H830" s="1">
        <v>1441.5219099227652</v>
      </c>
      <c r="I830" s="1">
        <v>1</v>
      </c>
      <c r="J830" s="1">
        <v>2225.4705658257326</v>
      </c>
      <c r="K830" s="1">
        <v>-1</v>
      </c>
      <c r="L830" s="1">
        <v>139</v>
      </c>
      <c r="M830" s="18">
        <v>40</v>
      </c>
      <c r="N830" s="1">
        <v>40</v>
      </c>
      <c r="O830" s="1">
        <v>0</v>
      </c>
      <c r="P830" s="1">
        <v>0</v>
      </c>
      <c r="Q830" s="1">
        <v>0</v>
      </c>
    </row>
    <row r="831" spans="2:17" ht="15.45" x14ac:dyDescent="0.4">
      <c r="B831" s="1">
        <v>306</v>
      </c>
      <c r="C831" s="1">
        <v>2853.7885034139003</v>
      </c>
      <c r="D831" s="1">
        <v>1</v>
      </c>
      <c r="E831" s="1">
        <v>8732.7169840745264</v>
      </c>
      <c r="F831" s="1">
        <v>-1</v>
      </c>
      <c r="G831" s="1">
        <v>306</v>
      </c>
      <c r="H831" s="1">
        <v>4163.9872015971496</v>
      </c>
      <c r="I831" s="1">
        <v>-1</v>
      </c>
      <c r="J831" s="1">
        <v>2229.5326201223957</v>
      </c>
      <c r="K831" s="1">
        <v>1</v>
      </c>
      <c r="L831" s="1">
        <v>140</v>
      </c>
      <c r="M831" s="18">
        <v>40</v>
      </c>
      <c r="N831" s="1">
        <v>40</v>
      </c>
      <c r="O831" s="1">
        <v>1</v>
      </c>
      <c r="P831" s="1">
        <v>223</v>
      </c>
      <c r="Q831" s="1">
        <v>0</v>
      </c>
    </row>
    <row r="832" spans="2:17" ht="15.45" x14ac:dyDescent="0.4">
      <c r="B832" s="1">
        <v>307</v>
      </c>
      <c r="C832" s="1">
        <v>2863.4830390510579</v>
      </c>
      <c r="D832" s="1">
        <v>1</v>
      </c>
      <c r="E832" s="1">
        <v>8778.9812620240446</v>
      </c>
      <c r="F832" s="1">
        <v>-1</v>
      </c>
      <c r="G832" s="1">
        <v>307</v>
      </c>
      <c r="H832" s="1">
        <v>1453.40677552795</v>
      </c>
      <c r="I832" s="1">
        <v>1</v>
      </c>
      <c r="J832" s="1">
        <v>2230.7711929971688</v>
      </c>
      <c r="K832" s="1">
        <v>1</v>
      </c>
      <c r="L832" s="1">
        <v>141</v>
      </c>
      <c r="M832" s="18">
        <v>40</v>
      </c>
      <c r="N832" s="1">
        <v>40</v>
      </c>
      <c r="O832" s="1">
        <v>1</v>
      </c>
      <c r="P832" s="1">
        <v>224</v>
      </c>
      <c r="Q832" s="1">
        <v>0</v>
      </c>
    </row>
    <row r="833" spans="2:17" ht="15.45" x14ac:dyDescent="0.4">
      <c r="B833" s="1">
        <v>308</v>
      </c>
      <c r="C833" s="1">
        <v>2878.7258318577024</v>
      </c>
      <c r="D833" s="1">
        <v>1</v>
      </c>
      <c r="E833" s="1">
        <v>8820.2752397580607</v>
      </c>
      <c r="F833" s="1">
        <v>-1</v>
      </c>
      <c r="G833" s="1">
        <v>308</v>
      </c>
      <c r="H833" s="1">
        <v>4181.872429252845</v>
      </c>
      <c r="I833" s="1">
        <v>-1</v>
      </c>
      <c r="J833" s="1">
        <v>2232.9249310680984</v>
      </c>
      <c r="K833" s="1">
        <v>1</v>
      </c>
      <c r="L833" s="1">
        <v>142</v>
      </c>
      <c r="M833" s="18">
        <v>40</v>
      </c>
      <c r="N833" s="1">
        <v>40</v>
      </c>
      <c r="O833" s="1">
        <v>1</v>
      </c>
      <c r="P833" s="1">
        <v>225</v>
      </c>
      <c r="Q833" s="1">
        <v>0</v>
      </c>
    </row>
    <row r="834" spans="2:17" ht="15.45" x14ac:dyDescent="0.4">
      <c r="B834" s="1">
        <v>309</v>
      </c>
      <c r="C834" s="1">
        <v>2927.8579807483566</v>
      </c>
      <c r="D834" s="1">
        <v>1</v>
      </c>
      <c r="E834" s="1">
        <v>8835.247192128285</v>
      </c>
      <c r="F834" s="1">
        <v>-1</v>
      </c>
      <c r="G834" s="1">
        <v>309</v>
      </c>
      <c r="H834" s="1">
        <v>1461.6096622790774</v>
      </c>
      <c r="I834" s="1">
        <v>1</v>
      </c>
      <c r="J834" s="1">
        <v>2235.8234158785381</v>
      </c>
      <c r="K834" s="1">
        <v>1</v>
      </c>
      <c r="L834" s="1">
        <v>143</v>
      </c>
      <c r="M834" s="18">
        <v>40</v>
      </c>
      <c r="N834" s="1">
        <v>40</v>
      </c>
      <c r="O834" s="1">
        <v>1</v>
      </c>
      <c r="P834" s="1">
        <v>226</v>
      </c>
      <c r="Q834" s="1">
        <v>0</v>
      </c>
    </row>
    <row r="835" spans="2:17" ht="15.45" x14ac:dyDescent="0.4">
      <c r="B835" s="1">
        <v>310</v>
      </c>
      <c r="C835" s="1">
        <v>2936.2162246252055</v>
      </c>
      <c r="D835" s="1">
        <v>1</v>
      </c>
      <c r="E835" s="1">
        <v>8840.3356188211692</v>
      </c>
      <c r="F835" s="1">
        <v>-1</v>
      </c>
      <c r="G835" s="1">
        <v>310</v>
      </c>
      <c r="H835" s="1">
        <v>4314.6068964144943</v>
      </c>
      <c r="I835" s="1">
        <v>-1</v>
      </c>
      <c r="J835" s="1">
        <v>2236.6225192779243</v>
      </c>
      <c r="K835" s="1">
        <v>1</v>
      </c>
      <c r="L835" s="1">
        <v>144</v>
      </c>
      <c r="M835" s="18">
        <v>40</v>
      </c>
      <c r="N835" s="1">
        <v>40</v>
      </c>
      <c r="O835" s="1">
        <v>1</v>
      </c>
      <c r="P835" s="1">
        <v>227</v>
      </c>
      <c r="Q835" s="1">
        <v>0</v>
      </c>
    </row>
    <row r="836" spans="2:17" ht="15.45" x14ac:dyDescent="0.4">
      <c r="B836" s="1">
        <v>311</v>
      </c>
      <c r="C836" s="1">
        <v>2962.5571362959945</v>
      </c>
      <c r="D836" s="1">
        <v>1</v>
      </c>
      <c r="E836" s="1">
        <v>8865.9875036733392</v>
      </c>
      <c r="F836" s="1">
        <v>-1</v>
      </c>
      <c r="G836" s="1">
        <v>311</v>
      </c>
      <c r="H836" s="1">
        <v>1473.6262935148798</v>
      </c>
      <c r="I836" s="1">
        <v>1</v>
      </c>
      <c r="J836" s="1">
        <v>2240.7909635896899</v>
      </c>
      <c r="K836" s="1">
        <v>-1</v>
      </c>
      <c r="L836" s="1">
        <v>143</v>
      </c>
      <c r="M836" s="18">
        <v>40</v>
      </c>
      <c r="N836" s="1">
        <v>40</v>
      </c>
      <c r="O836" s="1">
        <v>0</v>
      </c>
      <c r="P836" s="1">
        <v>0</v>
      </c>
      <c r="Q836" s="1">
        <v>0</v>
      </c>
    </row>
    <row r="837" spans="2:17" ht="15.45" x14ac:dyDescent="0.4">
      <c r="B837" s="1">
        <v>312</v>
      </c>
      <c r="C837" s="1">
        <v>2970.4228354209627</v>
      </c>
      <c r="D837" s="1">
        <v>1</v>
      </c>
      <c r="E837" s="1">
        <v>8880.4061564019703</v>
      </c>
      <c r="F837" s="1">
        <v>-1</v>
      </c>
      <c r="G837" s="1">
        <v>312</v>
      </c>
      <c r="H837" s="1">
        <v>4325.697171880006</v>
      </c>
      <c r="I837" s="1">
        <v>-1</v>
      </c>
      <c r="J837" s="1">
        <v>2245.4961590314151</v>
      </c>
      <c r="K837" s="1">
        <v>1</v>
      </c>
      <c r="L837" s="1">
        <v>144</v>
      </c>
      <c r="M837" s="18">
        <v>40</v>
      </c>
      <c r="N837" s="1">
        <v>40</v>
      </c>
      <c r="O837" s="1">
        <v>1</v>
      </c>
      <c r="P837" s="1">
        <v>228</v>
      </c>
      <c r="Q837" s="1">
        <v>0</v>
      </c>
    </row>
    <row r="838" spans="2:17" ht="15.45" x14ac:dyDescent="0.4">
      <c r="B838" s="1">
        <v>313</v>
      </c>
      <c r="C838" s="1">
        <v>3009.6359289412935</v>
      </c>
      <c r="D838" s="1">
        <v>1</v>
      </c>
      <c r="E838" s="1">
        <v>8886.7626914582106</v>
      </c>
      <c r="F838" s="1">
        <v>-1</v>
      </c>
      <c r="G838" s="1">
        <v>313</v>
      </c>
      <c r="H838" s="1">
        <v>1476.7392311023443</v>
      </c>
      <c r="I838" s="1">
        <v>1</v>
      </c>
      <c r="J838" s="1">
        <v>2257.117185643528</v>
      </c>
      <c r="K838" s="1">
        <v>-1</v>
      </c>
      <c r="L838" s="1">
        <v>143</v>
      </c>
      <c r="M838" s="18">
        <v>40</v>
      </c>
      <c r="N838" s="1">
        <v>39</v>
      </c>
      <c r="O838" s="1">
        <v>0</v>
      </c>
      <c r="P838" s="1">
        <v>0</v>
      </c>
      <c r="Q838" s="1">
        <v>0</v>
      </c>
    </row>
    <row r="839" spans="2:17" ht="15.45" x14ac:dyDescent="0.4">
      <c r="B839" s="1">
        <v>314</v>
      </c>
      <c r="C839" s="1">
        <v>3013.8407159187259</v>
      </c>
      <c r="D839" s="1">
        <v>1</v>
      </c>
      <c r="E839" s="1">
        <v>8906.128662132176</v>
      </c>
      <c r="F839" s="1">
        <v>-1</v>
      </c>
      <c r="G839" s="1">
        <v>314</v>
      </c>
      <c r="H839" s="1">
        <v>4360.0867438770429</v>
      </c>
      <c r="I839" s="1">
        <v>-1</v>
      </c>
      <c r="J839" s="1">
        <v>2266.0328058962418</v>
      </c>
      <c r="K839" s="1">
        <v>1</v>
      </c>
      <c r="L839" s="1">
        <v>144</v>
      </c>
      <c r="M839" s="18">
        <v>40</v>
      </c>
      <c r="N839" s="1">
        <v>40</v>
      </c>
      <c r="O839" s="1">
        <v>0</v>
      </c>
      <c r="P839" s="1">
        <v>0</v>
      </c>
      <c r="Q839" s="1">
        <v>0</v>
      </c>
    </row>
    <row r="840" spans="2:17" ht="15.45" x14ac:dyDescent="0.4">
      <c r="B840" s="1">
        <v>315</v>
      </c>
      <c r="C840" s="1">
        <v>3022.6505549010521</v>
      </c>
      <c r="D840" s="1">
        <v>1</v>
      </c>
      <c r="E840" s="1">
        <v>8940.1420370862324</v>
      </c>
      <c r="F840" s="1">
        <v>-1</v>
      </c>
      <c r="G840" s="1">
        <v>315</v>
      </c>
      <c r="H840" s="1">
        <v>1484.3095614588888</v>
      </c>
      <c r="I840" s="1">
        <v>1</v>
      </c>
      <c r="J840" s="1">
        <v>2279.3952021582591</v>
      </c>
      <c r="K840" s="1">
        <v>1</v>
      </c>
      <c r="L840" s="1">
        <v>145</v>
      </c>
      <c r="M840" s="18">
        <v>40</v>
      </c>
      <c r="N840" s="1">
        <v>40</v>
      </c>
      <c r="O840" s="1">
        <v>1</v>
      </c>
      <c r="P840" s="1">
        <v>230</v>
      </c>
      <c r="Q840" s="1">
        <v>0</v>
      </c>
    </row>
    <row r="841" spans="2:17" ht="15.45" x14ac:dyDescent="0.4">
      <c r="B841" s="1">
        <v>316</v>
      </c>
      <c r="C841" s="1">
        <v>3026.9211574933734</v>
      </c>
      <c r="D841" s="1">
        <v>1</v>
      </c>
      <c r="E841" s="1">
        <v>8952.4349924615417</v>
      </c>
      <c r="F841" s="1">
        <v>-1</v>
      </c>
      <c r="G841" s="1">
        <v>316</v>
      </c>
      <c r="H841" s="1">
        <v>4361.1265926314827</v>
      </c>
      <c r="I841" s="1">
        <v>-1</v>
      </c>
      <c r="J841" s="1">
        <v>2284.9582672160027</v>
      </c>
      <c r="K841" s="1">
        <v>1</v>
      </c>
      <c r="L841" s="1">
        <v>146</v>
      </c>
      <c r="M841" s="18">
        <v>40</v>
      </c>
      <c r="N841" s="1">
        <v>40</v>
      </c>
      <c r="O841" s="1">
        <v>1</v>
      </c>
      <c r="P841" s="1">
        <v>231</v>
      </c>
      <c r="Q841" s="1">
        <v>0</v>
      </c>
    </row>
    <row r="842" spans="2:17" ht="15.45" x14ac:dyDescent="0.4">
      <c r="B842" s="1">
        <v>317</v>
      </c>
      <c r="C842" s="1">
        <v>3030.4141130766066</v>
      </c>
      <c r="D842" s="1">
        <v>1</v>
      </c>
      <c r="E842" s="1">
        <v>8964.4096116859819</v>
      </c>
      <c r="F842" s="1">
        <v>-1</v>
      </c>
      <c r="G842" s="1">
        <v>317</v>
      </c>
      <c r="H842" s="1">
        <v>1491.5610993649091</v>
      </c>
      <c r="I842" s="1">
        <v>1</v>
      </c>
      <c r="J842" s="1">
        <v>2285.4749912507896</v>
      </c>
      <c r="K842" s="1">
        <v>1</v>
      </c>
      <c r="L842" s="1">
        <v>147</v>
      </c>
      <c r="M842" s="18">
        <v>40</v>
      </c>
      <c r="N842" s="1">
        <v>40</v>
      </c>
      <c r="O842" s="1">
        <v>1</v>
      </c>
      <c r="P842" s="1">
        <v>232</v>
      </c>
      <c r="Q842" s="1">
        <v>0</v>
      </c>
    </row>
    <row r="843" spans="2:17" ht="15.45" x14ac:dyDescent="0.4">
      <c r="B843" s="1">
        <v>318</v>
      </c>
      <c r="C843" s="1">
        <v>3032.2493773136712</v>
      </c>
      <c r="D843" s="1">
        <v>1</v>
      </c>
      <c r="E843" s="1">
        <v>8966.3348795383572</v>
      </c>
      <c r="F843" s="1">
        <v>-1</v>
      </c>
      <c r="G843" s="1">
        <v>318</v>
      </c>
      <c r="H843" s="1">
        <v>4378.1827534664853</v>
      </c>
      <c r="I843" s="1">
        <v>-1</v>
      </c>
      <c r="J843" s="1">
        <v>2286.5321305376488</v>
      </c>
      <c r="K843" s="1">
        <v>1</v>
      </c>
      <c r="L843" s="1">
        <v>148</v>
      </c>
      <c r="M843" s="18">
        <v>40</v>
      </c>
      <c r="N843" s="1">
        <v>40</v>
      </c>
      <c r="O843" s="1">
        <v>1</v>
      </c>
      <c r="P843" s="1">
        <v>233</v>
      </c>
      <c r="Q843" s="1">
        <v>0</v>
      </c>
    </row>
    <row r="844" spans="2:17" ht="15.45" x14ac:dyDescent="0.4">
      <c r="B844" s="1">
        <v>319</v>
      </c>
      <c r="C844" s="1">
        <v>3040.0567932009335</v>
      </c>
      <c r="D844" s="1">
        <v>1</v>
      </c>
      <c r="E844" s="1">
        <v>8968.3517768803413</v>
      </c>
      <c r="F844" s="1">
        <v>-1</v>
      </c>
      <c r="G844" s="1">
        <v>319</v>
      </c>
      <c r="H844" s="1">
        <v>1508.8534994574479</v>
      </c>
      <c r="I844" s="1">
        <v>1</v>
      </c>
      <c r="J844" s="1">
        <v>2293.9261953621758</v>
      </c>
      <c r="K844" s="1">
        <v>1</v>
      </c>
      <c r="L844" s="1">
        <v>149</v>
      </c>
      <c r="M844" s="18">
        <v>40</v>
      </c>
      <c r="N844" s="1">
        <v>40</v>
      </c>
      <c r="O844" s="1">
        <v>1</v>
      </c>
      <c r="P844" s="1">
        <v>234</v>
      </c>
      <c r="Q844" s="1">
        <v>0</v>
      </c>
    </row>
    <row r="845" spans="2:17" ht="15.45" x14ac:dyDescent="0.4">
      <c r="B845" s="1">
        <v>320</v>
      </c>
      <c r="C845" s="1">
        <v>3046.6447284473606</v>
      </c>
      <c r="D845" s="1">
        <v>1</v>
      </c>
      <c r="E845" s="1">
        <v>8997.4353837918134</v>
      </c>
      <c r="F845" s="1">
        <v>-1</v>
      </c>
      <c r="G845" s="1">
        <v>320</v>
      </c>
      <c r="H845" s="1">
        <v>4389.6512955847656</v>
      </c>
      <c r="I845" s="1">
        <v>-1</v>
      </c>
      <c r="J845" s="1">
        <v>2294.3192775580055</v>
      </c>
      <c r="K845" s="1">
        <v>1</v>
      </c>
      <c r="L845" s="1">
        <v>150</v>
      </c>
      <c r="M845" s="18">
        <v>40</v>
      </c>
      <c r="N845" s="1">
        <v>40</v>
      </c>
      <c r="O845" s="1">
        <v>1</v>
      </c>
      <c r="P845" s="1">
        <v>235</v>
      </c>
      <c r="Q845" s="1">
        <v>0</v>
      </c>
    </row>
    <row r="846" spans="2:17" ht="15.45" x14ac:dyDescent="0.4">
      <c r="B846" s="1">
        <v>321</v>
      </c>
      <c r="C846" s="1">
        <v>3070.6974074363743</v>
      </c>
      <c r="D846" s="1">
        <v>1</v>
      </c>
      <c r="E846" s="1">
        <v>9043.1637622117469</v>
      </c>
      <c r="F846" s="1">
        <v>-1</v>
      </c>
      <c r="G846" s="1">
        <v>321</v>
      </c>
      <c r="H846" s="1">
        <v>1530.6843313700303</v>
      </c>
      <c r="I846" s="1">
        <v>1</v>
      </c>
      <c r="J846" s="1">
        <v>2295.7750668305926</v>
      </c>
      <c r="K846" s="1">
        <v>1</v>
      </c>
      <c r="L846" s="1">
        <v>151</v>
      </c>
      <c r="M846" s="18">
        <v>40</v>
      </c>
      <c r="N846" s="1">
        <v>40</v>
      </c>
      <c r="O846" s="1">
        <v>1</v>
      </c>
      <c r="P846" s="1">
        <v>236</v>
      </c>
      <c r="Q846" s="1">
        <v>0</v>
      </c>
    </row>
    <row r="847" spans="2:17" ht="15.45" x14ac:dyDescent="0.4">
      <c r="B847" s="1">
        <v>322</v>
      </c>
      <c r="C847" s="1">
        <v>3080.1115177804145</v>
      </c>
      <c r="D847" s="1">
        <v>1</v>
      </c>
      <c r="E847" s="1">
        <v>9190.5602088837095</v>
      </c>
      <c r="F847" s="1">
        <v>-1</v>
      </c>
      <c r="G847" s="1">
        <v>322</v>
      </c>
      <c r="H847" s="1">
        <v>4392.7278599883712</v>
      </c>
      <c r="I847" s="1">
        <v>-1</v>
      </c>
      <c r="J847" s="1">
        <v>2301.2642248238949</v>
      </c>
      <c r="K847" s="1">
        <v>1</v>
      </c>
      <c r="L847" s="1">
        <v>152</v>
      </c>
      <c r="M847" s="18">
        <v>40</v>
      </c>
      <c r="N847" s="1">
        <v>40</v>
      </c>
      <c r="O847" s="1">
        <v>1</v>
      </c>
      <c r="P847" s="1">
        <v>237</v>
      </c>
      <c r="Q847" s="1">
        <v>0</v>
      </c>
    </row>
    <row r="848" spans="2:17" ht="15.45" x14ac:dyDescent="0.4">
      <c r="B848" s="1">
        <v>323</v>
      </c>
      <c r="C848" s="1">
        <v>3096.8549966315172</v>
      </c>
      <c r="D848" s="1">
        <v>1</v>
      </c>
      <c r="E848" s="1">
        <v>9215.6349405142555</v>
      </c>
      <c r="F848" s="1">
        <v>-1</v>
      </c>
      <c r="G848" s="1">
        <v>323</v>
      </c>
      <c r="H848" s="1">
        <v>1557.8439981647311</v>
      </c>
      <c r="I848" s="1">
        <v>1</v>
      </c>
      <c r="J848" s="1">
        <v>2305.6010345706727</v>
      </c>
      <c r="K848" s="1">
        <v>1</v>
      </c>
      <c r="L848" s="1">
        <v>153</v>
      </c>
      <c r="M848" s="18">
        <v>40</v>
      </c>
      <c r="N848" s="1">
        <v>40</v>
      </c>
      <c r="O848" s="1">
        <v>1</v>
      </c>
      <c r="P848" s="1">
        <v>238</v>
      </c>
      <c r="Q848" s="1">
        <v>0</v>
      </c>
    </row>
    <row r="849" spans="2:17" ht="15.45" x14ac:dyDescent="0.4">
      <c r="B849" s="1">
        <v>324</v>
      </c>
      <c r="C849" s="1">
        <v>3121.5694040908406</v>
      </c>
      <c r="D849" s="1">
        <v>1</v>
      </c>
      <c r="E849" s="1">
        <v>9294.6576755266233</v>
      </c>
      <c r="F849" s="1">
        <v>-1</v>
      </c>
      <c r="G849" s="1">
        <v>324</v>
      </c>
      <c r="H849" s="1">
        <v>4432.5287765609719</v>
      </c>
      <c r="I849" s="1">
        <v>-1</v>
      </c>
      <c r="J849" s="1">
        <v>2310.7267562868624</v>
      </c>
      <c r="K849" s="1">
        <v>-1</v>
      </c>
      <c r="L849" s="1">
        <v>152</v>
      </c>
      <c r="M849" s="18">
        <v>40</v>
      </c>
      <c r="N849" s="1">
        <v>40</v>
      </c>
      <c r="O849" s="1">
        <v>0</v>
      </c>
      <c r="P849" s="1">
        <v>0</v>
      </c>
      <c r="Q849" s="1">
        <v>0</v>
      </c>
    </row>
    <row r="850" spans="2:17" ht="15.45" x14ac:dyDescent="0.4">
      <c r="B850" s="1">
        <v>325</v>
      </c>
      <c r="C850" s="1">
        <v>3140.4443584842047</v>
      </c>
      <c r="D850" s="1">
        <v>1</v>
      </c>
      <c r="E850" s="1">
        <v>9318.2547729015278</v>
      </c>
      <c r="F850" s="1">
        <v>-1</v>
      </c>
      <c r="G850" s="1">
        <v>325</v>
      </c>
      <c r="H850" s="1">
        <v>1573.3813747056681</v>
      </c>
      <c r="I850" s="1">
        <v>1</v>
      </c>
      <c r="J850" s="1">
        <v>2359.2958143196597</v>
      </c>
      <c r="K850" s="1">
        <v>1</v>
      </c>
      <c r="L850" s="1">
        <v>153</v>
      </c>
      <c r="M850" s="18">
        <v>40</v>
      </c>
      <c r="N850" s="1">
        <v>40</v>
      </c>
      <c r="O850" s="1">
        <v>1</v>
      </c>
      <c r="P850" s="1">
        <v>239</v>
      </c>
      <c r="Q850" s="1">
        <v>0</v>
      </c>
    </row>
    <row r="851" spans="2:17" ht="15.45" x14ac:dyDescent="0.4">
      <c r="B851" s="1">
        <v>326</v>
      </c>
      <c r="C851" s="1">
        <v>3140.9140957938575</v>
      </c>
      <c r="D851" s="1">
        <v>1</v>
      </c>
      <c r="E851" s="1">
        <v>9435.8940534625199</v>
      </c>
      <c r="F851" s="1">
        <v>-1</v>
      </c>
      <c r="G851" s="1">
        <v>326</v>
      </c>
      <c r="H851" s="1">
        <v>4500.6630173352978</v>
      </c>
      <c r="I851" s="1">
        <v>-1</v>
      </c>
      <c r="J851" s="1">
        <v>2362.5067605871091</v>
      </c>
      <c r="K851" s="1">
        <v>1</v>
      </c>
      <c r="L851" s="1">
        <v>154</v>
      </c>
      <c r="M851" s="18">
        <v>40</v>
      </c>
      <c r="N851" s="1">
        <v>40</v>
      </c>
      <c r="O851" s="1">
        <v>1</v>
      </c>
      <c r="P851" s="1">
        <v>240</v>
      </c>
      <c r="Q851" s="1">
        <v>0</v>
      </c>
    </row>
    <row r="852" spans="2:17" ht="15.45" x14ac:dyDescent="0.4">
      <c r="B852" s="1">
        <v>327</v>
      </c>
      <c r="C852" s="1">
        <v>3146.0208950485098</v>
      </c>
      <c r="D852" s="1">
        <v>1</v>
      </c>
      <c r="E852" s="1">
        <v>9448.508414394817</v>
      </c>
      <c r="F852" s="1">
        <v>-1</v>
      </c>
      <c r="G852" s="1">
        <v>327</v>
      </c>
      <c r="H852" s="1">
        <v>1576.338355539322</v>
      </c>
      <c r="I852" s="1">
        <v>1</v>
      </c>
      <c r="J852" s="1">
        <v>2369.3572940617869</v>
      </c>
      <c r="K852" s="1">
        <v>-1</v>
      </c>
      <c r="L852" s="1">
        <v>153</v>
      </c>
      <c r="M852" s="18">
        <v>40</v>
      </c>
      <c r="N852" s="1">
        <v>39</v>
      </c>
      <c r="O852" s="1">
        <v>0</v>
      </c>
      <c r="P852" s="1">
        <v>0</v>
      </c>
      <c r="Q852" s="1">
        <v>0</v>
      </c>
    </row>
    <row r="853" spans="2:17" ht="15.45" x14ac:dyDescent="0.4">
      <c r="B853" s="1">
        <v>328</v>
      </c>
      <c r="C853" s="1">
        <v>3151.462969066456</v>
      </c>
      <c r="D853" s="1">
        <v>1</v>
      </c>
      <c r="E853" s="1">
        <v>9474.9379313417958</v>
      </c>
      <c r="F853" s="1">
        <v>-1</v>
      </c>
      <c r="G853" s="1">
        <v>328</v>
      </c>
      <c r="H853" s="1">
        <v>4571.6665290027804</v>
      </c>
      <c r="I853" s="1">
        <v>-1</v>
      </c>
      <c r="J853" s="1">
        <v>2369.6704672283049</v>
      </c>
      <c r="K853" s="1">
        <v>-1</v>
      </c>
      <c r="L853" s="1">
        <v>152</v>
      </c>
      <c r="M853" s="18">
        <v>40</v>
      </c>
      <c r="N853" s="1">
        <v>39</v>
      </c>
      <c r="O853" s="1">
        <v>0</v>
      </c>
      <c r="P853" s="1">
        <v>0</v>
      </c>
      <c r="Q853" s="1">
        <v>0</v>
      </c>
    </row>
    <row r="854" spans="2:17" ht="15.45" x14ac:dyDescent="0.4">
      <c r="B854" s="1">
        <v>329</v>
      </c>
      <c r="C854" s="1">
        <v>3169.3328259475675</v>
      </c>
      <c r="D854" s="1">
        <v>1</v>
      </c>
      <c r="E854" s="1">
        <v>9487.749739118759</v>
      </c>
      <c r="F854" s="1">
        <v>-1</v>
      </c>
      <c r="G854" s="1">
        <v>329</v>
      </c>
      <c r="H854" s="1">
        <v>1584.6356824369866</v>
      </c>
      <c r="I854" s="1">
        <v>1</v>
      </c>
      <c r="J854" s="1">
        <v>2377.4625783353831</v>
      </c>
      <c r="K854" s="1">
        <v>1</v>
      </c>
      <c r="L854" s="1">
        <v>153</v>
      </c>
      <c r="M854" s="18">
        <v>40</v>
      </c>
      <c r="N854" s="1">
        <v>40</v>
      </c>
      <c r="O854" s="1">
        <v>0</v>
      </c>
      <c r="P854" s="1">
        <v>0</v>
      </c>
      <c r="Q854" s="1">
        <v>0</v>
      </c>
    </row>
    <row r="855" spans="2:17" ht="15.45" x14ac:dyDescent="0.4">
      <c r="B855" s="1">
        <v>330</v>
      </c>
      <c r="C855" s="1">
        <v>3188.876338539209</v>
      </c>
      <c r="D855" s="1">
        <v>1</v>
      </c>
      <c r="E855" s="1">
        <v>9498.2286058684585</v>
      </c>
      <c r="F855" s="1">
        <v>-1</v>
      </c>
      <c r="G855" s="1">
        <v>330</v>
      </c>
      <c r="H855" s="1">
        <v>4634.7113578253648</v>
      </c>
      <c r="I855" s="1">
        <v>-1</v>
      </c>
      <c r="J855" s="1">
        <v>2390.4953768565788</v>
      </c>
      <c r="K855" s="1">
        <v>-1</v>
      </c>
      <c r="L855" s="1">
        <v>152</v>
      </c>
      <c r="M855" s="18">
        <v>40</v>
      </c>
      <c r="N855" s="1">
        <v>40</v>
      </c>
      <c r="O855" s="1">
        <v>0</v>
      </c>
      <c r="P855" s="1">
        <v>0</v>
      </c>
      <c r="Q855" s="1">
        <v>0</v>
      </c>
    </row>
    <row r="856" spans="2:17" ht="15.45" x14ac:dyDescent="0.4">
      <c r="B856" s="1">
        <v>331</v>
      </c>
      <c r="C856" s="1">
        <v>3188.9807295947148</v>
      </c>
      <c r="D856" s="1">
        <v>1</v>
      </c>
      <c r="E856" s="1">
        <v>9503.7343985796524</v>
      </c>
      <c r="F856" s="1">
        <v>-1</v>
      </c>
      <c r="G856" s="1">
        <v>331</v>
      </c>
      <c r="H856" s="1">
        <v>1590.0046478696052</v>
      </c>
      <c r="I856" s="1">
        <v>1</v>
      </c>
      <c r="J856" s="1">
        <v>2392.5295634957506</v>
      </c>
      <c r="K856" s="1">
        <v>1</v>
      </c>
      <c r="L856" s="1">
        <v>153</v>
      </c>
      <c r="M856" s="18">
        <v>40</v>
      </c>
      <c r="N856" s="1">
        <v>40</v>
      </c>
      <c r="O856" s="1">
        <v>1</v>
      </c>
      <c r="P856" s="1">
        <v>242</v>
      </c>
      <c r="Q856" s="1">
        <v>0</v>
      </c>
    </row>
    <row r="857" spans="2:17" ht="15.45" x14ac:dyDescent="0.4">
      <c r="B857" s="1">
        <v>332</v>
      </c>
      <c r="C857" s="1">
        <v>3195.9223661374726</v>
      </c>
      <c r="D857" s="1">
        <v>1</v>
      </c>
      <c r="E857" s="1">
        <v>9527.1566462414394</v>
      </c>
      <c r="F857" s="1">
        <v>-1</v>
      </c>
      <c r="G857" s="1">
        <v>332</v>
      </c>
      <c r="H857" s="1">
        <v>4731.5519964069408</v>
      </c>
      <c r="I857" s="1">
        <v>-1</v>
      </c>
      <c r="J857" s="1">
        <v>2393.9647176275203</v>
      </c>
      <c r="K857" s="1">
        <v>-1</v>
      </c>
      <c r="L857" s="1">
        <v>152</v>
      </c>
      <c r="M857" s="18">
        <v>40</v>
      </c>
      <c r="N857" s="1">
        <v>40</v>
      </c>
      <c r="O857" s="1">
        <v>0</v>
      </c>
      <c r="P857" s="1">
        <v>0</v>
      </c>
      <c r="Q857" s="1">
        <v>0</v>
      </c>
    </row>
    <row r="858" spans="2:17" ht="15.45" x14ac:dyDescent="0.4">
      <c r="B858" s="1">
        <v>333</v>
      </c>
      <c r="C858" s="1">
        <v>3197.0788130611199</v>
      </c>
      <c r="D858" s="1">
        <v>1</v>
      </c>
      <c r="E858" s="1">
        <v>9546.9204519807208</v>
      </c>
      <c r="F858" s="1">
        <v>-1</v>
      </c>
      <c r="G858" s="1">
        <v>333</v>
      </c>
      <c r="H858" s="1">
        <v>1590.9007685016923</v>
      </c>
      <c r="I858" s="1">
        <v>1</v>
      </c>
      <c r="J858" s="1">
        <v>2395.9611401426146</v>
      </c>
      <c r="K858" s="1">
        <v>1</v>
      </c>
      <c r="L858" s="1">
        <v>153</v>
      </c>
      <c r="M858" s="18">
        <v>40</v>
      </c>
      <c r="N858" s="1">
        <v>40</v>
      </c>
      <c r="O858" s="1">
        <v>1</v>
      </c>
      <c r="P858" s="1">
        <v>243</v>
      </c>
      <c r="Q858" s="1">
        <v>0</v>
      </c>
    </row>
    <row r="859" spans="2:17" ht="15.45" x14ac:dyDescent="0.4">
      <c r="B859" s="1">
        <v>334</v>
      </c>
      <c r="C859" s="1">
        <v>3209.2287902756789</v>
      </c>
      <c r="D859" s="1">
        <v>1</v>
      </c>
      <c r="E859" s="1">
        <v>9619.0784889477618</v>
      </c>
      <c r="F859" s="1">
        <v>-1</v>
      </c>
      <c r="G859" s="1">
        <v>334</v>
      </c>
      <c r="H859" s="1">
        <v>4767.2065932224959</v>
      </c>
      <c r="I859" s="1">
        <v>-1</v>
      </c>
      <c r="J859" s="1">
        <v>2402.2062866830811</v>
      </c>
      <c r="K859" s="1">
        <v>1</v>
      </c>
      <c r="L859" s="1">
        <v>154</v>
      </c>
      <c r="M859" s="18">
        <v>40</v>
      </c>
      <c r="N859" s="1">
        <v>40</v>
      </c>
      <c r="O859" s="1">
        <v>1</v>
      </c>
      <c r="P859" s="1">
        <v>244</v>
      </c>
      <c r="Q859" s="1">
        <v>0</v>
      </c>
    </row>
    <row r="860" spans="2:17" ht="15.45" x14ac:dyDescent="0.4">
      <c r="B860" s="1">
        <v>335</v>
      </c>
      <c r="C860" s="1">
        <v>3247.0062815441115</v>
      </c>
      <c r="D860" s="1">
        <v>1</v>
      </c>
      <c r="E860" s="1">
        <v>9647.3208199798828</v>
      </c>
      <c r="F860" s="1">
        <v>-1</v>
      </c>
      <c r="G860" s="1">
        <v>335</v>
      </c>
      <c r="H860" s="1">
        <v>1605.4097062727819</v>
      </c>
      <c r="I860" s="1">
        <v>1</v>
      </c>
      <c r="J860" s="1">
        <v>2414.5785513858955</v>
      </c>
      <c r="K860" s="1">
        <v>1</v>
      </c>
      <c r="L860" s="1">
        <v>155</v>
      </c>
      <c r="M860" s="18">
        <v>40</v>
      </c>
      <c r="N860" s="1">
        <v>40</v>
      </c>
      <c r="O860" s="1">
        <v>1</v>
      </c>
      <c r="P860" s="1">
        <v>245</v>
      </c>
      <c r="Q860" s="1">
        <v>0</v>
      </c>
    </row>
    <row r="861" spans="2:17" ht="15.45" x14ac:dyDescent="0.4">
      <c r="B861" s="1">
        <v>336</v>
      </c>
      <c r="C861" s="1">
        <v>3256.9885034984504</v>
      </c>
      <c r="D861" s="1">
        <v>1</v>
      </c>
      <c r="E861" s="1">
        <v>9697.5512565331919</v>
      </c>
      <c r="F861" s="1">
        <v>-1</v>
      </c>
      <c r="G861" s="1">
        <v>336</v>
      </c>
      <c r="H861" s="1">
        <v>4791.8152534758783</v>
      </c>
      <c r="I861" s="1">
        <v>-1</v>
      </c>
      <c r="J861" s="1">
        <v>2417.2300343293596</v>
      </c>
      <c r="K861" s="1">
        <v>1</v>
      </c>
      <c r="L861" s="1">
        <v>156</v>
      </c>
      <c r="M861" s="18">
        <v>40</v>
      </c>
      <c r="N861" s="1">
        <v>40</v>
      </c>
      <c r="O861" s="1">
        <v>1</v>
      </c>
      <c r="P861" s="1">
        <v>246</v>
      </c>
      <c r="Q861" s="1">
        <v>0</v>
      </c>
    </row>
    <row r="862" spans="2:17" ht="15.45" x14ac:dyDescent="0.4">
      <c r="B862" s="1">
        <v>337</v>
      </c>
      <c r="C862" s="1">
        <v>3270.9093885045872</v>
      </c>
      <c r="D862" s="1">
        <v>1</v>
      </c>
      <c r="E862" s="1">
        <v>9771.6944789111622</v>
      </c>
      <c r="F862" s="1">
        <v>-1</v>
      </c>
      <c r="G862" s="1">
        <v>337</v>
      </c>
      <c r="H862" s="1">
        <v>1621.9521829873734</v>
      </c>
      <c r="I862" s="1">
        <v>1</v>
      </c>
      <c r="J862" s="1">
        <v>2427.1417818270961</v>
      </c>
      <c r="K862" s="1">
        <v>1</v>
      </c>
      <c r="L862" s="1">
        <v>157</v>
      </c>
      <c r="M862" s="18">
        <v>40</v>
      </c>
      <c r="N862" s="1">
        <v>40</v>
      </c>
      <c r="O862" s="1">
        <v>1</v>
      </c>
      <c r="P862" s="1">
        <v>247</v>
      </c>
      <c r="Q862" s="1">
        <v>0</v>
      </c>
    </row>
    <row r="863" spans="2:17" ht="15.45" x14ac:dyDescent="0.4">
      <c r="B863" s="1">
        <v>338</v>
      </c>
      <c r="C863" s="1">
        <v>3271.8857272485693</v>
      </c>
      <c r="D863" s="1">
        <v>1</v>
      </c>
      <c r="E863" s="1">
        <v>9828.3193420912539</v>
      </c>
      <c r="F863" s="1">
        <v>-1</v>
      </c>
      <c r="G863" s="1">
        <v>338</v>
      </c>
      <c r="H863" s="1">
        <v>4827.8651471832854</v>
      </c>
      <c r="I863" s="1">
        <v>-1</v>
      </c>
      <c r="J863" s="1">
        <v>2429.4959432170217</v>
      </c>
      <c r="K863" s="1">
        <v>1</v>
      </c>
      <c r="L863" s="1">
        <v>158</v>
      </c>
      <c r="M863" s="18">
        <v>40</v>
      </c>
      <c r="N863" s="1">
        <v>40</v>
      </c>
      <c r="O863" s="1">
        <v>1</v>
      </c>
      <c r="P863" s="1">
        <v>248</v>
      </c>
      <c r="Q863" s="1">
        <v>0</v>
      </c>
    </row>
    <row r="864" spans="2:17" ht="15.45" x14ac:dyDescent="0.4">
      <c r="B864" s="1">
        <v>339</v>
      </c>
      <c r="C864" s="1">
        <v>3274.9393441506541</v>
      </c>
      <c r="D864" s="1">
        <v>1</v>
      </c>
      <c r="E864" s="1">
        <v>9829.728554020212</v>
      </c>
      <c r="F864" s="1">
        <v>-1</v>
      </c>
      <c r="G864" s="1">
        <v>339</v>
      </c>
      <c r="H864" s="1">
        <v>1624.0167718270693</v>
      </c>
      <c r="I864" s="1">
        <v>1</v>
      </c>
      <c r="J864" s="1">
        <v>2430.4146492711966</v>
      </c>
      <c r="K864" s="1">
        <v>-1</v>
      </c>
      <c r="L864" s="1">
        <v>157</v>
      </c>
      <c r="M864" s="18">
        <v>40</v>
      </c>
      <c r="N864" s="1">
        <v>40</v>
      </c>
      <c r="O864" s="1">
        <v>0</v>
      </c>
      <c r="P864" s="1">
        <v>0</v>
      </c>
      <c r="Q864" s="1">
        <v>0</v>
      </c>
    </row>
    <row r="865" spans="2:17" ht="15.45" x14ac:dyDescent="0.4">
      <c r="B865" s="1">
        <v>340</v>
      </c>
      <c r="C865" s="1">
        <v>3275.3622930241063</v>
      </c>
      <c r="D865" s="1">
        <v>1</v>
      </c>
      <c r="E865" s="1">
        <v>9845.0489517841688</v>
      </c>
      <c r="F865" s="1">
        <v>-1</v>
      </c>
      <c r="G865" s="1">
        <v>340</v>
      </c>
      <c r="H865" s="1">
        <v>4837.2039599456793</v>
      </c>
      <c r="I865" s="1">
        <v>-1</v>
      </c>
      <c r="J865" s="1">
        <v>2441.2972215962586</v>
      </c>
      <c r="K865" s="1">
        <v>1</v>
      </c>
      <c r="L865" s="1">
        <v>158</v>
      </c>
      <c r="M865" s="18">
        <v>40</v>
      </c>
      <c r="N865" s="1">
        <v>40</v>
      </c>
      <c r="O865" s="1">
        <v>1</v>
      </c>
      <c r="P865" s="1">
        <v>249</v>
      </c>
      <c r="Q865" s="1">
        <v>0</v>
      </c>
    </row>
    <row r="866" spans="2:17" ht="15.45" x14ac:dyDescent="0.4">
      <c r="B866" s="1">
        <v>341</v>
      </c>
      <c r="C866" s="1">
        <v>3286.9065569717109</v>
      </c>
      <c r="D866" s="1">
        <v>1</v>
      </c>
      <c r="E866" s="1">
        <v>9861.375173838007</v>
      </c>
      <c r="F866" s="1">
        <v>-1</v>
      </c>
      <c r="G866" s="1">
        <v>341</v>
      </c>
      <c r="H866" s="1">
        <v>1638.096110220921</v>
      </c>
      <c r="I866" s="1">
        <v>1</v>
      </c>
      <c r="J866" s="1">
        <v>2514.8802566671111</v>
      </c>
      <c r="K866" s="1">
        <v>1</v>
      </c>
      <c r="L866" s="1">
        <v>159</v>
      </c>
      <c r="M866" s="18">
        <v>40</v>
      </c>
      <c r="N866" s="1">
        <v>40</v>
      </c>
      <c r="O866" s="1">
        <v>1</v>
      </c>
      <c r="P866" s="1">
        <v>250</v>
      </c>
      <c r="Q866" s="1">
        <v>0</v>
      </c>
    </row>
    <row r="867" spans="2:17" ht="15.45" x14ac:dyDescent="0.4">
      <c r="B867" s="1">
        <v>342</v>
      </c>
      <c r="C867" s="1">
        <v>3295.8805407002369</v>
      </c>
      <c r="D867" s="1">
        <v>1</v>
      </c>
      <c r="E867" s="1">
        <v>9914.9847444813404</v>
      </c>
      <c r="F867" s="1">
        <v>-1</v>
      </c>
      <c r="G867" s="1">
        <v>342</v>
      </c>
      <c r="H867" s="1">
        <v>4859.9149510153129</v>
      </c>
      <c r="I867" s="1">
        <v>-1</v>
      </c>
      <c r="J867" s="1">
        <v>2522.5076359921654</v>
      </c>
      <c r="K867" s="1">
        <v>1</v>
      </c>
      <c r="L867" s="1">
        <v>160</v>
      </c>
      <c r="M867" s="18">
        <v>40</v>
      </c>
      <c r="N867" s="1">
        <v>40</v>
      </c>
      <c r="O867" s="1">
        <v>1</v>
      </c>
      <c r="P867" s="1">
        <v>251</v>
      </c>
      <c r="Q867" s="1">
        <v>0</v>
      </c>
    </row>
    <row r="868" spans="2:17" ht="15.45" x14ac:dyDescent="0.4">
      <c r="B868" s="1">
        <v>343</v>
      </c>
      <c r="C868" s="1">
        <v>3305.1239245289521</v>
      </c>
      <c r="D868" s="1">
        <v>1</v>
      </c>
      <c r="E868" s="1">
        <v>9973.6152822562653</v>
      </c>
      <c r="F868" s="1">
        <v>-1</v>
      </c>
      <c r="G868" s="1">
        <v>343</v>
      </c>
      <c r="H868" s="1">
        <v>1656.340461288431</v>
      </c>
      <c r="I868" s="1">
        <v>1</v>
      </c>
      <c r="J868" s="1">
        <v>2522.5378435874313</v>
      </c>
      <c r="K868" s="1">
        <v>1</v>
      </c>
      <c r="L868" s="1">
        <v>161</v>
      </c>
      <c r="M868" s="18">
        <v>40</v>
      </c>
      <c r="N868" s="1">
        <v>40</v>
      </c>
      <c r="O868" s="1">
        <v>1</v>
      </c>
      <c r="P868" s="1">
        <v>252</v>
      </c>
      <c r="Q868" s="1">
        <v>0</v>
      </c>
    </row>
    <row r="869" spans="2:17" ht="15.45" x14ac:dyDescent="0.4">
      <c r="B869" s="1">
        <v>344</v>
      </c>
      <c r="C869" s="1">
        <v>3313.5779445798889</v>
      </c>
      <c r="D869" s="1">
        <v>1</v>
      </c>
      <c r="E869" s="1">
        <v>9973.9284554227834</v>
      </c>
      <c r="F869" s="1">
        <v>-1</v>
      </c>
      <c r="G869" s="1">
        <v>344</v>
      </c>
      <c r="H869" s="1">
        <v>4881.6695647333736</v>
      </c>
      <c r="I869" s="1">
        <v>-1</v>
      </c>
      <c r="J869" s="1">
        <v>2525.2833322146994</v>
      </c>
      <c r="K869" s="1">
        <v>1</v>
      </c>
      <c r="L869" s="1">
        <v>162</v>
      </c>
      <c r="M869" s="18">
        <v>40</v>
      </c>
      <c r="N869" s="1">
        <v>40</v>
      </c>
      <c r="O869" s="1">
        <v>1</v>
      </c>
      <c r="P869" s="1">
        <v>253</v>
      </c>
      <c r="Q869" s="1">
        <v>0</v>
      </c>
    </row>
    <row r="870" spans="2:17" ht="15.45" x14ac:dyDescent="0.4">
      <c r="B870" s="1">
        <v>345</v>
      </c>
      <c r="C870" s="1">
        <v>3324.5912621143602</v>
      </c>
      <c r="D870" s="1">
        <v>1</v>
      </c>
      <c r="E870" s="1">
        <v>9994.7533650510577</v>
      </c>
      <c r="F870" s="1">
        <v>-1</v>
      </c>
      <c r="G870" s="1">
        <v>345</v>
      </c>
      <c r="H870" s="1">
        <v>1657.1879681035825</v>
      </c>
      <c r="I870" s="1">
        <v>1</v>
      </c>
      <c r="J870" s="1">
        <v>2526.4717721848701</v>
      </c>
      <c r="K870" s="1">
        <v>1</v>
      </c>
      <c r="L870" s="1">
        <v>163</v>
      </c>
      <c r="M870" s="18">
        <v>40</v>
      </c>
      <c r="N870" s="1">
        <v>40</v>
      </c>
      <c r="O870" s="1">
        <v>1</v>
      </c>
      <c r="P870" s="1">
        <v>254</v>
      </c>
      <c r="Q870" s="1">
        <v>0</v>
      </c>
    </row>
    <row r="871" spans="2:17" ht="15.45" x14ac:dyDescent="0.4">
      <c r="B871" s="1">
        <v>346</v>
      </c>
      <c r="C871" s="1">
        <v>3329.2160570293486</v>
      </c>
      <c r="D871" s="1">
        <v>1</v>
      </c>
      <c r="E871" s="1">
        <v>9998.2227058219996</v>
      </c>
      <c r="F871" s="1">
        <v>-1</v>
      </c>
      <c r="G871" s="1">
        <v>346</v>
      </c>
      <c r="H871" s="1">
        <v>4933.5467650109904</v>
      </c>
      <c r="I871" s="1">
        <v>-1</v>
      </c>
      <c r="J871" s="1">
        <v>2533.1939214044</v>
      </c>
      <c r="K871" s="1">
        <v>1</v>
      </c>
      <c r="L871" s="1">
        <v>164</v>
      </c>
      <c r="M871" s="18">
        <v>40</v>
      </c>
      <c r="N871" s="1">
        <v>40</v>
      </c>
      <c r="O871" s="1">
        <v>1</v>
      </c>
      <c r="P871" s="1">
        <v>255</v>
      </c>
      <c r="Q871" s="1">
        <v>0</v>
      </c>
    </row>
    <row r="872" spans="2:17" ht="15.45" x14ac:dyDescent="0.4">
      <c r="B872" s="1">
        <v>347</v>
      </c>
      <c r="C872" s="1">
        <v>3331.7743241647199</v>
      </c>
      <c r="D872" s="1">
        <v>1</v>
      </c>
      <c r="E872" s="1">
        <v>10034.672637465676</v>
      </c>
      <c r="F872" s="1">
        <v>-1</v>
      </c>
      <c r="G872" s="1">
        <v>347</v>
      </c>
      <c r="H872" s="1">
        <v>1660.7204179371963</v>
      </c>
      <c r="I872" s="1">
        <v>1</v>
      </c>
      <c r="J872" s="1">
        <v>2534.7526627314951</v>
      </c>
      <c r="K872" s="1">
        <v>1</v>
      </c>
      <c r="L872" s="1">
        <v>165</v>
      </c>
      <c r="M872" s="18">
        <v>40</v>
      </c>
      <c r="N872" s="1">
        <v>40</v>
      </c>
      <c r="O872" s="1">
        <v>1</v>
      </c>
      <c r="P872" s="1">
        <v>256</v>
      </c>
      <c r="Q872" s="1">
        <v>0</v>
      </c>
    </row>
    <row r="873" spans="2:17" ht="15.45" x14ac:dyDescent="0.4">
      <c r="B873" s="1">
        <v>348</v>
      </c>
      <c r="C873" s="1">
        <v>3336.4674779405755</v>
      </c>
      <c r="D873" s="1">
        <v>1</v>
      </c>
      <c r="E873" s="1">
        <v>10148.005111270973</v>
      </c>
      <c r="F873" s="1">
        <v>-1</v>
      </c>
      <c r="G873" s="1">
        <v>348</v>
      </c>
      <c r="H873" s="1">
        <v>4999.0392607487374</v>
      </c>
      <c r="I873" s="1">
        <v>-1</v>
      </c>
      <c r="J873" s="1">
        <v>2543.7471230764941</v>
      </c>
      <c r="K873" s="1">
        <v>-1</v>
      </c>
      <c r="L873" s="1">
        <v>164</v>
      </c>
      <c r="M873" s="18">
        <v>40</v>
      </c>
      <c r="N873" s="1">
        <v>40</v>
      </c>
      <c r="O873" s="1">
        <v>0</v>
      </c>
      <c r="P873" s="1">
        <v>0</v>
      </c>
      <c r="Q873" s="1">
        <v>0</v>
      </c>
    </row>
    <row r="874" spans="2:17" ht="15.45" x14ac:dyDescent="0.4">
      <c r="B874" s="1">
        <v>349</v>
      </c>
      <c r="C874" s="1">
        <v>3365.6934212813476</v>
      </c>
      <c r="D874" s="1">
        <v>1</v>
      </c>
      <c r="E874" s="1">
        <v>10177.951777133991</v>
      </c>
      <c r="F874" s="1">
        <v>-1</v>
      </c>
      <c r="G874" s="1">
        <v>349</v>
      </c>
      <c r="H874" s="1">
        <v>1673.2303925773806</v>
      </c>
      <c r="I874" s="1">
        <v>1</v>
      </c>
      <c r="J874" s="1">
        <v>2544.0998012249011</v>
      </c>
      <c r="K874" s="1">
        <v>1</v>
      </c>
      <c r="L874" s="1">
        <v>165</v>
      </c>
      <c r="M874" s="18">
        <v>40</v>
      </c>
      <c r="N874" s="1">
        <v>40</v>
      </c>
      <c r="O874" s="1">
        <v>1</v>
      </c>
      <c r="P874" s="1">
        <v>257</v>
      </c>
      <c r="Q874" s="1">
        <v>0</v>
      </c>
    </row>
    <row r="875" spans="2:17" ht="15.45" x14ac:dyDescent="0.4">
      <c r="B875" s="1">
        <v>350</v>
      </c>
      <c r="C875" s="1">
        <v>3372.2003343059091</v>
      </c>
      <c r="D875" s="1">
        <v>1</v>
      </c>
      <c r="E875" s="1">
        <v>10219.714432152401</v>
      </c>
      <c r="F875" s="1">
        <v>-1</v>
      </c>
      <c r="G875" s="1">
        <v>350</v>
      </c>
      <c r="H875" s="1">
        <v>5080.5182611328401</v>
      </c>
      <c r="I875" s="1">
        <v>-1</v>
      </c>
      <c r="J875" s="1">
        <v>2547.3709159191094</v>
      </c>
      <c r="K875" s="1">
        <v>1</v>
      </c>
      <c r="L875" s="1">
        <v>166</v>
      </c>
      <c r="M875" s="18">
        <v>40</v>
      </c>
      <c r="N875" s="1">
        <v>40</v>
      </c>
      <c r="O875" s="1">
        <v>1</v>
      </c>
      <c r="P875" s="1">
        <v>258</v>
      </c>
      <c r="Q875" s="1">
        <v>0</v>
      </c>
    </row>
    <row r="876" spans="2:17" ht="15.45" x14ac:dyDescent="0.4">
      <c r="B876" s="1">
        <v>351</v>
      </c>
      <c r="C876" s="1">
        <v>3374.1764843082351</v>
      </c>
      <c r="D876" s="1">
        <v>1</v>
      </c>
      <c r="E876" s="1">
        <v>10222.643448384348</v>
      </c>
      <c r="F876" s="1">
        <v>-1</v>
      </c>
      <c r="G876" s="1">
        <v>351</v>
      </c>
      <c r="H876" s="1">
        <v>1703.5299028282234</v>
      </c>
      <c r="I876" s="1">
        <v>1</v>
      </c>
      <c r="J876" s="1">
        <v>2554.2589100846599</v>
      </c>
      <c r="K876" s="1">
        <v>1</v>
      </c>
      <c r="L876" s="1">
        <v>167</v>
      </c>
      <c r="M876" s="18">
        <v>40</v>
      </c>
      <c r="N876" s="1">
        <v>40</v>
      </c>
      <c r="O876" s="1">
        <v>1</v>
      </c>
      <c r="P876" s="1">
        <v>259</v>
      </c>
      <c r="Q876" s="1">
        <v>0</v>
      </c>
    </row>
    <row r="877" spans="2:17" ht="15.45" x14ac:dyDescent="0.4">
      <c r="B877" s="1">
        <v>352</v>
      </c>
      <c r="C877" s="1">
        <v>3381.2873002083948</v>
      </c>
      <c r="D877" s="1">
        <v>1</v>
      </c>
      <c r="E877" s="1">
        <v>10231.804299090601</v>
      </c>
      <c r="F877" s="1">
        <v>-1</v>
      </c>
      <c r="G877" s="1">
        <v>352</v>
      </c>
      <c r="H877" s="1">
        <v>5127.1303907556512</v>
      </c>
      <c r="I877" s="1">
        <v>-1</v>
      </c>
      <c r="J877" s="1">
        <v>2563.778389118972</v>
      </c>
      <c r="K877" s="1">
        <v>1</v>
      </c>
      <c r="L877" s="1">
        <v>168</v>
      </c>
      <c r="M877" s="18">
        <v>40</v>
      </c>
      <c r="N877" s="1">
        <v>40</v>
      </c>
      <c r="O877" s="1">
        <v>1</v>
      </c>
      <c r="P877" s="1">
        <v>260</v>
      </c>
      <c r="Q877" s="1">
        <v>0</v>
      </c>
    </row>
    <row r="878" spans="2:17" ht="15.45" x14ac:dyDescent="0.4">
      <c r="B878" s="1">
        <v>353</v>
      </c>
      <c r="C878" s="1">
        <v>3389.9982599161463</v>
      </c>
      <c r="D878" s="1">
        <v>1</v>
      </c>
      <c r="E878" s="1">
        <v>10233.073145710958</v>
      </c>
      <c r="F878" s="1">
        <v>-1</v>
      </c>
      <c r="G878" s="1">
        <v>353</v>
      </c>
      <c r="H878" s="1">
        <v>1716.5040925527674</v>
      </c>
      <c r="I878" s="1">
        <v>1</v>
      </c>
      <c r="J878" s="1">
        <v>2571.4954222474094</v>
      </c>
      <c r="K878" s="1">
        <v>1</v>
      </c>
      <c r="L878" s="1">
        <v>169</v>
      </c>
      <c r="M878" s="18">
        <v>40</v>
      </c>
      <c r="N878" s="1">
        <v>40</v>
      </c>
      <c r="O878" s="1">
        <v>1</v>
      </c>
      <c r="P878" s="1">
        <v>261</v>
      </c>
      <c r="Q878" s="1">
        <v>0</v>
      </c>
    </row>
    <row r="879" spans="2:17" ht="15.45" x14ac:dyDescent="0.4">
      <c r="B879" s="1">
        <v>354</v>
      </c>
      <c r="C879" s="1">
        <v>3400.091404992992</v>
      </c>
      <c r="D879" s="1">
        <v>1</v>
      </c>
      <c r="E879" s="1">
        <v>10267.705937553772</v>
      </c>
      <c r="F879" s="1">
        <v>-1</v>
      </c>
      <c r="G879" s="1">
        <v>354</v>
      </c>
      <c r="H879" s="1">
        <v>5136.0013332566132</v>
      </c>
      <c r="I879" s="1">
        <v>-1</v>
      </c>
      <c r="J879" s="1">
        <v>2573.6937889395103</v>
      </c>
      <c r="K879" s="1">
        <v>-1</v>
      </c>
      <c r="L879" s="1">
        <v>168</v>
      </c>
      <c r="M879" s="18">
        <v>40</v>
      </c>
      <c r="N879" s="1">
        <v>39</v>
      </c>
      <c r="O879" s="1">
        <v>0</v>
      </c>
      <c r="P879" s="1">
        <v>0</v>
      </c>
      <c r="Q879" s="1">
        <v>0</v>
      </c>
    </row>
    <row r="880" spans="2:17" ht="15.45" x14ac:dyDescent="0.4">
      <c r="B880" s="1">
        <v>355</v>
      </c>
      <c r="C880" s="1">
        <v>3406.4666636198917</v>
      </c>
      <c r="D880" s="1">
        <v>1</v>
      </c>
      <c r="E880" s="1">
        <v>10294.627888739351</v>
      </c>
      <c r="F880" s="1">
        <v>-1</v>
      </c>
      <c r="G880" s="1">
        <v>355</v>
      </c>
      <c r="H880" s="1">
        <v>1722.6706694323771</v>
      </c>
      <c r="I880" s="1">
        <v>1</v>
      </c>
      <c r="J880" s="1">
        <v>2585.8397065583449</v>
      </c>
      <c r="K880" s="1">
        <v>1</v>
      </c>
      <c r="L880" s="1">
        <v>169</v>
      </c>
      <c r="M880" s="18">
        <v>40</v>
      </c>
      <c r="N880" s="1">
        <v>40</v>
      </c>
      <c r="O880" s="1">
        <v>0</v>
      </c>
      <c r="P880" s="1">
        <v>0</v>
      </c>
      <c r="Q880" s="1">
        <v>0</v>
      </c>
    </row>
    <row r="881" spans="2:17" ht="15.45" x14ac:dyDescent="0.4">
      <c r="B881" s="1">
        <v>356</v>
      </c>
      <c r="C881" s="1">
        <v>3434.1567148002641</v>
      </c>
      <c r="D881" s="1">
        <v>1</v>
      </c>
      <c r="E881" s="1">
        <v>10322.358040225497</v>
      </c>
      <c r="F881" s="1">
        <v>-1</v>
      </c>
      <c r="G881" s="1">
        <v>356</v>
      </c>
      <c r="H881" s="1">
        <v>5160.8933139496066</v>
      </c>
      <c r="I881" s="1">
        <v>-1</v>
      </c>
      <c r="J881" s="1">
        <v>2586.4339455171316</v>
      </c>
      <c r="K881" s="1">
        <v>1</v>
      </c>
      <c r="L881" s="1">
        <v>170</v>
      </c>
      <c r="M881" s="18">
        <v>40</v>
      </c>
      <c r="N881" s="1">
        <v>40</v>
      </c>
      <c r="O881" s="1">
        <v>1</v>
      </c>
      <c r="P881" s="1">
        <v>263</v>
      </c>
      <c r="Q881" s="1">
        <v>0</v>
      </c>
    </row>
    <row r="882" spans="2:17" ht="15.45" x14ac:dyDescent="0.4">
      <c r="B882" s="1">
        <v>357</v>
      </c>
      <c r="C882" s="1">
        <v>3441.3222632223851</v>
      </c>
      <c r="D882" s="1">
        <v>1</v>
      </c>
      <c r="E882" s="1">
        <v>10347.720100378308</v>
      </c>
      <c r="F882" s="1">
        <v>-1</v>
      </c>
      <c r="G882" s="1">
        <v>357</v>
      </c>
      <c r="H882" s="1">
        <v>1755.8039341796007</v>
      </c>
      <c r="I882" s="1">
        <v>1</v>
      </c>
      <c r="J882" s="1">
        <v>2590.9908004526924</v>
      </c>
      <c r="K882" s="1">
        <v>1</v>
      </c>
      <c r="L882" s="1">
        <v>171</v>
      </c>
      <c r="M882" s="18">
        <v>40</v>
      </c>
      <c r="N882" s="1">
        <v>40</v>
      </c>
      <c r="O882" s="1">
        <v>1</v>
      </c>
      <c r="P882" s="1">
        <v>264</v>
      </c>
      <c r="Q882" s="1">
        <v>0</v>
      </c>
    </row>
    <row r="883" spans="2:17" ht="15.45" x14ac:dyDescent="0.4">
      <c r="B883" s="1">
        <v>358</v>
      </c>
      <c r="C883" s="1">
        <v>3442.0904734006463</v>
      </c>
      <c r="D883" s="1">
        <v>1</v>
      </c>
      <c r="E883" s="1">
        <v>10380.760052981721</v>
      </c>
      <c r="F883" s="1">
        <v>-1</v>
      </c>
      <c r="G883" s="1">
        <v>358</v>
      </c>
      <c r="H883" s="1">
        <v>5177.0002102474618</v>
      </c>
      <c r="I883" s="1">
        <v>-1</v>
      </c>
      <c r="J883" s="1">
        <v>2598.328998505398</v>
      </c>
      <c r="K883" s="1">
        <v>1</v>
      </c>
      <c r="L883" s="1">
        <v>172</v>
      </c>
      <c r="M883" s="18">
        <v>40</v>
      </c>
      <c r="N883" s="1">
        <v>40</v>
      </c>
      <c r="O883" s="1">
        <v>1</v>
      </c>
      <c r="P883" s="1">
        <v>265</v>
      </c>
      <c r="Q883" s="1">
        <v>0</v>
      </c>
    </row>
    <row r="884" spans="2:17" ht="15.45" x14ac:dyDescent="0.4">
      <c r="B884" s="1">
        <v>359</v>
      </c>
      <c r="C884" s="1">
        <v>3457.997876810517</v>
      </c>
      <c r="D884" s="1">
        <v>1</v>
      </c>
      <c r="E884" s="1">
        <v>10394.634437726687</v>
      </c>
      <c r="F884" s="1">
        <v>-1</v>
      </c>
      <c r="G884" s="1">
        <v>359</v>
      </c>
      <c r="H884" s="1">
        <v>1761.1002681604245</v>
      </c>
      <c r="I884" s="1">
        <v>1</v>
      </c>
      <c r="J884" s="1">
        <v>2606.286303465447</v>
      </c>
      <c r="K884" s="1">
        <v>1</v>
      </c>
      <c r="L884" s="1">
        <v>173</v>
      </c>
      <c r="M884" s="18">
        <v>40</v>
      </c>
      <c r="N884" s="1">
        <v>40</v>
      </c>
      <c r="O884" s="1">
        <v>1</v>
      </c>
      <c r="P884" s="1">
        <v>266</v>
      </c>
      <c r="Q884" s="1">
        <v>0</v>
      </c>
    </row>
    <row r="885" spans="2:17" ht="15.45" x14ac:dyDescent="0.4">
      <c r="B885" s="1">
        <v>360</v>
      </c>
      <c r="C885" s="1">
        <v>3470.5969665272605</v>
      </c>
      <c r="D885" s="1">
        <v>1</v>
      </c>
      <c r="E885" s="1">
        <v>10402.309239132801</v>
      </c>
      <c r="F885" s="1">
        <v>-1</v>
      </c>
      <c r="G885" s="1">
        <v>360</v>
      </c>
      <c r="H885" s="1">
        <v>5179.6885721437229</v>
      </c>
      <c r="I885" s="1">
        <v>-1</v>
      </c>
      <c r="J885" s="1">
        <v>2615.4564439579212</v>
      </c>
      <c r="K885" s="1">
        <v>-1</v>
      </c>
      <c r="L885" s="1">
        <v>172</v>
      </c>
      <c r="M885" s="18">
        <v>40</v>
      </c>
      <c r="N885" s="1">
        <v>40</v>
      </c>
      <c r="O885" s="1">
        <v>0</v>
      </c>
      <c r="P885" s="1">
        <v>0</v>
      </c>
      <c r="Q885" s="1">
        <v>0</v>
      </c>
    </row>
    <row r="886" spans="2:17" ht="15.45" x14ac:dyDescent="0.4">
      <c r="B886" s="1">
        <v>361</v>
      </c>
      <c r="C886" s="1">
        <v>3477.4017284298184</v>
      </c>
      <c r="D886" s="1">
        <v>1</v>
      </c>
      <c r="E886" s="1">
        <v>10416.388700460368</v>
      </c>
      <c r="F886" s="1">
        <v>-1</v>
      </c>
      <c r="G886" s="1">
        <v>361</v>
      </c>
      <c r="H886" s="1">
        <v>1765.9759727465885</v>
      </c>
      <c r="I886" s="1">
        <v>1</v>
      </c>
      <c r="J886" s="1">
        <v>2618.3854601898679</v>
      </c>
      <c r="K886" s="1">
        <v>-1</v>
      </c>
      <c r="L886" s="1">
        <v>171</v>
      </c>
      <c r="M886" s="18">
        <v>40</v>
      </c>
      <c r="N886" s="1">
        <v>40</v>
      </c>
      <c r="O886" s="1">
        <v>0</v>
      </c>
      <c r="P886" s="1">
        <v>0</v>
      </c>
      <c r="Q886" s="1">
        <v>0</v>
      </c>
    </row>
    <row r="887" spans="2:17" ht="15.45" x14ac:dyDescent="0.4">
      <c r="B887" s="1">
        <v>362</v>
      </c>
      <c r="C887" s="1">
        <v>3498.7186518838475</v>
      </c>
      <c r="D887" s="1">
        <v>1</v>
      </c>
      <c r="E887" s="1">
        <v>10504.066530482683</v>
      </c>
      <c r="F887" s="1">
        <v>-1</v>
      </c>
      <c r="G887" s="1">
        <v>362</v>
      </c>
      <c r="H887" s="1">
        <v>5223.2153854569915</v>
      </c>
      <c r="I887" s="1">
        <v>-1</v>
      </c>
      <c r="J887" s="1">
        <v>2619.4059195745172</v>
      </c>
      <c r="K887" s="1">
        <v>1</v>
      </c>
      <c r="L887" s="1">
        <v>172</v>
      </c>
      <c r="M887" s="18">
        <v>40</v>
      </c>
      <c r="N887" s="1">
        <v>40</v>
      </c>
      <c r="O887" s="1">
        <v>1</v>
      </c>
      <c r="P887" s="1">
        <v>267</v>
      </c>
      <c r="Q887" s="1">
        <v>0</v>
      </c>
    </row>
    <row r="888" spans="2:17" ht="15.45" x14ac:dyDescent="0.4">
      <c r="B888" s="1">
        <v>363</v>
      </c>
      <c r="C888" s="1">
        <v>3510.9548916644121</v>
      </c>
      <c r="D888" s="1">
        <v>1</v>
      </c>
      <c r="E888" s="1">
        <v>10523.587269556368</v>
      </c>
      <c r="F888" s="1">
        <v>-1</v>
      </c>
      <c r="G888" s="1">
        <v>363</v>
      </c>
      <c r="H888" s="1">
        <v>1791.1139668345313</v>
      </c>
      <c r="I888" s="1">
        <v>1</v>
      </c>
      <c r="J888" s="1">
        <v>2621.1882917212397</v>
      </c>
      <c r="K888" s="1">
        <v>1</v>
      </c>
      <c r="L888" s="1">
        <v>173</v>
      </c>
      <c r="M888" s="18">
        <v>40</v>
      </c>
      <c r="N888" s="1">
        <v>40</v>
      </c>
      <c r="O888" s="1">
        <v>1</v>
      </c>
      <c r="P888" s="1">
        <v>268</v>
      </c>
      <c r="Q888" s="1">
        <v>0</v>
      </c>
    </row>
    <row r="889" spans="2:17" ht="15.45" x14ac:dyDescent="0.4">
      <c r="B889" s="1">
        <v>364</v>
      </c>
      <c r="C889" s="1">
        <v>3518.4367396583129</v>
      </c>
      <c r="D889" s="1">
        <v>1</v>
      </c>
      <c r="E889" s="1">
        <v>10529.515719563347</v>
      </c>
      <c r="F889" s="1">
        <v>-1</v>
      </c>
      <c r="G889" s="1">
        <v>364</v>
      </c>
      <c r="H889" s="1">
        <v>5272.8428156007658</v>
      </c>
      <c r="I889" s="1">
        <v>-1</v>
      </c>
      <c r="J889" s="1">
        <v>2621.7352168942666</v>
      </c>
      <c r="K889" s="1">
        <v>1</v>
      </c>
      <c r="L889" s="1">
        <v>174</v>
      </c>
      <c r="M889" s="18">
        <v>40</v>
      </c>
      <c r="N889" s="1">
        <v>40</v>
      </c>
      <c r="O889" s="1">
        <v>1</v>
      </c>
      <c r="P889" s="1">
        <v>269</v>
      </c>
      <c r="Q889" s="1">
        <v>0</v>
      </c>
    </row>
    <row r="890" spans="2:17" ht="15.45" x14ac:dyDescent="0.4">
      <c r="B890" s="1">
        <v>365</v>
      </c>
      <c r="C890" s="1">
        <v>3534.1575887211611</v>
      </c>
      <c r="D890" s="1">
        <v>1</v>
      </c>
      <c r="E890" s="1">
        <v>10550.848167263826</v>
      </c>
      <c r="F890" s="1">
        <v>-1</v>
      </c>
      <c r="G890" s="1">
        <v>365</v>
      </c>
      <c r="H890" s="1">
        <v>1799.7269203750759</v>
      </c>
      <c r="I890" s="1">
        <v>1</v>
      </c>
      <c r="J890" s="1">
        <v>2627.5463108961221</v>
      </c>
      <c r="K890" s="1">
        <v>-1</v>
      </c>
      <c r="L890" s="1">
        <v>173</v>
      </c>
      <c r="M890" s="18">
        <v>40</v>
      </c>
      <c r="N890" s="1">
        <v>40</v>
      </c>
      <c r="O890" s="1">
        <v>0</v>
      </c>
      <c r="P890" s="1">
        <v>0</v>
      </c>
      <c r="Q890" s="1">
        <v>0</v>
      </c>
    </row>
    <row r="891" spans="2:17" ht="15.45" x14ac:dyDescent="0.4">
      <c r="B891" s="1">
        <v>366</v>
      </c>
      <c r="C891" s="1">
        <v>3568.8498772921921</v>
      </c>
      <c r="D891" s="1">
        <v>1</v>
      </c>
      <c r="E891" s="1">
        <v>10576.981046387082</v>
      </c>
      <c r="F891" s="1">
        <v>-1</v>
      </c>
      <c r="G891" s="1">
        <v>366</v>
      </c>
      <c r="H891" s="1">
        <v>5279.0365821198538</v>
      </c>
      <c r="I891" s="1">
        <v>-1</v>
      </c>
      <c r="J891" s="1">
        <v>2628.8151575164788</v>
      </c>
      <c r="K891" s="1">
        <v>-1</v>
      </c>
      <c r="L891" s="1">
        <v>172</v>
      </c>
      <c r="M891" s="18">
        <v>40</v>
      </c>
      <c r="N891" s="1">
        <v>40</v>
      </c>
      <c r="O891" s="1">
        <v>0</v>
      </c>
      <c r="P891" s="1">
        <v>0</v>
      </c>
      <c r="Q891" s="1">
        <v>0</v>
      </c>
    </row>
    <row r="892" spans="2:17" ht="15.45" x14ac:dyDescent="0.4">
      <c r="B892" s="1">
        <v>367</v>
      </c>
      <c r="C892" s="1">
        <v>3579.7427449202205</v>
      </c>
      <c r="D892" s="1">
        <v>1</v>
      </c>
      <c r="E892" s="1">
        <v>10607.260481617619</v>
      </c>
      <c r="F892" s="1">
        <v>-1</v>
      </c>
      <c r="G892" s="1">
        <v>367</v>
      </c>
      <c r="H892" s="1">
        <v>1822.7909253353794</v>
      </c>
      <c r="I892" s="1">
        <v>1</v>
      </c>
      <c r="J892" s="1">
        <v>2632.3161694109363</v>
      </c>
      <c r="K892" s="1">
        <v>1</v>
      </c>
      <c r="L892" s="1">
        <v>173</v>
      </c>
      <c r="M892" s="18">
        <v>40</v>
      </c>
      <c r="N892" s="1">
        <v>40</v>
      </c>
      <c r="O892" s="1">
        <v>1</v>
      </c>
      <c r="P892" s="1">
        <v>270</v>
      </c>
      <c r="Q892" s="1">
        <v>0</v>
      </c>
    </row>
    <row r="893" spans="2:17" ht="15.45" x14ac:dyDescent="0.4">
      <c r="B893" s="1">
        <v>368</v>
      </c>
      <c r="C893" s="1">
        <v>3590.4407949424317</v>
      </c>
      <c r="D893" s="1">
        <v>1</v>
      </c>
      <c r="E893" s="1">
        <v>10626.386257498318</v>
      </c>
      <c r="F893" s="1">
        <v>-1</v>
      </c>
      <c r="G893" s="1">
        <v>368</v>
      </c>
      <c r="H893" s="1">
        <v>5321.2745973014089</v>
      </c>
      <c r="I893" s="1">
        <v>-1</v>
      </c>
      <c r="J893" s="1">
        <v>2643.9881971083214</v>
      </c>
      <c r="K893" s="1">
        <v>1</v>
      </c>
      <c r="L893" s="1">
        <v>174</v>
      </c>
      <c r="M893" s="18">
        <v>40</v>
      </c>
      <c r="N893" s="1">
        <v>40</v>
      </c>
      <c r="O893" s="1">
        <v>1</v>
      </c>
      <c r="P893" s="1">
        <v>271</v>
      </c>
      <c r="Q893" s="1">
        <v>0</v>
      </c>
    </row>
    <row r="894" spans="2:17" ht="15.45" x14ac:dyDescent="0.4">
      <c r="B894" s="1">
        <v>369</v>
      </c>
      <c r="C894" s="1">
        <v>3595.618992928823</v>
      </c>
      <c r="D894" s="1">
        <v>1</v>
      </c>
      <c r="E894" s="1">
        <v>10709.456411039435</v>
      </c>
      <c r="F894" s="1">
        <v>-1</v>
      </c>
      <c r="G894" s="1">
        <v>369</v>
      </c>
      <c r="H894" s="1">
        <v>1833.0684802770757</v>
      </c>
      <c r="I894" s="1">
        <v>1</v>
      </c>
      <c r="J894" s="1">
        <v>2647.5825864718204</v>
      </c>
      <c r="K894" s="1">
        <v>1</v>
      </c>
      <c r="L894" s="1">
        <v>175</v>
      </c>
      <c r="M894" s="18">
        <v>40</v>
      </c>
      <c r="N894" s="1">
        <v>40</v>
      </c>
      <c r="O894" s="1">
        <v>1</v>
      </c>
      <c r="P894" s="1">
        <v>272</v>
      </c>
      <c r="Q894" s="1">
        <v>0</v>
      </c>
    </row>
    <row r="895" spans="2:17" ht="15.45" x14ac:dyDescent="0.4">
      <c r="B895" s="1">
        <v>370</v>
      </c>
      <c r="C895" s="1">
        <v>3596.9079252731594</v>
      </c>
      <c r="D895" s="1">
        <v>1</v>
      </c>
      <c r="E895" s="1">
        <v>10730.953056305798</v>
      </c>
      <c r="F895" s="1">
        <v>-1</v>
      </c>
      <c r="G895" s="1">
        <v>370</v>
      </c>
      <c r="H895" s="1">
        <v>5376.0076505039387</v>
      </c>
      <c r="I895" s="1">
        <v>-1</v>
      </c>
      <c r="J895" s="1">
        <v>2653.220052774122</v>
      </c>
      <c r="K895" s="1">
        <v>1</v>
      </c>
      <c r="L895" s="1">
        <v>176</v>
      </c>
      <c r="M895" s="18">
        <v>40</v>
      </c>
      <c r="N895" s="1">
        <v>40</v>
      </c>
      <c r="O895" s="1">
        <v>1</v>
      </c>
      <c r="P895" s="1">
        <v>273</v>
      </c>
      <c r="Q895" s="1">
        <v>0</v>
      </c>
    </row>
    <row r="896" spans="2:17" ht="15.45" x14ac:dyDescent="0.4">
      <c r="B896" s="1">
        <v>371</v>
      </c>
      <c r="C896" s="1">
        <v>3608.0430122957187</v>
      </c>
      <c r="D896" s="1">
        <v>1</v>
      </c>
      <c r="E896" s="1">
        <v>10733.257686840581</v>
      </c>
      <c r="F896" s="1">
        <v>-1</v>
      </c>
      <c r="G896" s="1">
        <v>371</v>
      </c>
      <c r="H896" s="1">
        <v>1845.8081387274638</v>
      </c>
      <c r="I896" s="1">
        <v>1</v>
      </c>
      <c r="J896" s="1">
        <v>2663.447949359293</v>
      </c>
      <c r="K896" s="1">
        <v>-1</v>
      </c>
      <c r="L896" s="1">
        <v>175</v>
      </c>
      <c r="M896" s="18">
        <v>40</v>
      </c>
      <c r="N896" s="1">
        <v>40</v>
      </c>
      <c r="O896" s="1">
        <v>0</v>
      </c>
      <c r="P896" s="1">
        <v>0</v>
      </c>
      <c r="Q896" s="1">
        <v>0</v>
      </c>
    </row>
    <row r="897" spans="2:17" ht="15.45" x14ac:dyDescent="0.4">
      <c r="B897" s="1">
        <v>372</v>
      </c>
      <c r="C897" s="1">
        <v>3608.7631631139848</v>
      </c>
      <c r="D897" s="1">
        <v>1</v>
      </c>
      <c r="E897" s="1">
        <v>10780.979897070194</v>
      </c>
      <c r="F897" s="1">
        <v>-1</v>
      </c>
      <c r="G897" s="1">
        <v>372</v>
      </c>
      <c r="H897" s="1">
        <v>5378.5501709493929</v>
      </c>
      <c r="I897" s="1">
        <v>-1</v>
      </c>
      <c r="J897" s="1">
        <v>2669.4404567159008</v>
      </c>
      <c r="K897" s="1">
        <v>1</v>
      </c>
      <c r="L897" s="1">
        <v>176</v>
      </c>
      <c r="M897" s="18">
        <v>40</v>
      </c>
      <c r="N897" s="1">
        <v>40</v>
      </c>
      <c r="O897" s="1">
        <v>1</v>
      </c>
      <c r="P897" s="1">
        <v>274</v>
      </c>
      <c r="Q897" s="1">
        <v>0</v>
      </c>
    </row>
    <row r="898" spans="2:17" ht="15.45" x14ac:dyDescent="0.4">
      <c r="B898" s="1">
        <v>373</v>
      </c>
      <c r="C898" s="1">
        <v>3612.7960139601705</v>
      </c>
      <c r="D898" s="1">
        <v>1</v>
      </c>
      <c r="E898" s="1">
        <v>10818.777166220423</v>
      </c>
      <c r="F898" s="1">
        <v>-1</v>
      </c>
      <c r="G898" s="1">
        <v>373</v>
      </c>
      <c r="H898" s="1">
        <v>1848.0165712883293</v>
      </c>
      <c r="I898" s="1">
        <v>1</v>
      </c>
      <c r="J898" s="1">
        <v>2690.3699005448716</v>
      </c>
      <c r="K898" s="1">
        <v>-1</v>
      </c>
      <c r="L898" s="1">
        <v>175</v>
      </c>
      <c r="M898" s="18">
        <v>40</v>
      </c>
      <c r="N898" s="1">
        <v>40</v>
      </c>
      <c r="O898" s="1">
        <v>0</v>
      </c>
      <c r="P898" s="1">
        <v>0</v>
      </c>
      <c r="Q898" s="1">
        <v>0</v>
      </c>
    </row>
    <row r="899" spans="2:17" ht="15.45" x14ac:dyDescent="0.4">
      <c r="B899" s="1">
        <v>374</v>
      </c>
      <c r="C899" s="1">
        <v>3622.4218715115685</v>
      </c>
      <c r="D899" s="1">
        <v>1</v>
      </c>
      <c r="E899" s="1">
        <v>10839.191451928096</v>
      </c>
      <c r="F899" s="1">
        <v>-1</v>
      </c>
      <c r="G899" s="1">
        <v>374</v>
      </c>
      <c r="H899" s="1">
        <v>5389.147520450234</v>
      </c>
      <c r="I899" s="1">
        <v>-1</v>
      </c>
      <c r="J899" s="1">
        <v>2698.0595029918377</v>
      </c>
      <c r="K899" s="1">
        <v>1</v>
      </c>
      <c r="L899" s="1">
        <v>176</v>
      </c>
      <c r="M899" s="18">
        <v>40</v>
      </c>
      <c r="N899" s="1">
        <v>40</v>
      </c>
      <c r="O899" s="1">
        <v>1</v>
      </c>
      <c r="P899" s="1">
        <v>275</v>
      </c>
      <c r="Q899" s="1">
        <v>0</v>
      </c>
    </row>
    <row r="900" spans="2:17" ht="15.45" x14ac:dyDescent="0.4">
      <c r="B900" s="1">
        <v>375</v>
      </c>
      <c r="C900" s="1">
        <v>3625.2250534277455</v>
      </c>
      <c r="D900" s="1">
        <v>1</v>
      </c>
      <c r="E900" s="1">
        <v>10903.142222290184</v>
      </c>
      <c r="F900" s="1">
        <v>-1</v>
      </c>
      <c r="G900" s="1">
        <v>375</v>
      </c>
      <c r="H900" s="1">
        <v>1860.8985994167654</v>
      </c>
      <c r="I900" s="1">
        <v>1</v>
      </c>
      <c r="J900" s="1">
        <v>2712.2415377635029</v>
      </c>
      <c r="K900" s="1">
        <v>1</v>
      </c>
      <c r="L900" s="1">
        <v>177</v>
      </c>
      <c r="M900" s="18">
        <v>40</v>
      </c>
      <c r="N900" s="1">
        <v>40</v>
      </c>
      <c r="O900" s="1">
        <v>1</v>
      </c>
      <c r="P900" s="1">
        <v>276</v>
      </c>
      <c r="Q900" s="1">
        <v>0</v>
      </c>
    </row>
    <row r="901" spans="2:17" ht="15.45" x14ac:dyDescent="0.4">
      <c r="B901" s="1">
        <v>376</v>
      </c>
      <c r="C901" s="1">
        <v>3634.3002951434614</v>
      </c>
      <c r="D901" s="1">
        <v>1</v>
      </c>
      <c r="E901" s="1">
        <v>10939.850941631878</v>
      </c>
      <c r="F901" s="1">
        <v>-1</v>
      </c>
      <c r="G901" s="1">
        <v>376</v>
      </c>
      <c r="H901" s="1">
        <v>5426.6774443707873</v>
      </c>
      <c r="I901" s="1">
        <v>-1</v>
      </c>
      <c r="J901" s="1">
        <v>2716.6878247483369</v>
      </c>
      <c r="K901" s="1">
        <v>1</v>
      </c>
      <c r="L901" s="1">
        <v>178</v>
      </c>
      <c r="M901" s="18">
        <v>40</v>
      </c>
      <c r="N901" s="1">
        <v>40</v>
      </c>
      <c r="O901" s="1">
        <v>1</v>
      </c>
      <c r="P901" s="1">
        <v>277</v>
      </c>
      <c r="Q901" s="1">
        <v>0</v>
      </c>
    </row>
    <row r="902" spans="2:17" ht="15.45" x14ac:dyDescent="0.4">
      <c r="B902" s="1">
        <v>377</v>
      </c>
      <c r="C902" s="1">
        <v>3638.0599195126224</v>
      </c>
      <c r="D902" s="1">
        <v>1</v>
      </c>
      <c r="E902" s="1">
        <v>10962.296485613579</v>
      </c>
      <c r="F902" s="1">
        <v>-1</v>
      </c>
      <c r="G902" s="1">
        <v>377</v>
      </c>
      <c r="H902" s="1">
        <v>1886.76850529231</v>
      </c>
      <c r="I902" s="1">
        <v>1</v>
      </c>
      <c r="J902" s="1">
        <v>2718.1000520310172</v>
      </c>
      <c r="K902" s="1">
        <v>-1</v>
      </c>
      <c r="L902" s="1">
        <v>177</v>
      </c>
      <c r="M902" s="18">
        <v>40</v>
      </c>
      <c r="N902" s="1">
        <v>39</v>
      </c>
      <c r="O902" s="1">
        <v>0</v>
      </c>
      <c r="P902" s="1">
        <v>0</v>
      </c>
      <c r="Q902" s="1">
        <v>0</v>
      </c>
    </row>
    <row r="903" spans="2:17" ht="15.45" x14ac:dyDescent="0.4">
      <c r="B903" s="1">
        <v>378</v>
      </c>
      <c r="C903" s="1">
        <v>3643.1212244343296</v>
      </c>
      <c r="D903" s="1">
        <v>1</v>
      </c>
      <c r="E903" s="1">
        <v>11009.459032802124</v>
      </c>
      <c r="F903" s="1">
        <v>-1</v>
      </c>
      <c r="G903" s="1">
        <v>378</v>
      </c>
      <c r="H903" s="1">
        <v>5517.5759751233154</v>
      </c>
      <c r="I903" s="1">
        <v>-1</v>
      </c>
      <c r="J903" s="1">
        <v>2719.7036101792032</v>
      </c>
      <c r="K903" s="1">
        <v>1</v>
      </c>
      <c r="L903" s="1">
        <v>178</v>
      </c>
      <c r="M903" s="18">
        <v>40</v>
      </c>
      <c r="N903" s="1">
        <v>40</v>
      </c>
      <c r="O903" s="1">
        <v>0</v>
      </c>
      <c r="P903" s="1">
        <v>0</v>
      </c>
      <c r="Q903" s="1">
        <v>0</v>
      </c>
    </row>
    <row r="904" spans="2:17" ht="15.45" x14ac:dyDescent="0.4">
      <c r="B904" s="1">
        <v>379</v>
      </c>
      <c r="C904" s="1">
        <v>3665.2773856858994</v>
      </c>
      <c r="D904" s="1">
        <v>1</v>
      </c>
      <c r="E904" s="1">
        <v>11113.535898515218</v>
      </c>
      <c r="F904" s="1">
        <v>-1</v>
      </c>
      <c r="G904" s="1">
        <v>379</v>
      </c>
      <c r="H904" s="1">
        <v>1903.8498201710938</v>
      </c>
      <c r="I904" s="1">
        <v>1</v>
      </c>
      <c r="J904" s="1">
        <v>2722.8761866154873</v>
      </c>
      <c r="K904" s="1">
        <v>1</v>
      </c>
      <c r="L904" s="1">
        <v>179</v>
      </c>
      <c r="M904" s="18">
        <v>40</v>
      </c>
      <c r="N904" s="1">
        <v>40</v>
      </c>
      <c r="O904" s="1">
        <v>1</v>
      </c>
      <c r="P904" s="1">
        <v>279</v>
      </c>
      <c r="Q904" s="1">
        <v>0</v>
      </c>
    </row>
    <row r="905" spans="2:17" ht="15.45" x14ac:dyDescent="0.4">
      <c r="B905" s="1">
        <v>380</v>
      </c>
      <c r="C905" s="1">
        <v>3676.4911783609036</v>
      </c>
      <c r="D905" s="1">
        <v>1</v>
      </c>
      <c r="E905" s="1">
        <v>11146.214501399303</v>
      </c>
      <c r="F905" s="1">
        <v>-1</v>
      </c>
      <c r="G905" s="1">
        <v>380</v>
      </c>
      <c r="H905" s="1">
        <v>5556.4985442969473</v>
      </c>
      <c r="I905" s="1">
        <v>-1</v>
      </c>
      <c r="J905" s="1">
        <v>2725.5848760816034</v>
      </c>
      <c r="K905" s="1">
        <v>1</v>
      </c>
      <c r="L905" s="1">
        <v>180</v>
      </c>
      <c r="M905" s="18">
        <v>40</v>
      </c>
      <c r="N905" s="1">
        <v>40</v>
      </c>
      <c r="O905" s="1">
        <v>1</v>
      </c>
      <c r="P905" s="1">
        <v>280</v>
      </c>
      <c r="Q905" s="1">
        <v>0</v>
      </c>
    </row>
    <row r="906" spans="2:17" ht="15.45" x14ac:dyDescent="0.4">
      <c r="B906" s="1">
        <v>381</v>
      </c>
      <c r="C906" s="1">
        <v>3686.2937894934321</v>
      </c>
      <c r="D906" s="1">
        <v>1</v>
      </c>
      <c r="E906" s="1">
        <v>11178.308651465937</v>
      </c>
      <c r="F906" s="1">
        <v>-1</v>
      </c>
      <c r="G906" s="1">
        <v>381</v>
      </c>
      <c r="H906" s="1">
        <v>1905.4937275258349</v>
      </c>
      <c r="I906" s="1">
        <v>1</v>
      </c>
      <c r="J906" s="1">
        <v>2729.747709870057</v>
      </c>
      <c r="K906" s="1">
        <v>1</v>
      </c>
      <c r="L906" s="1">
        <v>181</v>
      </c>
      <c r="M906" s="18">
        <v>40</v>
      </c>
      <c r="N906" s="1">
        <v>40</v>
      </c>
      <c r="O906" s="1">
        <v>1</v>
      </c>
      <c r="P906" s="1">
        <v>281</v>
      </c>
      <c r="Q906" s="1">
        <v>0</v>
      </c>
    </row>
    <row r="907" spans="2:17" ht="15.45" x14ac:dyDescent="0.4">
      <c r="B907" s="1">
        <v>382</v>
      </c>
      <c r="C907" s="1">
        <v>3693.3196940985194</v>
      </c>
      <c r="D907" s="1">
        <v>1</v>
      </c>
      <c r="E907" s="1">
        <v>11193.843245425112</v>
      </c>
      <c r="F907" s="1">
        <v>-1</v>
      </c>
      <c r="G907" s="1">
        <v>382</v>
      </c>
      <c r="H907" s="1">
        <v>5574.998274935776</v>
      </c>
      <c r="I907" s="1">
        <v>-1</v>
      </c>
      <c r="J907" s="1">
        <v>2730.0185125701564</v>
      </c>
      <c r="K907" s="1">
        <v>1</v>
      </c>
      <c r="L907" s="1">
        <v>182</v>
      </c>
      <c r="M907" s="18">
        <v>40</v>
      </c>
      <c r="N907" s="1">
        <v>40</v>
      </c>
      <c r="O907" s="1">
        <v>1</v>
      </c>
      <c r="P907" s="1">
        <v>282</v>
      </c>
      <c r="Q907" s="1">
        <v>0</v>
      </c>
    </row>
    <row r="908" spans="2:17" ht="15.45" x14ac:dyDescent="0.4">
      <c r="B908" s="1">
        <v>383</v>
      </c>
      <c r="C908" s="1">
        <v>3712.4431298839581</v>
      </c>
      <c r="D908" s="1">
        <v>1</v>
      </c>
      <c r="E908" s="1">
        <v>11197.710042458122</v>
      </c>
      <c r="F908" s="1">
        <v>-1</v>
      </c>
      <c r="G908" s="1">
        <v>383</v>
      </c>
      <c r="H908" s="1">
        <v>1906.4210998803189</v>
      </c>
      <c r="I908" s="1">
        <v>1</v>
      </c>
      <c r="J908" s="1">
        <v>2731.8877895199848</v>
      </c>
      <c r="K908" s="1">
        <v>1</v>
      </c>
      <c r="L908" s="1">
        <v>183</v>
      </c>
      <c r="M908" s="18">
        <v>40</v>
      </c>
      <c r="N908" s="1">
        <v>40</v>
      </c>
      <c r="O908" s="1">
        <v>1</v>
      </c>
      <c r="P908" s="1">
        <v>283</v>
      </c>
      <c r="Q908" s="1">
        <v>0</v>
      </c>
    </row>
    <row r="909" spans="2:17" ht="15.45" x14ac:dyDescent="0.4">
      <c r="B909" s="1">
        <v>384</v>
      </c>
      <c r="C909" s="1">
        <v>3728.471695289471</v>
      </c>
      <c r="D909" s="1">
        <v>1</v>
      </c>
      <c r="E909" s="1">
        <v>11231.115303525799</v>
      </c>
      <c r="F909" s="1">
        <v>-1</v>
      </c>
      <c r="G909" s="1">
        <v>384</v>
      </c>
      <c r="H909" s="1">
        <v>5674.3980691774468</v>
      </c>
      <c r="I909" s="1">
        <v>-1</v>
      </c>
      <c r="J909" s="1">
        <v>2735.7513233855207</v>
      </c>
      <c r="K909" s="1">
        <v>1</v>
      </c>
      <c r="L909" s="1">
        <v>184</v>
      </c>
      <c r="M909" s="18">
        <v>40</v>
      </c>
      <c r="N909" s="1">
        <v>40</v>
      </c>
      <c r="O909" s="1">
        <v>1</v>
      </c>
      <c r="P909" s="1">
        <v>284</v>
      </c>
      <c r="Q909" s="1">
        <v>0</v>
      </c>
    </row>
    <row r="910" spans="2:17" ht="15.45" x14ac:dyDescent="0.4">
      <c r="B910" s="1">
        <v>385</v>
      </c>
      <c r="C910" s="1">
        <v>3730.973523479176</v>
      </c>
      <c r="D910" s="1">
        <v>1</v>
      </c>
      <c r="E910" s="1">
        <v>11233.275755980598</v>
      </c>
      <c r="F910" s="1">
        <v>-1</v>
      </c>
      <c r="G910" s="1">
        <v>385</v>
      </c>
      <c r="H910" s="1">
        <v>1914.5303419948757</v>
      </c>
      <c r="I910" s="1">
        <v>1</v>
      </c>
      <c r="J910" s="1">
        <v>2743.4621121838281</v>
      </c>
      <c r="K910" s="1">
        <v>-1</v>
      </c>
      <c r="L910" s="1">
        <v>183</v>
      </c>
      <c r="M910" s="18">
        <v>40</v>
      </c>
      <c r="N910" s="1">
        <v>40</v>
      </c>
      <c r="O910" s="1">
        <v>0</v>
      </c>
      <c r="P910" s="1">
        <v>0</v>
      </c>
      <c r="Q910" s="1">
        <v>0</v>
      </c>
    </row>
    <row r="911" spans="2:17" ht="15.45" x14ac:dyDescent="0.4">
      <c r="B911" s="1">
        <v>386</v>
      </c>
      <c r="C911" s="1">
        <v>3741.7899189084428</v>
      </c>
      <c r="D911" s="1">
        <v>1</v>
      </c>
      <c r="E911" s="1">
        <v>11245.374308519155</v>
      </c>
      <c r="F911" s="1">
        <v>-1</v>
      </c>
      <c r="G911" s="1">
        <v>386</v>
      </c>
      <c r="H911" s="1">
        <v>5690.2870711199184</v>
      </c>
      <c r="I911" s="1">
        <v>-1</v>
      </c>
      <c r="J911" s="1">
        <v>2746.2579127873555</v>
      </c>
      <c r="K911" s="1">
        <v>1</v>
      </c>
      <c r="L911" s="1">
        <v>184</v>
      </c>
      <c r="M911" s="18">
        <v>40</v>
      </c>
      <c r="N911" s="1">
        <v>40</v>
      </c>
      <c r="O911" s="1">
        <v>1</v>
      </c>
      <c r="P911" s="1">
        <v>285</v>
      </c>
      <c r="Q911" s="1">
        <v>0</v>
      </c>
    </row>
    <row r="912" spans="2:17" ht="15.45" x14ac:dyDescent="0.4">
      <c r="B912" s="1">
        <v>387</v>
      </c>
      <c r="C912" s="1">
        <v>3742.8966011521675</v>
      </c>
      <c r="D912" s="1">
        <v>1</v>
      </c>
      <c r="E912" s="1">
        <v>11274.251881173348</v>
      </c>
      <c r="F912" s="1">
        <v>-1</v>
      </c>
      <c r="G912" s="1">
        <v>387</v>
      </c>
      <c r="H912" s="1">
        <v>1945.539068566442</v>
      </c>
      <c r="I912" s="1">
        <v>1</v>
      </c>
      <c r="J912" s="1">
        <v>2747.765058505157</v>
      </c>
      <c r="K912" s="1">
        <v>1</v>
      </c>
      <c r="L912" s="1">
        <v>185</v>
      </c>
      <c r="M912" s="18">
        <v>40</v>
      </c>
      <c r="N912" s="1">
        <v>40</v>
      </c>
      <c r="O912" s="1">
        <v>1</v>
      </c>
      <c r="P912" s="1">
        <v>286</v>
      </c>
      <c r="Q912" s="1">
        <v>0</v>
      </c>
    </row>
    <row r="913" spans="2:17" ht="15.45" x14ac:dyDescent="0.4">
      <c r="B913" s="1">
        <v>388</v>
      </c>
      <c r="C913" s="1">
        <v>3745.4911709052853</v>
      </c>
      <c r="D913" s="1">
        <v>1</v>
      </c>
      <c r="E913" s="1">
        <v>11282.661426921879</v>
      </c>
      <c r="F913" s="1">
        <v>-1</v>
      </c>
      <c r="G913" s="1">
        <v>388</v>
      </c>
      <c r="H913" s="1">
        <v>5704.9141848784102</v>
      </c>
      <c r="I913" s="1">
        <v>-1</v>
      </c>
      <c r="J913" s="1">
        <v>2749.0863696775746</v>
      </c>
      <c r="K913" s="1">
        <v>1</v>
      </c>
      <c r="L913" s="1">
        <v>186</v>
      </c>
      <c r="M913" s="18">
        <v>40</v>
      </c>
      <c r="N913" s="1">
        <v>40</v>
      </c>
      <c r="O913" s="1">
        <v>1</v>
      </c>
      <c r="P913" s="1">
        <v>287</v>
      </c>
      <c r="Q913" s="1">
        <v>0</v>
      </c>
    </row>
    <row r="914" spans="2:17" ht="15.45" x14ac:dyDescent="0.4">
      <c r="B914" s="1">
        <v>389</v>
      </c>
      <c r="C914" s="1">
        <v>3747.0830867577088</v>
      </c>
      <c r="D914" s="1">
        <v>1</v>
      </c>
      <c r="E914" s="1">
        <v>11309.887152069028</v>
      </c>
      <c r="F914" s="1">
        <v>-1</v>
      </c>
      <c r="G914" s="1">
        <v>389</v>
      </c>
      <c r="H914" s="1">
        <v>1951.4242128942776</v>
      </c>
      <c r="I914" s="1">
        <v>1</v>
      </c>
      <c r="J914" s="1">
        <v>2755.1749285091205</v>
      </c>
      <c r="K914" s="1">
        <v>1</v>
      </c>
      <c r="L914" s="1">
        <v>187</v>
      </c>
      <c r="M914" s="18">
        <v>40</v>
      </c>
      <c r="N914" s="1">
        <v>40</v>
      </c>
      <c r="O914" s="1">
        <v>1</v>
      </c>
      <c r="P914" s="1">
        <v>288</v>
      </c>
      <c r="Q914" s="1">
        <v>0</v>
      </c>
    </row>
    <row r="915" spans="2:17" ht="15.45" x14ac:dyDescent="0.4">
      <c r="B915" s="1">
        <v>390</v>
      </c>
      <c r="C915" s="1">
        <v>3752.0035304193225</v>
      </c>
      <c r="D915" s="1">
        <v>1</v>
      </c>
      <c r="E915" s="1">
        <v>11321.166025176512</v>
      </c>
      <c r="F915" s="1">
        <v>-1</v>
      </c>
      <c r="G915" s="1">
        <v>390</v>
      </c>
      <c r="H915" s="1">
        <v>5780.3281671422392</v>
      </c>
      <c r="I915" s="1">
        <v>-1</v>
      </c>
      <c r="J915" s="1">
        <v>2758.0361056838942</v>
      </c>
      <c r="K915" s="1">
        <v>1</v>
      </c>
      <c r="L915" s="1">
        <v>188</v>
      </c>
      <c r="M915" s="18">
        <v>40</v>
      </c>
      <c r="N915" s="1">
        <v>40</v>
      </c>
      <c r="O915" s="1">
        <v>1</v>
      </c>
      <c r="P915" s="1">
        <v>289</v>
      </c>
      <c r="Q915" s="1">
        <v>0</v>
      </c>
    </row>
    <row r="916" spans="2:17" ht="15.45" x14ac:dyDescent="0.4">
      <c r="B916" s="1">
        <v>391</v>
      </c>
      <c r="C916" s="1">
        <v>3758.0424021207937</v>
      </c>
      <c r="D916" s="1">
        <v>1</v>
      </c>
      <c r="E916" s="1">
        <v>11336.349939941632</v>
      </c>
      <c r="F916" s="1">
        <v>-1</v>
      </c>
      <c r="G916" s="1">
        <v>391</v>
      </c>
      <c r="H916" s="1">
        <v>1954.7558236172667</v>
      </c>
      <c r="I916" s="1">
        <v>1</v>
      </c>
      <c r="J916" s="1">
        <v>2761.692782227899</v>
      </c>
      <c r="K916" s="1">
        <v>1</v>
      </c>
      <c r="L916" s="1">
        <v>189</v>
      </c>
      <c r="M916" s="18">
        <v>40</v>
      </c>
      <c r="N916" s="1">
        <v>40</v>
      </c>
      <c r="O916" s="1">
        <v>1</v>
      </c>
      <c r="P916" s="1">
        <v>290</v>
      </c>
      <c r="Q916" s="1">
        <v>0</v>
      </c>
    </row>
    <row r="917" spans="2:17" ht="15.45" x14ac:dyDescent="0.4">
      <c r="B917" s="1">
        <v>392</v>
      </c>
      <c r="C917" s="1">
        <v>3771.5554313901121</v>
      </c>
      <c r="D917" s="1">
        <v>1</v>
      </c>
      <c r="E917" s="1">
        <v>11402.818423696343</v>
      </c>
      <c r="F917" s="1">
        <v>-1</v>
      </c>
      <c r="G917" s="1">
        <v>392</v>
      </c>
      <c r="H917" s="1">
        <v>5806.1670277638732</v>
      </c>
      <c r="I917" s="1">
        <v>-1</v>
      </c>
      <c r="J917" s="1">
        <v>2763.1157996832585</v>
      </c>
      <c r="K917" s="1">
        <v>1</v>
      </c>
      <c r="L917" s="1">
        <v>190</v>
      </c>
      <c r="M917" s="18">
        <v>40</v>
      </c>
      <c r="N917" s="1">
        <v>40</v>
      </c>
      <c r="O917" s="1">
        <v>1</v>
      </c>
      <c r="P917" s="1">
        <v>291</v>
      </c>
      <c r="Q917" s="1">
        <v>0</v>
      </c>
    </row>
    <row r="918" spans="2:17" ht="15.45" x14ac:dyDescent="0.4">
      <c r="B918" s="1">
        <v>393</v>
      </c>
      <c r="C918" s="1">
        <v>3772.9274796974951</v>
      </c>
      <c r="D918" s="1">
        <v>1</v>
      </c>
      <c r="E918" s="1">
        <v>11436.459801721356</v>
      </c>
      <c r="F918" s="1">
        <v>-1</v>
      </c>
      <c r="G918" s="1">
        <v>393</v>
      </c>
      <c r="H918" s="1">
        <v>1957.0192208229748</v>
      </c>
      <c r="I918" s="1">
        <v>1</v>
      </c>
      <c r="J918" s="1">
        <v>2773.3209878591706</v>
      </c>
      <c r="K918" s="1">
        <v>1</v>
      </c>
      <c r="L918" s="1">
        <v>191</v>
      </c>
      <c r="M918" s="18">
        <v>40</v>
      </c>
      <c r="N918" s="1">
        <v>40</v>
      </c>
      <c r="O918" s="1">
        <v>1</v>
      </c>
      <c r="P918" s="1">
        <v>292</v>
      </c>
      <c r="Q918" s="1">
        <v>0</v>
      </c>
    </row>
    <row r="919" spans="2:17" ht="15.45" x14ac:dyDescent="0.4">
      <c r="B919" s="1">
        <v>394</v>
      </c>
      <c r="C919" s="1">
        <v>3774.6572100957414</v>
      </c>
      <c r="D919" s="1">
        <v>1</v>
      </c>
      <c r="E919" s="1">
        <v>11465.867635118941</v>
      </c>
      <c r="F919" s="1">
        <v>-1</v>
      </c>
      <c r="G919" s="1">
        <v>394</v>
      </c>
      <c r="H919" s="1">
        <v>5875.3590426447836</v>
      </c>
      <c r="I919" s="1">
        <v>-1</v>
      </c>
      <c r="J919" s="1">
        <v>2775.2435724786274</v>
      </c>
      <c r="K919" s="1">
        <v>1</v>
      </c>
      <c r="L919" s="1">
        <v>192</v>
      </c>
      <c r="M919" s="18">
        <v>40</v>
      </c>
      <c r="N919" s="1">
        <v>40</v>
      </c>
      <c r="O919" s="1">
        <v>1</v>
      </c>
      <c r="P919" s="1">
        <v>293</v>
      </c>
      <c r="Q919" s="1">
        <v>0</v>
      </c>
    </row>
    <row r="920" spans="2:17" ht="15.45" x14ac:dyDescent="0.4">
      <c r="B920" s="1">
        <v>395</v>
      </c>
      <c r="C920" s="1">
        <v>3779.0366362619652</v>
      </c>
      <c r="D920" s="1">
        <v>1</v>
      </c>
      <c r="E920" s="1">
        <v>11486.945348934201</v>
      </c>
      <c r="F920" s="1">
        <v>-1</v>
      </c>
      <c r="G920" s="1">
        <v>395</v>
      </c>
      <c r="H920" s="1">
        <v>1962.8555777367619</v>
      </c>
      <c r="I920" s="1">
        <v>1</v>
      </c>
      <c r="J920" s="1">
        <v>2776.5020647872416</v>
      </c>
      <c r="K920" s="1">
        <v>-1</v>
      </c>
      <c r="L920" s="1">
        <v>191</v>
      </c>
      <c r="M920" s="18">
        <v>40</v>
      </c>
      <c r="N920" s="1">
        <v>40</v>
      </c>
      <c r="O920" s="1">
        <v>0</v>
      </c>
      <c r="P920" s="1">
        <v>0</v>
      </c>
      <c r="Q920" s="1">
        <v>0</v>
      </c>
    </row>
    <row r="921" spans="2:17" ht="15.45" x14ac:dyDescent="0.4">
      <c r="B921" s="1">
        <v>396</v>
      </c>
      <c r="C921" s="1">
        <v>3787.0863077176637</v>
      </c>
      <c r="D921" s="1">
        <v>1</v>
      </c>
      <c r="E921" s="1">
        <v>11544.315656290517</v>
      </c>
      <c r="F921" s="1">
        <v>-1</v>
      </c>
      <c r="G921" s="1">
        <v>396</v>
      </c>
      <c r="H921" s="1">
        <v>5906.1917074698722</v>
      </c>
      <c r="I921" s="1">
        <v>-1</v>
      </c>
      <c r="J921" s="1">
        <v>2790.3764495322066</v>
      </c>
      <c r="K921" s="1">
        <v>-1</v>
      </c>
      <c r="L921" s="1">
        <v>190</v>
      </c>
      <c r="M921" s="18">
        <v>40</v>
      </c>
      <c r="N921" s="1">
        <v>40</v>
      </c>
      <c r="O921" s="1">
        <v>0</v>
      </c>
      <c r="P921" s="1">
        <v>0</v>
      </c>
      <c r="Q921" s="1">
        <v>0</v>
      </c>
    </row>
    <row r="922" spans="2:17" ht="15.45" x14ac:dyDescent="0.4">
      <c r="B922" s="1">
        <v>397</v>
      </c>
      <c r="C922" s="1">
        <v>3793.0480502695618</v>
      </c>
      <c r="D922" s="1">
        <v>1</v>
      </c>
      <c r="E922" s="1">
        <v>11592.401352507057</v>
      </c>
      <c r="F922" s="1">
        <v>-1</v>
      </c>
      <c r="G922" s="1">
        <v>397</v>
      </c>
      <c r="H922" s="1">
        <v>1977.6400364884491</v>
      </c>
      <c r="I922" s="1">
        <v>1</v>
      </c>
      <c r="J922" s="1">
        <v>2790.6649984618002</v>
      </c>
      <c r="K922" s="1">
        <v>1</v>
      </c>
      <c r="L922" s="1">
        <v>191</v>
      </c>
      <c r="M922" s="18">
        <v>40</v>
      </c>
      <c r="N922" s="1">
        <v>40</v>
      </c>
      <c r="O922" s="1">
        <v>1</v>
      </c>
      <c r="P922" s="1">
        <v>294</v>
      </c>
      <c r="Q922" s="1">
        <v>0</v>
      </c>
    </row>
    <row r="923" spans="2:17" ht="15.45" x14ac:dyDescent="0.4">
      <c r="B923" s="1">
        <v>398</v>
      </c>
      <c r="C923" s="1">
        <v>3837.2928726567784</v>
      </c>
      <c r="D923" s="1">
        <v>1</v>
      </c>
      <c r="E923" s="1">
        <v>11599.906837076171</v>
      </c>
      <c r="F923" s="1">
        <v>-1</v>
      </c>
      <c r="G923" s="1">
        <v>398</v>
      </c>
      <c r="H923" s="1">
        <v>5944.410682821037</v>
      </c>
      <c r="I923" s="1">
        <v>-1</v>
      </c>
      <c r="J923" s="1">
        <v>2798.0512509383202</v>
      </c>
      <c r="K923" s="1">
        <v>-1</v>
      </c>
      <c r="L923" s="1">
        <v>190</v>
      </c>
      <c r="M923" s="18">
        <v>40</v>
      </c>
      <c r="N923" s="1">
        <v>40</v>
      </c>
      <c r="O923" s="1">
        <v>0</v>
      </c>
      <c r="P923" s="1">
        <v>0</v>
      </c>
      <c r="Q923" s="1">
        <v>0</v>
      </c>
    </row>
    <row r="924" spans="2:17" ht="15.45" x14ac:dyDescent="0.4">
      <c r="B924" s="1">
        <v>399</v>
      </c>
      <c r="C924" s="1">
        <v>3840.9896311452826</v>
      </c>
      <c r="D924" s="1">
        <v>1</v>
      </c>
      <c r="E924" s="1">
        <v>11632.356023363971</v>
      </c>
      <c r="F924" s="1">
        <v>-1</v>
      </c>
      <c r="G924" s="1">
        <v>399</v>
      </c>
      <c r="H924" s="1">
        <v>1977.8648795502288</v>
      </c>
      <c r="I924" s="1">
        <v>1</v>
      </c>
      <c r="J924" s="1">
        <v>2804.4296577064724</v>
      </c>
      <c r="K924" s="1">
        <v>1</v>
      </c>
      <c r="L924" s="1">
        <v>191</v>
      </c>
      <c r="M924" s="18">
        <v>40</v>
      </c>
      <c r="N924" s="1">
        <v>40</v>
      </c>
      <c r="O924" s="1">
        <v>1</v>
      </c>
      <c r="P924" s="1">
        <v>295</v>
      </c>
      <c r="Q924" s="1">
        <v>0</v>
      </c>
    </row>
    <row r="925" spans="2:17" ht="15.45" x14ac:dyDescent="0.4">
      <c r="B925" s="1">
        <v>400</v>
      </c>
      <c r="C925" s="1">
        <v>3852.4528218109617</v>
      </c>
      <c r="D925" s="1">
        <v>1</v>
      </c>
      <c r="E925" s="1">
        <v>11635.676070095145</v>
      </c>
      <c r="F925" s="1">
        <v>-1</v>
      </c>
      <c r="G925" s="1">
        <v>400</v>
      </c>
      <c r="H925" s="1">
        <v>5951.0359805036333</v>
      </c>
      <c r="I925" s="1">
        <v>-1</v>
      </c>
      <c r="J925" s="1">
        <v>2809.420308496547</v>
      </c>
      <c r="K925" s="1">
        <v>1</v>
      </c>
      <c r="L925" s="1">
        <v>192</v>
      </c>
      <c r="M925" s="18">
        <v>40</v>
      </c>
      <c r="N925" s="1">
        <v>40</v>
      </c>
      <c r="O925" s="1">
        <v>1</v>
      </c>
      <c r="P925" s="1">
        <v>296</v>
      </c>
      <c r="Q925" s="1">
        <v>0</v>
      </c>
    </row>
    <row r="926" spans="2:17" ht="15.45" x14ac:dyDescent="0.4">
      <c r="B926" s="1">
        <v>401</v>
      </c>
      <c r="C926" s="1">
        <v>3852.7994380624418</v>
      </c>
      <c r="D926" s="1">
        <v>1</v>
      </c>
      <c r="E926" s="1">
        <v>11643.4597793545</v>
      </c>
      <c r="F926" s="1">
        <v>-1</v>
      </c>
      <c r="G926" s="1">
        <v>401</v>
      </c>
      <c r="H926" s="1">
        <v>1984.1606466416486</v>
      </c>
      <c r="I926" s="1">
        <v>1</v>
      </c>
      <c r="J926" s="1">
        <v>2811.1164507275089</v>
      </c>
      <c r="K926" s="1">
        <v>1</v>
      </c>
      <c r="L926" s="1">
        <v>193</v>
      </c>
      <c r="M926" s="18">
        <v>40</v>
      </c>
      <c r="N926" s="1">
        <v>40</v>
      </c>
      <c r="O926" s="1">
        <v>1</v>
      </c>
      <c r="P926" s="1">
        <v>297</v>
      </c>
      <c r="Q926" s="1">
        <v>0</v>
      </c>
    </row>
    <row r="927" spans="2:17" ht="15.45" x14ac:dyDescent="0.4">
      <c r="B927" s="1">
        <v>402</v>
      </c>
      <c r="C927" s="1">
        <v>3858.4848250074424</v>
      </c>
      <c r="D927" s="1">
        <v>1</v>
      </c>
      <c r="E927" s="1">
        <v>11648.235526911771</v>
      </c>
      <c r="F927" s="1">
        <v>-1</v>
      </c>
      <c r="G927" s="1">
        <v>402</v>
      </c>
      <c r="H927" s="1">
        <v>5989.6820648889416</v>
      </c>
      <c r="I927" s="1">
        <v>-1</v>
      </c>
      <c r="J927" s="1">
        <v>2812.1307122658864</v>
      </c>
      <c r="K927" s="1">
        <v>-1</v>
      </c>
      <c r="L927" s="1">
        <v>192</v>
      </c>
      <c r="M927" s="18">
        <v>40</v>
      </c>
      <c r="N927" s="1">
        <v>39</v>
      </c>
      <c r="O927" s="1">
        <v>0</v>
      </c>
      <c r="P927" s="1">
        <v>0</v>
      </c>
      <c r="Q927" s="1">
        <v>0</v>
      </c>
    </row>
    <row r="928" spans="2:17" ht="15.45" x14ac:dyDescent="0.4">
      <c r="B928" s="1">
        <v>403</v>
      </c>
      <c r="C928" s="1">
        <v>3862.3076723802023</v>
      </c>
      <c r="D928" s="1">
        <v>1</v>
      </c>
      <c r="E928" s="1">
        <v>11662.996857896611</v>
      </c>
      <c r="F928" s="1">
        <v>-1</v>
      </c>
      <c r="G928" s="1">
        <v>403</v>
      </c>
      <c r="H928" s="1">
        <v>1986.5705010171187</v>
      </c>
      <c r="I928" s="1">
        <v>1</v>
      </c>
      <c r="J928" s="1">
        <v>2819.6670790115654</v>
      </c>
      <c r="K928" s="1">
        <v>1</v>
      </c>
      <c r="L928" s="1">
        <v>193</v>
      </c>
      <c r="M928" s="18">
        <v>40</v>
      </c>
      <c r="N928" s="1">
        <v>40</v>
      </c>
      <c r="O928" s="1">
        <v>0</v>
      </c>
      <c r="P928" s="1">
        <v>0</v>
      </c>
      <c r="Q928" s="1">
        <v>0</v>
      </c>
    </row>
    <row r="929" spans="2:17" ht="15.45" x14ac:dyDescent="0.4">
      <c r="B929" s="1">
        <v>404</v>
      </c>
      <c r="C929" s="1">
        <v>3863.333193848071</v>
      </c>
      <c r="D929" s="1">
        <v>1</v>
      </c>
      <c r="E929" s="1">
        <v>11681.113473001024</v>
      </c>
      <c r="F929" s="1">
        <v>-1</v>
      </c>
      <c r="G929" s="1">
        <v>404</v>
      </c>
      <c r="H929" s="1">
        <v>6067.2917825155755</v>
      </c>
      <c r="I929" s="1">
        <v>-1</v>
      </c>
      <c r="J929" s="1">
        <v>2824.4732965877761</v>
      </c>
      <c r="K929" s="1">
        <v>1</v>
      </c>
      <c r="L929" s="1">
        <v>194</v>
      </c>
      <c r="M929" s="18">
        <v>40</v>
      </c>
      <c r="N929" s="1">
        <v>40</v>
      </c>
      <c r="O929" s="1">
        <v>1</v>
      </c>
      <c r="P929" s="1">
        <v>299</v>
      </c>
      <c r="Q929" s="1">
        <v>0</v>
      </c>
    </row>
    <row r="930" spans="2:17" ht="15.45" x14ac:dyDescent="0.4">
      <c r="B930" s="1">
        <v>405</v>
      </c>
      <c r="C930" s="1">
        <v>3876.6001660389379</v>
      </c>
      <c r="D930" s="1">
        <v>1</v>
      </c>
      <c r="E930" s="1">
        <v>11721.652560808978</v>
      </c>
      <c r="F930" s="1">
        <v>-1</v>
      </c>
      <c r="G930" s="1">
        <v>405</v>
      </c>
      <c r="H930" s="1">
        <v>1991.8205601614618</v>
      </c>
      <c r="I930" s="1">
        <v>1</v>
      </c>
      <c r="J930" s="1">
        <v>2826.5921416065225</v>
      </c>
      <c r="K930" s="1">
        <v>1</v>
      </c>
      <c r="L930" s="1">
        <v>195</v>
      </c>
      <c r="M930" s="18">
        <v>40</v>
      </c>
      <c r="N930" s="1">
        <v>40</v>
      </c>
      <c r="O930" s="1">
        <v>1</v>
      </c>
      <c r="P930" s="1">
        <v>300</v>
      </c>
      <c r="Q930" s="1">
        <v>0</v>
      </c>
    </row>
    <row r="931" spans="2:17" ht="15.45" x14ac:dyDescent="0.4">
      <c r="B931" s="1">
        <v>406</v>
      </c>
      <c r="C931" s="1">
        <v>3899.31157963038</v>
      </c>
      <c r="D931" s="1">
        <v>1</v>
      </c>
      <c r="E931" s="1">
        <v>11725.768705731127</v>
      </c>
      <c r="F931" s="1">
        <v>-1</v>
      </c>
      <c r="G931" s="1">
        <v>406</v>
      </c>
      <c r="H931" s="1">
        <v>6118.5357271519269</v>
      </c>
      <c r="I931" s="1">
        <v>-1</v>
      </c>
      <c r="J931" s="1">
        <v>2833.0474651645113</v>
      </c>
      <c r="K931" s="1">
        <v>1</v>
      </c>
      <c r="L931" s="1">
        <v>196</v>
      </c>
      <c r="M931" s="18">
        <v>40</v>
      </c>
      <c r="N931" s="1">
        <v>40</v>
      </c>
      <c r="O931" s="1">
        <v>1</v>
      </c>
      <c r="P931" s="1">
        <v>301</v>
      </c>
      <c r="Q931" s="1">
        <v>0</v>
      </c>
    </row>
    <row r="932" spans="2:17" ht="15.45" x14ac:dyDescent="0.4">
      <c r="B932" s="1">
        <v>407</v>
      </c>
      <c r="C932" s="1">
        <v>3922.9794168528742</v>
      </c>
      <c r="D932" s="1">
        <v>1</v>
      </c>
      <c r="E932" s="1">
        <v>11730.957896925865</v>
      </c>
      <c r="F932" s="1">
        <v>-1</v>
      </c>
      <c r="G932" s="1">
        <v>407</v>
      </c>
      <c r="H932" s="1">
        <v>2011.6281487594699</v>
      </c>
      <c r="I932" s="1">
        <v>1</v>
      </c>
      <c r="J932" s="1">
        <v>2844.3852568158636</v>
      </c>
      <c r="K932" s="1">
        <v>1</v>
      </c>
      <c r="L932" s="1">
        <v>197</v>
      </c>
      <c r="M932" s="18">
        <v>40</v>
      </c>
      <c r="N932" s="1">
        <v>40</v>
      </c>
      <c r="O932" s="1">
        <v>1</v>
      </c>
      <c r="P932" s="1">
        <v>302</v>
      </c>
      <c r="Q932" s="1">
        <v>0</v>
      </c>
    </row>
    <row r="933" spans="2:17" ht="15.45" x14ac:dyDescent="0.4">
      <c r="B933" s="1">
        <v>408</v>
      </c>
      <c r="C933" s="1">
        <v>3943.9943597937358</v>
      </c>
      <c r="D933" s="1">
        <v>1</v>
      </c>
      <c r="E933" s="1">
        <v>11744.096175424536</v>
      </c>
      <c r="F933" s="1">
        <v>-1</v>
      </c>
      <c r="G933" s="1">
        <v>408</v>
      </c>
      <c r="H933" s="1">
        <v>6123.4674492161503</v>
      </c>
      <c r="I933" s="1">
        <v>-1</v>
      </c>
      <c r="J933" s="1">
        <v>2848.4829086076334</v>
      </c>
      <c r="K933" s="1">
        <v>1</v>
      </c>
      <c r="L933" s="1">
        <v>198</v>
      </c>
      <c r="M933" s="18">
        <v>40</v>
      </c>
      <c r="N933" s="1">
        <v>40</v>
      </c>
      <c r="O933" s="1">
        <v>1</v>
      </c>
      <c r="P933" s="1">
        <v>303</v>
      </c>
      <c r="Q933" s="1">
        <v>0</v>
      </c>
    </row>
    <row r="934" spans="2:17" ht="15.45" x14ac:dyDescent="0.4">
      <c r="B934" s="1">
        <v>409</v>
      </c>
      <c r="C934" s="1">
        <v>3976.2745726542612</v>
      </c>
      <c r="D934" s="1">
        <v>1</v>
      </c>
      <c r="E934" s="1">
        <v>11768.245189791631</v>
      </c>
      <c r="F934" s="1">
        <v>-1</v>
      </c>
      <c r="G934" s="1">
        <v>409</v>
      </c>
      <c r="H934" s="1">
        <v>2026.2438505511457</v>
      </c>
      <c r="I934" s="1">
        <v>1</v>
      </c>
      <c r="J934" s="1">
        <v>2852.4744483491136</v>
      </c>
      <c r="K934" s="1">
        <v>1</v>
      </c>
      <c r="L934" s="1">
        <v>199</v>
      </c>
      <c r="M934" s="18">
        <v>40</v>
      </c>
      <c r="N934" s="1">
        <v>40</v>
      </c>
      <c r="O934" s="1">
        <v>1</v>
      </c>
      <c r="P934" s="1">
        <v>304</v>
      </c>
      <c r="Q934" s="1">
        <v>0</v>
      </c>
    </row>
    <row r="935" spans="2:17" ht="15.45" x14ac:dyDescent="0.4">
      <c r="B935" s="1">
        <v>410</v>
      </c>
      <c r="C935" s="1">
        <v>3988.1594382594462</v>
      </c>
      <c r="D935" s="1">
        <v>1</v>
      </c>
      <c r="E935" s="1">
        <v>11786.130417447326</v>
      </c>
      <c r="F935" s="1">
        <v>-1</v>
      </c>
      <c r="G935" s="1">
        <v>410</v>
      </c>
      <c r="H935" s="1">
        <v>6126.2495662796027</v>
      </c>
      <c r="I935" s="1">
        <v>-1</v>
      </c>
      <c r="J935" s="1">
        <v>2853.1162042999053</v>
      </c>
      <c r="K935" s="1">
        <v>1</v>
      </c>
      <c r="L935" s="1">
        <v>200</v>
      </c>
      <c r="M935" s="18">
        <v>40</v>
      </c>
      <c r="N935" s="1">
        <v>40</v>
      </c>
      <c r="O935" s="1">
        <v>1</v>
      </c>
      <c r="P935" s="1">
        <v>305</v>
      </c>
      <c r="Q935" s="1">
        <v>0</v>
      </c>
    </row>
    <row r="936" spans="2:17" ht="15.45" x14ac:dyDescent="0.4">
      <c r="B936" s="1">
        <v>411</v>
      </c>
      <c r="C936" s="1">
        <v>3996.3623250105738</v>
      </c>
      <c r="D936" s="1">
        <v>1</v>
      </c>
      <c r="E936" s="1">
        <v>11918.864884608976</v>
      </c>
      <c r="F936" s="1">
        <v>-1</v>
      </c>
      <c r="G936" s="1">
        <v>411</v>
      </c>
      <c r="H936" s="1">
        <v>2030.1712028852994</v>
      </c>
      <c r="I936" s="1">
        <v>1</v>
      </c>
      <c r="J936" s="1">
        <v>2853.7885034139003</v>
      </c>
      <c r="K936" s="1">
        <v>1</v>
      </c>
      <c r="L936" s="1">
        <v>201</v>
      </c>
      <c r="M936" s="18">
        <v>40</v>
      </c>
      <c r="N936" s="1">
        <v>40</v>
      </c>
      <c r="O936" s="1">
        <v>1</v>
      </c>
      <c r="P936" s="1">
        <v>306</v>
      </c>
      <c r="Q936" s="1">
        <v>0</v>
      </c>
    </row>
    <row r="937" spans="2:17" ht="15.45" x14ac:dyDescent="0.4">
      <c r="B937" s="1">
        <v>412</v>
      </c>
      <c r="C937" s="1">
        <v>4008.3789562463762</v>
      </c>
      <c r="D937" s="1">
        <v>1</v>
      </c>
      <c r="E937" s="1">
        <v>11929.955160074489</v>
      </c>
      <c r="F937" s="1">
        <v>-1</v>
      </c>
      <c r="G937" s="1">
        <v>412</v>
      </c>
      <c r="H937" s="1">
        <v>6150.577292623273</v>
      </c>
      <c r="I937" s="1">
        <v>-1</v>
      </c>
      <c r="J937" s="1">
        <v>2863.4830390510579</v>
      </c>
      <c r="K937" s="1">
        <v>1</v>
      </c>
      <c r="L937" s="1">
        <v>202</v>
      </c>
      <c r="M937" s="18">
        <v>40</v>
      </c>
      <c r="N937" s="1">
        <v>40</v>
      </c>
      <c r="O937" s="1">
        <v>1</v>
      </c>
      <c r="P937" s="1">
        <v>307</v>
      </c>
      <c r="Q937" s="1">
        <v>0</v>
      </c>
    </row>
    <row r="938" spans="2:17" ht="15.45" x14ac:dyDescent="0.4">
      <c r="B938" s="1">
        <v>413</v>
      </c>
      <c r="C938" s="1">
        <v>4011.491893833841</v>
      </c>
      <c r="D938" s="1">
        <v>1</v>
      </c>
      <c r="E938" s="1">
        <v>11964.344732071526</v>
      </c>
      <c r="F938" s="1">
        <v>-1</v>
      </c>
      <c r="G938" s="1">
        <v>413</v>
      </c>
      <c r="H938" s="1">
        <v>2034.6847563898784</v>
      </c>
      <c r="I938" s="1">
        <v>1</v>
      </c>
      <c r="J938" s="1">
        <v>2878.7258318577024</v>
      </c>
      <c r="K938" s="1">
        <v>1</v>
      </c>
      <c r="L938" s="1">
        <v>203</v>
      </c>
      <c r="M938" s="18">
        <v>40</v>
      </c>
      <c r="N938" s="1">
        <v>40</v>
      </c>
      <c r="O938" s="1">
        <v>1</v>
      </c>
      <c r="P938" s="1">
        <v>308</v>
      </c>
      <c r="Q938" s="1">
        <v>0</v>
      </c>
    </row>
    <row r="939" spans="2:17" ht="15.45" x14ac:dyDescent="0.4">
      <c r="B939" s="1">
        <v>414</v>
      </c>
      <c r="C939" s="1">
        <v>4019.0622241903852</v>
      </c>
      <c r="D939" s="1">
        <v>1</v>
      </c>
      <c r="E939" s="1">
        <v>11965.384580825967</v>
      </c>
      <c r="F939" s="1">
        <v>-1</v>
      </c>
      <c r="G939" s="1">
        <v>414</v>
      </c>
      <c r="H939" s="1">
        <v>6243.6034723379726</v>
      </c>
      <c r="I939" s="1">
        <v>-1</v>
      </c>
      <c r="J939" s="1">
        <v>2899.8085422882027</v>
      </c>
      <c r="K939" s="1">
        <v>-1</v>
      </c>
      <c r="L939" s="1">
        <v>202</v>
      </c>
      <c r="M939" s="18">
        <v>40</v>
      </c>
      <c r="N939" s="1">
        <v>39</v>
      </c>
      <c r="O939" s="1">
        <v>0</v>
      </c>
      <c r="P939" s="1">
        <v>0</v>
      </c>
      <c r="Q939" s="1">
        <v>0</v>
      </c>
    </row>
    <row r="940" spans="2:17" ht="15.45" x14ac:dyDescent="0.4">
      <c r="B940" s="1">
        <v>415</v>
      </c>
      <c r="C940" s="1">
        <v>4026.3137620964053</v>
      </c>
      <c r="D940" s="1">
        <v>1</v>
      </c>
      <c r="E940" s="1">
        <v>11982.440741660968</v>
      </c>
      <c r="F940" s="1">
        <v>-1</v>
      </c>
      <c r="G940" s="1">
        <v>415</v>
      </c>
      <c r="H940" s="1">
        <v>2070.4471734622089</v>
      </c>
      <c r="I940" s="1">
        <v>1</v>
      </c>
      <c r="J940" s="1">
        <v>2919.3292813618868</v>
      </c>
      <c r="K940" s="1">
        <v>-1</v>
      </c>
      <c r="L940" s="1">
        <v>201</v>
      </c>
      <c r="M940" s="18">
        <v>40</v>
      </c>
      <c r="N940" s="1">
        <v>38</v>
      </c>
      <c r="O940" s="1">
        <v>0</v>
      </c>
      <c r="P940" s="1">
        <v>0</v>
      </c>
      <c r="Q940" s="1">
        <v>0</v>
      </c>
    </row>
    <row r="941" spans="2:17" ht="15.45" x14ac:dyDescent="0.4">
      <c r="B941" s="1">
        <v>416</v>
      </c>
      <c r="C941" s="1">
        <v>4043.6061621889444</v>
      </c>
      <c r="D941" s="1">
        <v>1</v>
      </c>
      <c r="E941" s="1">
        <v>11993.909283779249</v>
      </c>
      <c r="F941" s="1">
        <v>-1</v>
      </c>
      <c r="G941" s="1">
        <v>416</v>
      </c>
      <c r="H941" s="1">
        <v>6261.2589053214797</v>
      </c>
      <c r="I941" s="1">
        <v>-1</v>
      </c>
      <c r="J941" s="1">
        <v>2925.2577313688653</v>
      </c>
      <c r="K941" s="1">
        <v>-1</v>
      </c>
      <c r="L941" s="1">
        <v>200</v>
      </c>
      <c r="M941" s="18">
        <v>40</v>
      </c>
      <c r="N941" s="1">
        <v>37</v>
      </c>
      <c r="O941" s="1">
        <v>0</v>
      </c>
      <c r="P941" s="1">
        <v>0</v>
      </c>
      <c r="Q941" s="1">
        <v>0</v>
      </c>
    </row>
    <row r="942" spans="2:17" ht="15.45" x14ac:dyDescent="0.4">
      <c r="B942" s="1">
        <v>417</v>
      </c>
      <c r="C942" s="1">
        <v>4065.436994101527</v>
      </c>
      <c r="D942" s="1">
        <v>1</v>
      </c>
      <c r="E942" s="1">
        <v>11996.985848182854</v>
      </c>
      <c r="F942" s="1">
        <v>-1</v>
      </c>
      <c r="G942" s="1">
        <v>417</v>
      </c>
      <c r="H942" s="1">
        <v>2075.1843350110335</v>
      </c>
      <c r="I942" s="1">
        <v>1</v>
      </c>
      <c r="J942" s="1">
        <v>2927.8579807483566</v>
      </c>
      <c r="K942" s="1">
        <v>1</v>
      </c>
      <c r="L942" s="1">
        <v>201</v>
      </c>
      <c r="M942" s="18">
        <v>40</v>
      </c>
      <c r="N942" s="1">
        <v>38</v>
      </c>
      <c r="O942" s="1">
        <v>0</v>
      </c>
      <c r="P942" s="1">
        <v>0</v>
      </c>
      <c r="Q942" s="1">
        <v>0</v>
      </c>
    </row>
    <row r="943" spans="2:17" ht="15.45" x14ac:dyDescent="0.4">
      <c r="B943" s="1">
        <v>418</v>
      </c>
      <c r="C943" s="1">
        <v>4092.5966608962276</v>
      </c>
      <c r="D943" s="1">
        <v>1</v>
      </c>
      <c r="E943" s="1">
        <v>12036.786764755456</v>
      </c>
      <c r="F943" s="1">
        <v>-1</v>
      </c>
      <c r="G943" s="1">
        <v>418</v>
      </c>
      <c r="H943" s="1">
        <v>6271.2537374904477</v>
      </c>
      <c r="I943" s="1">
        <v>-1</v>
      </c>
      <c r="J943" s="1">
        <v>2936.2162246252055</v>
      </c>
      <c r="K943" s="1">
        <v>1</v>
      </c>
      <c r="L943" s="1">
        <v>202</v>
      </c>
      <c r="M943" s="18">
        <v>40</v>
      </c>
      <c r="N943" s="1">
        <v>39</v>
      </c>
      <c r="O943" s="1">
        <v>0</v>
      </c>
      <c r="P943" s="1">
        <v>0</v>
      </c>
      <c r="Q943" s="1">
        <v>0</v>
      </c>
    </row>
    <row r="944" spans="2:17" ht="15.45" x14ac:dyDescent="0.4">
      <c r="B944" s="1">
        <v>419</v>
      </c>
      <c r="C944" s="1">
        <v>4108.1340374371648</v>
      </c>
      <c r="D944" s="1">
        <v>1</v>
      </c>
      <c r="E944" s="1">
        <v>12104.921005529783</v>
      </c>
      <c r="F944" s="1">
        <v>-1</v>
      </c>
      <c r="G944" s="1">
        <v>419</v>
      </c>
      <c r="H944" s="1">
        <v>2081.8538876792031</v>
      </c>
      <c r="I944" s="1">
        <v>1</v>
      </c>
      <c r="J944" s="1">
        <v>2946.5901790693447</v>
      </c>
      <c r="K944" s="1">
        <v>-1</v>
      </c>
      <c r="L944" s="1">
        <v>201</v>
      </c>
      <c r="M944" s="18">
        <v>40</v>
      </c>
      <c r="N944" s="1">
        <v>38</v>
      </c>
      <c r="O944" s="1">
        <v>0</v>
      </c>
      <c r="P944" s="1">
        <v>0</v>
      </c>
      <c r="Q944" s="1">
        <v>0</v>
      </c>
    </row>
    <row r="945" spans="2:17" ht="15.45" x14ac:dyDescent="0.4">
      <c r="B945" s="1">
        <v>420</v>
      </c>
      <c r="C945" s="1">
        <v>4111.0910182708185</v>
      </c>
      <c r="D945" s="1">
        <v>1</v>
      </c>
      <c r="E945" s="1">
        <v>12175.924517197265</v>
      </c>
      <c r="F945" s="1">
        <v>-1</v>
      </c>
      <c r="G945" s="1">
        <v>420</v>
      </c>
      <c r="H945" s="1">
        <v>6278.0439291075709</v>
      </c>
      <c r="I945" s="1">
        <v>-1</v>
      </c>
      <c r="J945" s="1">
        <v>2962.5571362959945</v>
      </c>
      <c r="K945" s="1">
        <v>1</v>
      </c>
      <c r="L945" s="1">
        <v>202</v>
      </c>
      <c r="M945" s="18">
        <v>40</v>
      </c>
      <c r="N945" s="1">
        <v>39</v>
      </c>
      <c r="O945" s="1">
        <v>0</v>
      </c>
      <c r="P945" s="1">
        <v>0</v>
      </c>
      <c r="Q945" s="1">
        <v>0</v>
      </c>
    </row>
    <row r="946" spans="2:17" ht="15.45" x14ac:dyDescent="0.4">
      <c r="B946" s="1">
        <v>421</v>
      </c>
      <c r="C946" s="1">
        <v>4119.3883451684833</v>
      </c>
      <c r="D946" s="1">
        <v>1</v>
      </c>
      <c r="E946" s="1">
        <v>12238.96934601985</v>
      </c>
      <c r="F946" s="1">
        <v>-1</v>
      </c>
      <c r="G946" s="1">
        <v>421</v>
      </c>
      <c r="H946" s="1">
        <v>2092.2453694005771</v>
      </c>
      <c r="I946" s="1">
        <v>1</v>
      </c>
      <c r="J946" s="1">
        <v>2970.4228354209627</v>
      </c>
      <c r="K946" s="1">
        <v>1</v>
      </c>
      <c r="L946" s="1">
        <v>203</v>
      </c>
      <c r="M946" s="18">
        <v>40</v>
      </c>
      <c r="N946" s="1">
        <v>40</v>
      </c>
      <c r="O946" s="1">
        <v>0</v>
      </c>
      <c r="P946" s="1">
        <v>0</v>
      </c>
      <c r="Q946" s="1">
        <v>0</v>
      </c>
    </row>
    <row r="947" spans="2:17" ht="15.45" x14ac:dyDescent="0.4">
      <c r="B947" s="1">
        <v>422</v>
      </c>
      <c r="C947" s="1">
        <v>4124.7573106011014</v>
      </c>
      <c r="D947" s="1">
        <v>1</v>
      </c>
      <c r="E947" s="1">
        <v>12335.809984601427</v>
      </c>
      <c r="F947" s="1">
        <v>-1</v>
      </c>
      <c r="G947" s="1">
        <v>422</v>
      </c>
      <c r="H947" s="1">
        <v>6295.5529998489319</v>
      </c>
      <c r="I947" s="1">
        <v>-1</v>
      </c>
      <c r="J947" s="1">
        <v>2972.7230581925996</v>
      </c>
      <c r="K947" s="1">
        <v>-1</v>
      </c>
      <c r="L947" s="1">
        <v>202</v>
      </c>
      <c r="M947" s="18">
        <v>40</v>
      </c>
      <c r="N947" s="1">
        <v>39</v>
      </c>
      <c r="O947" s="1">
        <v>0</v>
      </c>
      <c r="P947" s="1">
        <v>0</v>
      </c>
      <c r="Q947" s="1">
        <v>0</v>
      </c>
    </row>
    <row r="948" spans="2:17" ht="15.45" x14ac:dyDescent="0.4">
      <c r="B948" s="1">
        <v>423</v>
      </c>
      <c r="C948" s="1">
        <v>4125.6534312331887</v>
      </c>
      <c r="D948" s="1">
        <v>1</v>
      </c>
      <c r="E948" s="1">
        <v>12371.464581416982</v>
      </c>
      <c r="F948" s="1">
        <v>-1</v>
      </c>
      <c r="G948" s="1">
        <v>423</v>
      </c>
      <c r="H948" s="1">
        <v>2098.0059847074717</v>
      </c>
      <c r="I948" s="1">
        <v>1</v>
      </c>
      <c r="J948" s="1">
        <v>3003.0024934231374</v>
      </c>
      <c r="K948" s="1">
        <v>-1</v>
      </c>
      <c r="L948" s="1">
        <v>201</v>
      </c>
      <c r="M948" s="18">
        <v>40</v>
      </c>
      <c r="N948" s="1">
        <v>38</v>
      </c>
      <c r="O948" s="1">
        <v>0</v>
      </c>
      <c r="P948" s="1">
        <v>0</v>
      </c>
      <c r="Q948" s="1">
        <v>0</v>
      </c>
    </row>
    <row r="949" spans="2:17" ht="15.45" x14ac:dyDescent="0.4">
      <c r="B949" s="1">
        <v>424</v>
      </c>
      <c r="C949" s="1">
        <v>4140.1623690042779</v>
      </c>
      <c r="D949" s="1">
        <v>1</v>
      </c>
      <c r="E949" s="1">
        <v>12396.073241670363</v>
      </c>
      <c r="F949" s="1">
        <v>-1</v>
      </c>
      <c r="G949" s="1">
        <v>424</v>
      </c>
      <c r="H949" s="1">
        <v>6339.9063761039934</v>
      </c>
      <c r="I949" s="1">
        <v>-1</v>
      </c>
      <c r="J949" s="1">
        <v>3009.6359289412935</v>
      </c>
      <c r="K949" s="1">
        <v>1</v>
      </c>
      <c r="L949" s="1">
        <v>202</v>
      </c>
      <c r="M949" s="18">
        <v>40</v>
      </c>
      <c r="N949" s="1">
        <v>39</v>
      </c>
      <c r="O949" s="1">
        <v>0</v>
      </c>
      <c r="P949" s="1">
        <v>0</v>
      </c>
      <c r="Q949" s="1">
        <v>0</v>
      </c>
    </row>
    <row r="950" spans="2:17" ht="15.45" x14ac:dyDescent="0.4">
      <c r="B950" s="1">
        <v>425</v>
      </c>
      <c r="C950" s="1">
        <v>4156.7048457188694</v>
      </c>
      <c r="D950" s="1">
        <v>1</v>
      </c>
      <c r="E950" s="1">
        <v>12432.123135377769</v>
      </c>
      <c r="F950" s="1">
        <v>-1</v>
      </c>
      <c r="G950" s="1">
        <v>425</v>
      </c>
      <c r="H950" s="1">
        <v>2098.1558382531243</v>
      </c>
      <c r="I950" s="1">
        <v>1</v>
      </c>
      <c r="J950" s="1">
        <v>3013.8407159187259</v>
      </c>
      <c r="K950" s="1">
        <v>1</v>
      </c>
      <c r="L950" s="1">
        <v>203</v>
      </c>
      <c r="M950" s="18">
        <v>40</v>
      </c>
      <c r="N950" s="1">
        <v>40</v>
      </c>
      <c r="O950" s="1">
        <v>0</v>
      </c>
      <c r="P950" s="1">
        <v>0</v>
      </c>
      <c r="Q950" s="1">
        <v>0</v>
      </c>
    </row>
    <row r="951" spans="2:17" ht="15.45" x14ac:dyDescent="0.4">
      <c r="B951" s="1">
        <v>426</v>
      </c>
      <c r="C951" s="1">
        <v>4158.7694345585651</v>
      </c>
      <c r="D951" s="1">
        <v>1</v>
      </c>
      <c r="E951" s="1">
        <v>12441.461948140164</v>
      </c>
      <c r="F951" s="1">
        <v>-1</v>
      </c>
      <c r="G951" s="1">
        <v>426</v>
      </c>
      <c r="H951" s="1">
        <v>6340.5809052893328</v>
      </c>
      <c r="I951" s="1">
        <v>-1</v>
      </c>
      <c r="J951" s="1">
        <v>3022.1282693038365</v>
      </c>
      <c r="K951" s="1">
        <v>-1</v>
      </c>
      <c r="L951" s="1">
        <v>202</v>
      </c>
      <c r="M951" s="18">
        <v>40</v>
      </c>
      <c r="N951" s="1">
        <v>39</v>
      </c>
      <c r="O951" s="1">
        <v>0</v>
      </c>
      <c r="P951" s="1">
        <v>0</v>
      </c>
      <c r="Q951" s="1">
        <v>0</v>
      </c>
    </row>
    <row r="952" spans="2:17" ht="15.45" x14ac:dyDescent="0.4">
      <c r="B952" s="1">
        <v>427</v>
      </c>
      <c r="C952" s="1">
        <v>4172.8487729524168</v>
      </c>
      <c r="D952" s="1">
        <v>1</v>
      </c>
      <c r="E952" s="1">
        <v>12464.172939209797</v>
      </c>
      <c r="F952" s="1">
        <v>-1</v>
      </c>
      <c r="G952" s="1">
        <v>427</v>
      </c>
      <c r="H952" s="1">
        <v>2100.4545861533898</v>
      </c>
      <c r="I952" s="1">
        <v>1</v>
      </c>
      <c r="J952" s="1">
        <v>3022.6505549010521</v>
      </c>
      <c r="K952" s="1">
        <v>1</v>
      </c>
      <c r="L952" s="1">
        <v>203</v>
      </c>
      <c r="M952" s="18">
        <v>40</v>
      </c>
      <c r="N952" s="1">
        <v>40</v>
      </c>
      <c r="O952" s="1">
        <v>0</v>
      </c>
      <c r="P952" s="1">
        <v>0</v>
      </c>
      <c r="Q952" s="1">
        <v>0</v>
      </c>
    </row>
    <row r="953" spans="2:17" ht="15.45" x14ac:dyDescent="0.4">
      <c r="B953" s="1">
        <v>428</v>
      </c>
      <c r="C953" s="1">
        <v>4191.093124019927</v>
      </c>
      <c r="D953" s="1">
        <v>1</v>
      </c>
      <c r="E953" s="1">
        <v>12485.927552927857</v>
      </c>
      <c r="F953" s="1">
        <v>-1</v>
      </c>
      <c r="G953" s="1">
        <v>428</v>
      </c>
      <c r="H953" s="1">
        <v>6359.4682065635916</v>
      </c>
      <c r="I953" s="1">
        <v>-1</v>
      </c>
      <c r="J953" s="1">
        <v>3026.9211574933734</v>
      </c>
      <c r="K953" s="1">
        <v>1</v>
      </c>
      <c r="L953" s="1">
        <v>204</v>
      </c>
      <c r="M953" s="18">
        <v>40</v>
      </c>
      <c r="N953" s="1">
        <v>40</v>
      </c>
      <c r="O953" s="1">
        <v>1</v>
      </c>
      <c r="P953" s="1">
        <v>316</v>
      </c>
      <c r="Q953" s="1">
        <v>0</v>
      </c>
    </row>
    <row r="954" spans="2:17" ht="15.45" x14ac:dyDescent="0.4">
      <c r="B954" s="1">
        <v>429</v>
      </c>
      <c r="C954" s="1">
        <v>4191.9406308350781</v>
      </c>
      <c r="D954" s="1">
        <v>1</v>
      </c>
      <c r="E954" s="1">
        <v>12537.804753205473</v>
      </c>
      <c r="F954" s="1">
        <v>-1</v>
      </c>
      <c r="G954" s="1">
        <v>429</v>
      </c>
      <c r="H954" s="1">
        <v>2102.9002601458242</v>
      </c>
      <c r="I954" s="1">
        <v>1</v>
      </c>
      <c r="J954" s="1">
        <v>3030.4141130766066</v>
      </c>
      <c r="K954" s="1">
        <v>1</v>
      </c>
      <c r="L954" s="1">
        <v>205</v>
      </c>
      <c r="M954" s="18">
        <v>40</v>
      </c>
      <c r="N954" s="1">
        <v>40</v>
      </c>
      <c r="O954" s="1">
        <v>1</v>
      </c>
      <c r="P954" s="1">
        <v>317</v>
      </c>
      <c r="Q954" s="1">
        <v>0</v>
      </c>
    </row>
    <row r="955" spans="2:17" ht="15.45" x14ac:dyDescent="0.4">
      <c r="B955" s="1">
        <v>430</v>
      </c>
      <c r="C955" s="1">
        <v>4195.4730806686921</v>
      </c>
      <c r="D955" s="1">
        <v>1</v>
      </c>
      <c r="E955" s="1">
        <v>12603.297248943221</v>
      </c>
      <c r="F955" s="1">
        <v>-1</v>
      </c>
      <c r="G955" s="1">
        <v>430</v>
      </c>
      <c r="H955" s="1">
        <v>6366.6977696900021</v>
      </c>
      <c r="I955" s="1">
        <v>-1</v>
      </c>
      <c r="J955" s="1">
        <v>3032.2493773136712</v>
      </c>
      <c r="K955" s="1">
        <v>1</v>
      </c>
      <c r="L955" s="1">
        <v>206</v>
      </c>
      <c r="M955" s="18">
        <v>40</v>
      </c>
      <c r="N955" s="1">
        <v>40</v>
      </c>
      <c r="O955" s="1">
        <v>1</v>
      </c>
      <c r="P955" s="1">
        <v>318</v>
      </c>
      <c r="Q955" s="1">
        <v>0</v>
      </c>
    </row>
    <row r="956" spans="2:17" ht="15.45" x14ac:dyDescent="0.4">
      <c r="B956" s="1">
        <v>431</v>
      </c>
      <c r="C956" s="1">
        <v>4207.9830553088768</v>
      </c>
      <c r="D956" s="1">
        <v>1</v>
      </c>
      <c r="E956" s="1">
        <v>12684.776249327322</v>
      </c>
      <c r="F956" s="1">
        <v>-1</v>
      </c>
      <c r="G956" s="1">
        <v>431</v>
      </c>
      <c r="H956" s="1">
        <v>2104.9108571268521</v>
      </c>
      <c r="I956" s="1">
        <v>1</v>
      </c>
      <c r="J956" s="1">
        <v>3040.0567932009335</v>
      </c>
      <c r="K956" s="1">
        <v>1</v>
      </c>
      <c r="L956" s="1">
        <v>207</v>
      </c>
      <c r="M956" s="18">
        <v>40</v>
      </c>
      <c r="N956" s="1">
        <v>40</v>
      </c>
      <c r="O956" s="1">
        <v>1</v>
      </c>
      <c r="P956" s="1">
        <v>319</v>
      </c>
      <c r="Q956" s="1">
        <v>0</v>
      </c>
    </row>
    <row r="957" spans="2:17" ht="15.45" x14ac:dyDescent="0.4">
      <c r="B957" s="1">
        <v>432</v>
      </c>
      <c r="C957" s="1">
        <v>4238.2825655597198</v>
      </c>
      <c r="D957" s="1">
        <v>1</v>
      </c>
      <c r="E957" s="1">
        <v>12731.388378950134</v>
      </c>
      <c r="F957" s="1">
        <v>-1</v>
      </c>
      <c r="G957" s="1">
        <v>432</v>
      </c>
      <c r="H957" s="1">
        <v>6382.4479471230316</v>
      </c>
      <c r="I957" s="1">
        <v>-1</v>
      </c>
      <c r="J957" s="1">
        <v>3046.6447284473606</v>
      </c>
      <c r="K957" s="1">
        <v>1</v>
      </c>
      <c r="L957" s="1">
        <v>208</v>
      </c>
      <c r="M957" s="18">
        <v>40</v>
      </c>
      <c r="N957" s="1">
        <v>40</v>
      </c>
      <c r="O957" s="1">
        <v>1</v>
      </c>
      <c r="P957" s="1">
        <v>320</v>
      </c>
      <c r="Q957" s="1">
        <v>0</v>
      </c>
    </row>
    <row r="958" spans="2:17" ht="15.45" x14ac:dyDescent="0.4">
      <c r="B958" s="1">
        <v>433</v>
      </c>
      <c r="C958" s="1">
        <v>4251.2567552842638</v>
      </c>
      <c r="D958" s="1">
        <v>1</v>
      </c>
      <c r="E958" s="1">
        <v>12740.259321451096</v>
      </c>
      <c r="F958" s="1">
        <v>-1</v>
      </c>
      <c r="G958" s="1">
        <v>433</v>
      </c>
      <c r="H958" s="1">
        <v>2108.2813926207</v>
      </c>
      <c r="I958" s="1">
        <v>1</v>
      </c>
      <c r="J958" s="1">
        <v>3070.6974074363743</v>
      </c>
      <c r="K958" s="1">
        <v>1</v>
      </c>
      <c r="L958" s="1">
        <v>209</v>
      </c>
      <c r="M958" s="18">
        <v>40</v>
      </c>
      <c r="N958" s="1">
        <v>40</v>
      </c>
      <c r="O958" s="1">
        <v>1</v>
      </c>
      <c r="P958" s="1">
        <v>321</v>
      </c>
      <c r="Q958" s="1">
        <v>0</v>
      </c>
    </row>
    <row r="959" spans="2:17" ht="15.45" x14ac:dyDescent="0.4">
      <c r="B959" s="1">
        <v>434</v>
      </c>
      <c r="C959" s="1">
        <v>4257.4233321638731</v>
      </c>
      <c r="D959" s="1">
        <v>1</v>
      </c>
      <c r="E959" s="1">
        <v>12765.15130214409</v>
      </c>
      <c r="F959" s="1">
        <v>-1</v>
      </c>
      <c r="G959" s="1">
        <v>434</v>
      </c>
      <c r="H959" s="1">
        <v>6441.8707129170562</v>
      </c>
      <c r="I959" s="1">
        <v>-1</v>
      </c>
      <c r="J959" s="1">
        <v>3080.1115177804145</v>
      </c>
      <c r="K959" s="1">
        <v>1</v>
      </c>
      <c r="L959" s="1">
        <v>210</v>
      </c>
      <c r="M959" s="18">
        <v>40</v>
      </c>
      <c r="N959" s="1">
        <v>40</v>
      </c>
      <c r="O959" s="1">
        <v>1</v>
      </c>
      <c r="P959" s="1">
        <v>322</v>
      </c>
      <c r="Q959" s="1">
        <v>0</v>
      </c>
    </row>
    <row r="960" spans="2:17" ht="15.45" x14ac:dyDescent="0.4">
      <c r="B960" s="1">
        <v>435</v>
      </c>
      <c r="C960" s="1">
        <v>4290.5565969110967</v>
      </c>
      <c r="D960" s="1">
        <v>1</v>
      </c>
      <c r="E960" s="1">
        <v>12781.258198441945</v>
      </c>
      <c r="F960" s="1">
        <v>-1</v>
      </c>
      <c r="G960" s="1">
        <v>435</v>
      </c>
      <c r="H960" s="1">
        <v>2121.9471248646746</v>
      </c>
      <c r="I960" s="1">
        <v>1</v>
      </c>
      <c r="J960" s="1">
        <v>3096.8549966315172</v>
      </c>
      <c r="K960" s="1">
        <v>1</v>
      </c>
      <c r="L960" s="1">
        <v>211</v>
      </c>
      <c r="M960" s="18">
        <v>40</v>
      </c>
      <c r="N960" s="1">
        <v>40</v>
      </c>
      <c r="O960" s="1">
        <v>1</v>
      </c>
      <c r="P960" s="1">
        <v>323</v>
      </c>
      <c r="Q960" s="1">
        <v>0</v>
      </c>
    </row>
    <row r="961" spans="2:17" ht="15.45" x14ac:dyDescent="0.4">
      <c r="B961" s="1">
        <v>436</v>
      </c>
      <c r="C961" s="1">
        <v>4295.8529308919206</v>
      </c>
      <c r="D961" s="1">
        <v>1</v>
      </c>
      <c r="E961" s="1">
        <v>12783.946560338207</v>
      </c>
      <c r="F961" s="1">
        <v>-1</v>
      </c>
      <c r="G961" s="1">
        <v>436</v>
      </c>
      <c r="H961" s="1">
        <v>6485.7178182920834</v>
      </c>
      <c r="I961" s="1">
        <v>-1</v>
      </c>
      <c r="J961" s="1">
        <v>3105.1984228449533</v>
      </c>
      <c r="K961" s="1">
        <v>-1</v>
      </c>
      <c r="L961" s="1">
        <v>210</v>
      </c>
      <c r="M961" s="18">
        <v>40</v>
      </c>
      <c r="N961" s="1">
        <v>39</v>
      </c>
      <c r="O961" s="1">
        <v>0</v>
      </c>
      <c r="P961" s="1">
        <v>0</v>
      </c>
      <c r="Q961" s="1">
        <v>0</v>
      </c>
    </row>
    <row r="962" spans="2:17" ht="15.45" x14ac:dyDescent="0.4">
      <c r="B962" s="1">
        <v>437</v>
      </c>
      <c r="C962" s="1">
        <v>4300.7286354780845</v>
      </c>
      <c r="D962" s="1">
        <v>1</v>
      </c>
      <c r="E962" s="1">
        <v>12827.473373651475</v>
      </c>
      <c r="F962" s="1">
        <v>-1</v>
      </c>
      <c r="G962" s="1">
        <v>437</v>
      </c>
      <c r="H962" s="1">
        <v>2142.2020131873091</v>
      </c>
      <c r="I962" s="1">
        <v>1</v>
      </c>
      <c r="J962" s="1">
        <v>3121.5694040908406</v>
      </c>
      <c r="K962" s="1">
        <v>1</v>
      </c>
      <c r="L962" s="1">
        <v>211</v>
      </c>
      <c r="M962" s="18">
        <v>40</v>
      </c>
      <c r="N962" s="1">
        <v>40</v>
      </c>
      <c r="O962" s="1">
        <v>0</v>
      </c>
      <c r="P962" s="1">
        <v>0</v>
      </c>
      <c r="Q962" s="1">
        <v>0</v>
      </c>
    </row>
    <row r="963" spans="2:17" ht="15.45" x14ac:dyDescent="0.4">
      <c r="B963" s="1">
        <v>438</v>
      </c>
      <c r="C963" s="1">
        <v>4325.8666295660278</v>
      </c>
      <c r="D963" s="1">
        <v>1</v>
      </c>
      <c r="E963" s="1">
        <v>12877.100803795249</v>
      </c>
      <c r="F963" s="1">
        <v>-1</v>
      </c>
      <c r="G963" s="1">
        <v>438</v>
      </c>
      <c r="H963" s="1">
        <v>6497.4998752945448</v>
      </c>
      <c r="I963" s="1">
        <v>-1</v>
      </c>
      <c r="J963" s="1">
        <v>3126.6950681113167</v>
      </c>
      <c r="K963" s="1">
        <v>-1</v>
      </c>
      <c r="L963" s="1">
        <v>210</v>
      </c>
      <c r="M963" s="18">
        <v>40</v>
      </c>
      <c r="N963" s="1">
        <v>39</v>
      </c>
      <c r="O963" s="1">
        <v>0</v>
      </c>
      <c r="P963" s="1">
        <v>0</v>
      </c>
      <c r="Q963" s="1">
        <v>0</v>
      </c>
    </row>
    <row r="964" spans="2:17" ht="15.45" x14ac:dyDescent="0.4">
      <c r="B964" s="1">
        <v>439</v>
      </c>
      <c r="C964" s="1">
        <v>4334.4795831065721</v>
      </c>
      <c r="D964" s="1">
        <v>1</v>
      </c>
      <c r="E964" s="1">
        <v>12883.294570314334</v>
      </c>
      <c r="F964" s="1">
        <v>-1</v>
      </c>
      <c r="G964" s="1">
        <v>439</v>
      </c>
      <c r="H964" s="1">
        <v>2184.2654309397135</v>
      </c>
      <c r="I964" s="1">
        <v>1</v>
      </c>
      <c r="J964" s="1">
        <v>3128.9996986460997</v>
      </c>
      <c r="K964" s="1">
        <v>-1</v>
      </c>
      <c r="L964" s="1">
        <v>209</v>
      </c>
      <c r="M964" s="18">
        <v>40</v>
      </c>
      <c r="N964" s="1">
        <v>38</v>
      </c>
      <c r="O964" s="1">
        <v>0</v>
      </c>
      <c r="P964" s="1">
        <v>0</v>
      </c>
      <c r="Q964" s="1">
        <v>0</v>
      </c>
    </row>
    <row r="965" spans="2:17" ht="15.45" x14ac:dyDescent="0.4">
      <c r="B965" s="1">
        <v>440</v>
      </c>
      <c r="C965" s="1">
        <v>4357.5435880668756</v>
      </c>
      <c r="D965" s="1">
        <v>1</v>
      </c>
      <c r="E965" s="1">
        <v>12925.53258549589</v>
      </c>
      <c r="F965" s="1">
        <v>-1</v>
      </c>
      <c r="G965" s="1">
        <v>440</v>
      </c>
      <c r="H965" s="1">
        <v>6511.0405358082808</v>
      </c>
      <c r="I965" s="1">
        <v>-1</v>
      </c>
      <c r="J965" s="1">
        <v>3140.4443584842047</v>
      </c>
      <c r="K965" s="1">
        <v>1</v>
      </c>
      <c r="L965" s="1">
        <v>210</v>
      </c>
      <c r="M965" s="18">
        <v>40</v>
      </c>
      <c r="N965" s="1">
        <v>39</v>
      </c>
      <c r="O965" s="1">
        <v>0</v>
      </c>
      <c r="P965" s="1">
        <v>0</v>
      </c>
      <c r="Q965" s="1">
        <v>0</v>
      </c>
    </row>
    <row r="966" spans="2:17" ht="15.45" x14ac:dyDescent="0.4">
      <c r="B966" s="1">
        <v>441</v>
      </c>
      <c r="C966" s="1">
        <v>4367.8211430085721</v>
      </c>
      <c r="D966" s="1">
        <v>1</v>
      </c>
      <c r="E966" s="1">
        <v>12980.26563869842</v>
      </c>
      <c r="F966" s="1">
        <v>-1</v>
      </c>
      <c r="G966" s="1">
        <v>441</v>
      </c>
      <c r="H966" s="1">
        <v>2193.4060209281997</v>
      </c>
      <c r="I966" s="1">
        <v>1</v>
      </c>
      <c r="J966" s="1">
        <v>3140.9140957938575</v>
      </c>
      <c r="K966" s="1">
        <v>1</v>
      </c>
      <c r="L966" s="1">
        <v>211</v>
      </c>
      <c r="M966" s="18">
        <v>40</v>
      </c>
      <c r="N966" s="1">
        <v>40</v>
      </c>
      <c r="O966" s="1">
        <v>0</v>
      </c>
      <c r="P966" s="1">
        <v>0</v>
      </c>
      <c r="Q966" s="1">
        <v>0</v>
      </c>
    </row>
    <row r="967" spans="2:17" ht="15.45" x14ac:dyDescent="0.4">
      <c r="B967" s="1">
        <v>442</v>
      </c>
      <c r="C967" s="1">
        <v>4380.5608014589607</v>
      </c>
      <c r="D967" s="1">
        <v>1</v>
      </c>
      <c r="E967" s="1">
        <v>12982.808159143875</v>
      </c>
      <c r="F967" s="1">
        <v>-1</v>
      </c>
      <c r="G967" s="1">
        <v>442</v>
      </c>
      <c r="H967" s="1">
        <v>6618.3277870252723</v>
      </c>
      <c r="I967" s="1">
        <v>-1</v>
      </c>
      <c r="J967" s="1">
        <v>3146.0208950485098</v>
      </c>
      <c r="K967" s="1">
        <v>1</v>
      </c>
      <c r="L967" s="1">
        <v>212</v>
      </c>
      <c r="M967" s="18">
        <v>40</v>
      </c>
      <c r="N967" s="1">
        <v>40</v>
      </c>
      <c r="O967" s="1">
        <v>1</v>
      </c>
      <c r="P967" s="1">
        <v>327</v>
      </c>
      <c r="Q967" s="1">
        <v>0</v>
      </c>
    </row>
    <row r="968" spans="2:17" ht="15.45" x14ac:dyDescent="0.4">
      <c r="B968" s="1">
        <v>443</v>
      </c>
      <c r="C968" s="1">
        <v>4382.7692340198264</v>
      </c>
      <c r="D968" s="1">
        <v>1</v>
      </c>
      <c r="E968" s="1">
        <v>12993.405508644717</v>
      </c>
      <c r="F968" s="1">
        <v>-1</v>
      </c>
      <c r="G968" s="1">
        <v>443</v>
      </c>
      <c r="H968" s="1">
        <v>2211.8849972005182</v>
      </c>
      <c r="I968" s="1">
        <v>1</v>
      </c>
      <c r="J968" s="1">
        <v>3151.462969066456</v>
      </c>
      <c r="K968" s="1">
        <v>1</v>
      </c>
      <c r="L968" s="1">
        <v>213</v>
      </c>
      <c r="M968" s="18">
        <v>40</v>
      </c>
      <c r="N968" s="1">
        <v>40</v>
      </c>
      <c r="O968" s="1">
        <v>1</v>
      </c>
      <c r="P968" s="1">
        <v>328</v>
      </c>
      <c r="Q968" s="1">
        <v>0</v>
      </c>
    </row>
    <row r="969" spans="2:17" ht="15.45" x14ac:dyDescent="0.4">
      <c r="B969" s="1">
        <v>444</v>
      </c>
      <c r="C969" s="1">
        <v>4395.6512621482625</v>
      </c>
      <c r="D969" s="1">
        <v>1</v>
      </c>
      <c r="E969" s="1">
        <v>13030.935432565268</v>
      </c>
      <c r="F969" s="1">
        <v>-1</v>
      </c>
      <c r="G969" s="1">
        <v>444</v>
      </c>
      <c r="H969" s="1">
        <v>6632.5392716717461</v>
      </c>
      <c r="I969" s="1">
        <v>-1</v>
      </c>
      <c r="J969" s="1">
        <v>3169.3328259475675</v>
      </c>
      <c r="K969" s="1">
        <v>1</v>
      </c>
      <c r="L969" s="1">
        <v>214</v>
      </c>
      <c r="M969" s="18">
        <v>40</v>
      </c>
      <c r="N969" s="1">
        <v>40</v>
      </c>
      <c r="O969" s="1">
        <v>1</v>
      </c>
      <c r="P969" s="1">
        <v>329</v>
      </c>
      <c r="Q969" s="1">
        <v>0</v>
      </c>
    </row>
    <row r="970" spans="2:17" ht="15.45" x14ac:dyDescent="0.4">
      <c r="B970" s="1">
        <v>445</v>
      </c>
      <c r="C970" s="1">
        <v>4421.5211680238071</v>
      </c>
      <c r="D970" s="1">
        <v>1</v>
      </c>
      <c r="E970" s="1">
        <v>13121.833963317793</v>
      </c>
      <c r="F970" s="1">
        <v>-1</v>
      </c>
      <c r="G970" s="1">
        <v>445</v>
      </c>
      <c r="H970" s="1">
        <v>2229.5326201223957</v>
      </c>
      <c r="I970" s="1">
        <v>1</v>
      </c>
      <c r="J970" s="1">
        <v>3176.721908875712</v>
      </c>
      <c r="K970" s="1">
        <v>-1</v>
      </c>
      <c r="L970" s="1">
        <v>213</v>
      </c>
      <c r="M970" s="18">
        <v>40</v>
      </c>
      <c r="N970" s="1">
        <v>39</v>
      </c>
      <c r="O970" s="1">
        <v>0</v>
      </c>
      <c r="P970" s="1">
        <v>0</v>
      </c>
      <c r="Q970" s="1">
        <v>0</v>
      </c>
    </row>
    <row r="971" spans="2:17" ht="15.45" x14ac:dyDescent="0.4">
      <c r="B971" s="1">
        <v>446</v>
      </c>
      <c r="C971" s="1">
        <v>4438.602482902591</v>
      </c>
      <c r="D971" s="1">
        <v>1</v>
      </c>
      <c r="E971" s="1">
        <v>13160.756532491425</v>
      </c>
      <c r="F971" s="1">
        <v>-1</v>
      </c>
      <c r="G971" s="1">
        <v>446</v>
      </c>
      <c r="H971" s="1">
        <v>6652.5479296762551</v>
      </c>
      <c r="I971" s="1">
        <v>-1</v>
      </c>
      <c r="J971" s="1">
        <v>3188.876338539209</v>
      </c>
      <c r="K971" s="1">
        <v>1</v>
      </c>
      <c r="L971" s="1">
        <v>214</v>
      </c>
      <c r="M971" s="18">
        <v>40</v>
      </c>
      <c r="N971" s="1">
        <v>40</v>
      </c>
      <c r="O971" s="1">
        <v>0</v>
      </c>
      <c r="P971" s="1">
        <v>0</v>
      </c>
      <c r="Q971" s="1">
        <v>0</v>
      </c>
    </row>
    <row r="972" spans="2:17" ht="15.45" x14ac:dyDescent="0.4">
      <c r="B972" s="1">
        <v>447</v>
      </c>
      <c r="C972" s="1">
        <v>4440.2463902573318</v>
      </c>
      <c r="D972" s="1">
        <v>1</v>
      </c>
      <c r="E972" s="1">
        <v>13179.256263130254</v>
      </c>
      <c r="F972" s="1">
        <v>-1</v>
      </c>
      <c r="G972" s="1">
        <v>447</v>
      </c>
      <c r="H972" s="1">
        <v>2230.7711929971688</v>
      </c>
      <c r="I972" s="1">
        <v>1</v>
      </c>
      <c r="J972" s="1">
        <v>3188.9807295947148</v>
      </c>
      <c r="K972" s="1">
        <v>1</v>
      </c>
      <c r="L972" s="1">
        <v>215</v>
      </c>
      <c r="M972" s="18">
        <v>40</v>
      </c>
      <c r="N972" s="1">
        <v>40</v>
      </c>
      <c r="O972" s="1">
        <v>1</v>
      </c>
      <c r="P972" s="1">
        <v>331</v>
      </c>
      <c r="Q972" s="1">
        <v>0</v>
      </c>
    </row>
    <row r="973" spans="2:17" ht="15.45" x14ac:dyDescent="0.4">
      <c r="B973" s="1">
        <v>448</v>
      </c>
      <c r="C973" s="1">
        <v>4441.1737626118156</v>
      </c>
      <c r="D973" s="1">
        <v>1</v>
      </c>
      <c r="E973" s="1">
        <v>13278.656057371923</v>
      </c>
      <c r="F973" s="1">
        <v>-1</v>
      </c>
      <c r="G973" s="1">
        <v>448</v>
      </c>
      <c r="H973" s="1">
        <v>6683.7223748403758</v>
      </c>
      <c r="I973" s="1">
        <v>-1</v>
      </c>
      <c r="J973" s="1">
        <v>3195.9223661374726</v>
      </c>
      <c r="K973" s="1">
        <v>1</v>
      </c>
      <c r="L973" s="1">
        <v>216</v>
      </c>
      <c r="M973" s="18">
        <v>40</v>
      </c>
      <c r="N973" s="1">
        <v>40</v>
      </c>
      <c r="O973" s="1">
        <v>1</v>
      </c>
      <c r="P973" s="1">
        <v>332</v>
      </c>
      <c r="Q973" s="1">
        <v>0</v>
      </c>
    </row>
    <row r="974" spans="2:17" ht="15.45" x14ac:dyDescent="0.4">
      <c r="B974" s="1">
        <v>449</v>
      </c>
      <c r="C974" s="1">
        <v>4449.2830047263724</v>
      </c>
      <c r="D974" s="1">
        <v>1</v>
      </c>
      <c r="E974" s="1">
        <v>13294.545059314394</v>
      </c>
      <c r="F974" s="1">
        <v>-1</v>
      </c>
      <c r="G974" s="1">
        <v>449</v>
      </c>
      <c r="H974" s="1">
        <v>2232.9249310680984</v>
      </c>
      <c r="I974" s="1">
        <v>1</v>
      </c>
      <c r="J974" s="1">
        <v>3197.0788130611199</v>
      </c>
      <c r="K974" s="1">
        <v>1</v>
      </c>
      <c r="L974" s="1">
        <v>217</v>
      </c>
      <c r="M974" s="18">
        <v>40</v>
      </c>
      <c r="N974" s="1">
        <v>40</v>
      </c>
      <c r="O974" s="1">
        <v>1</v>
      </c>
      <c r="P974" s="1">
        <v>333</v>
      </c>
      <c r="Q974" s="1">
        <v>0</v>
      </c>
    </row>
    <row r="975" spans="2:17" ht="15.45" x14ac:dyDescent="0.4">
      <c r="B975" s="1">
        <v>450</v>
      </c>
      <c r="C975" s="1">
        <v>4480.2917312979389</v>
      </c>
      <c r="D975" s="1">
        <v>1</v>
      </c>
      <c r="E975" s="1">
        <v>13309.172173072886</v>
      </c>
      <c r="F975" s="1">
        <v>-1</v>
      </c>
      <c r="G975" s="1">
        <v>450</v>
      </c>
      <c r="H975" s="1">
        <v>6701.0042207610604</v>
      </c>
      <c r="I975" s="1">
        <v>-1</v>
      </c>
      <c r="J975" s="1">
        <v>3209.2287902756789</v>
      </c>
      <c r="K975" s="1">
        <v>1</v>
      </c>
      <c r="L975" s="1">
        <v>218</v>
      </c>
      <c r="M975" s="18">
        <v>40</v>
      </c>
      <c r="N975" s="1">
        <v>40</v>
      </c>
      <c r="O975" s="1">
        <v>1</v>
      </c>
      <c r="P975" s="1">
        <v>334</v>
      </c>
      <c r="Q975" s="1">
        <v>0</v>
      </c>
    </row>
    <row r="976" spans="2:17" ht="15.45" x14ac:dyDescent="0.4">
      <c r="B976" s="1">
        <v>451</v>
      </c>
      <c r="C976" s="1">
        <v>4486.1768756257743</v>
      </c>
      <c r="D976" s="1">
        <v>1</v>
      </c>
      <c r="E976" s="1">
        <v>13384.586155336714</v>
      </c>
      <c r="F976" s="1">
        <v>-1</v>
      </c>
      <c r="G976" s="1">
        <v>451</v>
      </c>
      <c r="H976" s="1">
        <v>2235.8234158785381</v>
      </c>
      <c r="I976" s="1">
        <v>1</v>
      </c>
      <c r="J976" s="1">
        <v>3214.519178025942</v>
      </c>
      <c r="K976" s="1">
        <v>-1</v>
      </c>
      <c r="L976" s="1">
        <v>217</v>
      </c>
      <c r="M976" s="18">
        <v>40</v>
      </c>
      <c r="N976" s="1">
        <v>39</v>
      </c>
      <c r="O976" s="1">
        <v>0</v>
      </c>
      <c r="P976" s="1">
        <v>0</v>
      </c>
      <c r="Q976" s="1">
        <v>0</v>
      </c>
    </row>
    <row r="977" spans="2:17" ht="15.45" x14ac:dyDescent="0.4">
      <c r="B977" s="1">
        <v>452</v>
      </c>
      <c r="C977" s="1">
        <v>4489.5084863487637</v>
      </c>
      <c r="D977" s="1">
        <v>1</v>
      </c>
      <c r="E977" s="1">
        <v>13410.42501595835</v>
      </c>
      <c r="F977" s="1">
        <v>-1</v>
      </c>
      <c r="G977" s="1">
        <v>452</v>
      </c>
      <c r="H977" s="1">
        <v>6701.4537813980178</v>
      </c>
      <c r="I977" s="1">
        <v>-1</v>
      </c>
      <c r="J977" s="1">
        <v>3234.933463733616</v>
      </c>
      <c r="K977" s="1">
        <v>-1</v>
      </c>
      <c r="L977" s="1">
        <v>216</v>
      </c>
      <c r="M977" s="18">
        <v>40</v>
      </c>
      <c r="N977" s="1">
        <v>38</v>
      </c>
      <c r="O977" s="1">
        <v>0</v>
      </c>
      <c r="P977" s="1">
        <v>0</v>
      </c>
      <c r="Q977" s="1">
        <v>0</v>
      </c>
    </row>
    <row r="978" spans="2:17" ht="15.45" x14ac:dyDescent="0.4">
      <c r="B978" s="1">
        <v>453</v>
      </c>
      <c r="C978" s="1">
        <v>4491.771883554472</v>
      </c>
      <c r="D978" s="1">
        <v>1</v>
      </c>
      <c r="E978" s="1">
        <v>13479.617030839261</v>
      </c>
      <c r="F978" s="1">
        <v>-1</v>
      </c>
      <c r="G978" s="1">
        <v>453</v>
      </c>
      <c r="H978" s="1">
        <v>2236.6225192779243</v>
      </c>
      <c r="I978" s="1">
        <v>1</v>
      </c>
      <c r="J978" s="1">
        <v>3247.0062815441115</v>
      </c>
      <c r="K978" s="1">
        <v>1</v>
      </c>
      <c r="L978" s="1">
        <v>217</v>
      </c>
      <c r="M978" s="18">
        <v>40</v>
      </c>
      <c r="N978" s="1">
        <v>39</v>
      </c>
      <c r="O978" s="1">
        <v>0</v>
      </c>
      <c r="P978" s="1">
        <v>0</v>
      </c>
      <c r="Q978" s="1">
        <v>0</v>
      </c>
    </row>
    <row r="979" spans="2:17" ht="15.45" x14ac:dyDescent="0.4">
      <c r="B979" s="1">
        <v>454</v>
      </c>
      <c r="C979" s="1">
        <v>4497.6082404682593</v>
      </c>
      <c r="D979" s="1">
        <v>1</v>
      </c>
      <c r="E979" s="1">
        <v>13510.449695664349</v>
      </c>
      <c r="F979" s="1">
        <v>-1</v>
      </c>
      <c r="G979" s="1">
        <v>454</v>
      </c>
      <c r="H979" s="1">
        <v>6708.3500250988127</v>
      </c>
      <c r="I979" s="1">
        <v>-1</v>
      </c>
      <c r="J979" s="1">
        <v>3256.9885034984504</v>
      </c>
      <c r="K979" s="1">
        <v>1</v>
      </c>
      <c r="L979" s="1">
        <v>218</v>
      </c>
      <c r="M979" s="18">
        <v>40</v>
      </c>
      <c r="N979" s="1">
        <v>40</v>
      </c>
      <c r="O979" s="1">
        <v>0</v>
      </c>
      <c r="P979" s="1">
        <v>0</v>
      </c>
      <c r="Q979" s="1">
        <v>0</v>
      </c>
    </row>
    <row r="980" spans="2:17" ht="15.45" x14ac:dyDescent="0.4">
      <c r="B980" s="1">
        <v>455</v>
      </c>
      <c r="C980" s="1">
        <v>4512.3926992199467</v>
      </c>
      <c r="D980" s="1">
        <v>1</v>
      </c>
      <c r="E980" s="1">
        <v>13548.668671015514</v>
      </c>
      <c r="F980" s="1">
        <v>-1</v>
      </c>
      <c r="G980" s="1">
        <v>455</v>
      </c>
      <c r="H980" s="1">
        <v>2245.4961590314151</v>
      </c>
      <c r="I980" s="1">
        <v>1</v>
      </c>
      <c r="J980" s="1">
        <v>3270.9093885045872</v>
      </c>
      <c r="K980" s="1">
        <v>1</v>
      </c>
      <c r="L980" s="1">
        <v>219</v>
      </c>
      <c r="M980" s="18">
        <v>40</v>
      </c>
      <c r="N980" s="1">
        <v>40</v>
      </c>
      <c r="O980" s="1">
        <v>1</v>
      </c>
      <c r="P980" s="1">
        <v>337</v>
      </c>
      <c r="Q980" s="1">
        <v>0</v>
      </c>
    </row>
    <row r="981" spans="2:17" ht="15.45" x14ac:dyDescent="0.4">
      <c r="B981" s="1">
        <v>456</v>
      </c>
      <c r="C981" s="1">
        <v>4512.6175422817269</v>
      </c>
      <c r="D981" s="1">
        <v>1</v>
      </c>
      <c r="E981" s="1">
        <v>13555.29396869811</v>
      </c>
      <c r="F981" s="1">
        <v>-1</v>
      </c>
      <c r="G981" s="1">
        <v>456</v>
      </c>
      <c r="H981" s="1">
        <v>6715.687047076116</v>
      </c>
      <c r="I981" s="1">
        <v>-1</v>
      </c>
      <c r="J981" s="1">
        <v>3271.8857272485693</v>
      </c>
      <c r="K981" s="1">
        <v>1</v>
      </c>
      <c r="L981" s="1">
        <v>220</v>
      </c>
      <c r="M981" s="18">
        <v>40</v>
      </c>
      <c r="N981" s="1">
        <v>40</v>
      </c>
      <c r="O981" s="1">
        <v>1</v>
      </c>
      <c r="P981" s="1">
        <v>338</v>
      </c>
      <c r="Q981" s="1">
        <v>0</v>
      </c>
    </row>
    <row r="982" spans="2:17" ht="15.45" x14ac:dyDescent="0.4">
      <c r="B982" s="1">
        <v>457</v>
      </c>
      <c r="C982" s="1">
        <v>4518.9133093731461</v>
      </c>
      <c r="D982" s="1">
        <v>1</v>
      </c>
      <c r="E982" s="1">
        <v>13593.940053083417</v>
      </c>
      <c r="F982" s="1">
        <v>-1</v>
      </c>
      <c r="G982" s="1">
        <v>457</v>
      </c>
      <c r="H982" s="1">
        <v>2266.0328058962418</v>
      </c>
      <c r="I982" s="1">
        <v>1</v>
      </c>
      <c r="J982" s="1">
        <v>3274.9393441506541</v>
      </c>
      <c r="K982" s="1">
        <v>1</v>
      </c>
      <c r="L982" s="1">
        <v>221</v>
      </c>
      <c r="M982" s="18">
        <v>40</v>
      </c>
      <c r="N982" s="1">
        <v>40</v>
      </c>
      <c r="O982" s="1">
        <v>1</v>
      </c>
      <c r="P982" s="1">
        <v>339</v>
      </c>
      <c r="Q982" s="1">
        <v>0</v>
      </c>
    </row>
    <row r="983" spans="2:17" ht="15.45" x14ac:dyDescent="0.4">
      <c r="B983" s="1">
        <v>458</v>
      </c>
      <c r="C983" s="1">
        <v>4521.323163748616</v>
      </c>
      <c r="D983" s="1">
        <v>1</v>
      </c>
      <c r="E983" s="1">
        <v>13671.549770710051</v>
      </c>
      <c r="F983" s="1">
        <v>-1</v>
      </c>
      <c r="G983" s="1">
        <v>458</v>
      </c>
      <c r="H983" s="1">
        <v>6721.7188380192001</v>
      </c>
      <c r="I983" s="1">
        <v>-1</v>
      </c>
      <c r="J983" s="1">
        <v>3275.3622930241063</v>
      </c>
      <c r="K983" s="1">
        <v>1</v>
      </c>
      <c r="L983" s="1">
        <v>222</v>
      </c>
      <c r="M983" s="18">
        <v>40</v>
      </c>
      <c r="N983" s="1">
        <v>40</v>
      </c>
      <c r="O983" s="1">
        <v>1</v>
      </c>
      <c r="P983" s="1">
        <v>340</v>
      </c>
      <c r="Q983" s="1">
        <v>0</v>
      </c>
    </row>
    <row r="984" spans="2:17" ht="15.45" x14ac:dyDescent="0.4">
      <c r="B984" s="1">
        <v>459</v>
      </c>
      <c r="C984" s="1">
        <v>4526.5732228929592</v>
      </c>
      <c r="D984" s="1">
        <v>1</v>
      </c>
      <c r="E984" s="1">
        <v>13722.793715346403</v>
      </c>
      <c r="F984" s="1">
        <v>-1</v>
      </c>
      <c r="G984" s="1">
        <v>459</v>
      </c>
      <c r="H984" s="1">
        <v>2279.3952021582591</v>
      </c>
      <c r="I984" s="1">
        <v>1</v>
      </c>
      <c r="J984" s="1">
        <v>3286.9065569717109</v>
      </c>
      <c r="K984" s="1">
        <v>1</v>
      </c>
      <c r="L984" s="1">
        <v>223</v>
      </c>
      <c r="M984" s="18">
        <v>40</v>
      </c>
      <c r="N984" s="1">
        <v>40</v>
      </c>
      <c r="O984" s="1">
        <v>1</v>
      </c>
      <c r="P984" s="1">
        <v>341</v>
      </c>
      <c r="Q984" s="1">
        <v>0</v>
      </c>
    </row>
    <row r="985" spans="2:17" ht="15.45" x14ac:dyDescent="0.4">
      <c r="B985" s="1">
        <v>460</v>
      </c>
      <c r="C985" s="1">
        <v>4546.3808114909671</v>
      </c>
      <c r="D985" s="1">
        <v>1</v>
      </c>
      <c r="E985" s="1">
        <v>13727.725437410623</v>
      </c>
      <c r="F985" s="1">
        <v>-1</v>
      </c>
      <c r="G985" s="1">
        <v>460</v>
      </c>
      <c r="H985" s="1">
        <v>6731.8304445007443</v>
      </c>
      <c r="I985" s="1">
        <v>-1</v>
      </c>
      <c r="J985" s="1">
        <v>3295.8805407002369</v>
      </c>
      <c r="K985" s="1">
        <v>1</v>
      </c>
      <c r="L985" s="1">
        <v>224</v>
      </c>
      <c r="M985" s="18">
        <v>40</v>
      </c>
      <c r="N985" s="1">
        <v>40</v>
      </c>
      <c r="O985" s="1">
        <v>1</v>
      </c>
      <c r="P985" s="1">
        <v>342</v>
      </c>
      <c r="Q985" s="1">
        <v>0</v>
      </c>
    </row>
    <row r="986" spans="2:17" ht="15.45" x14ac:dyDescent="0.4">
      <c r="B986" s="1">
        <v>461</v>
      </c>
      <c r="C986" s="1">
        <v>4560.9965132826428</v>
      </c>
      <c r="D986" s="1">
        <v>1</v>
      </c>
      <c r="E986" s="1">
        <v>13730.507554474076</v>
      </c>
      <c r="F986" s="1">
        <v>-1</v>
      </c>
      <c r="G986" s="1">
        <v>461</v>
      </c>
      <c r="H986" s="1">
        <v>2284.9582672160027</v>
      </c>
      <c r="I986" s="1">
        <v>1</v>
      </c>
      <c r="J986" s="1">
        <v>3298.8842340957031</v>
      </c>
      <c r="K986" s="1">
        <v>-1</v>
      </c>
      <c r="L986" s="1">
        <v>223</v>
      </c>
      <c r="M986" s="18">
        <v>40</v>
      </c>
      <c r="N986" s="1">
        <v>40</v>
      </c>
      <c r="O986" s="1">
        <v>0</v>
      </c>
      <c r="P986" s="1">
        <v>0</v>
      </c>
      <c r="Q986" s="1">
        <v>0</v>
      </c>
    </row>
    <row r="987" spans="2:17" ht="15.45" x14ac:dyDescent="0.4">
      <c r="B987" s="1">
        <v>462</v>
      </c>
      <c r="C987" s="1">
        <v>4564.9238656167963</v>
      </c>
      <c r="D987" s="1">
        <v>1</v>
      </c>
      <c r="E987" s="1">
        <v>13754.835280817746</v>
      </c>
      <c r="F987" s="1">
        <v>-1</v>
      </c>
      <c r="G987" s="1">
        <v>462</v>
      </c>
      <c r="H987" s="1">
        <v>6772.8276412326686</v>
      </c>
      <c r="I987" s="1">
        <v>-1</v>
      </c>
      <c r="J987" s="1">
        <v>3305.1239245289521</v>
      </c>
      <c r="K987" s="1">
        <v>1</v>
      </c>
      <c r="L987" s="1">
        <v>224</v>
      </c>
      <c r="M987" s="18">
        <v>40</v>
      </c>
      <c r="N987" s="1">
        <v>40</v>
      </c>
      <c r="O987" s="1">
        <v>1</v>
      </c>
      <c r="P987" s="1">
        <v>343</v>
      </c>
      <c r="Q987" s="1">
        <v>0</v>
      </c>
    </row>
    <row r="988" spans="2:17" ht="15.45" x14ac:dyDescent="0.4">
      <c r="B988" s="1">
        <v>463</v>
      </c>
      <c r="C988" s="1">
        <v>4569.4374191213756</v>
      </c>
      <c r="D988" s="1">
        <v>1</v>
      </c>
      <c r="E988" s="1">
        <v>13847.861460532446</v>
      </c>
      <c r="F988" s="1">
        <v>-1</v>
      </c>
      <c r="G988" s="1">
        <v>463</v>
      </c>
      <c r="H988" s="1">
        <v>2285.4749912507896</v>
      </c>
      <c r="I988" s="1">
        <v>1</v>
      </c>
      <c r="J988" s="1">
        <v>3313.5779445798889</v>
      </c>
      <c r="K988" s="1">
        <v>1</v>
      </c>
      <c r="L988" s="1">
        <v>225</v>
      </c>
      <c r="M988" s="18">
        <v>40</v>
      </c>
      <c r="N988" s="1">
        <v>40</v>
      </c>
      <c r="O988" s="1">
        <v>1</v>
      </c>
      <c r="P988" s="1">
        <v>344</v>
      </c>
      <c r="Q988" s="1">
        <v>0</v>
      </c>
    </row>
    <row r="989" spans="2:17" ht="15.45" x14ac:dyDescent="0.4">
      <c r="B989" s="1">
        <v>464</v>
      </c>
      <c r="C989" s="1">
        <v>4605.1998361937058</v>
      </c>
      <c r="D989" s="1">
        <v>1</v>
      </c>
      <c r="E989" s="1">
        <v>13865.516893515953</v>
      </c>
      <c r="F989" s="1">
        <v>-1</v>
      </c>
      <c r="G989" s="1">
        <v>464</v>
      </c>
      <c r="H989" s="1">
        <v>6833.5923062005713</v>
      </c>
      <c r="I989" s="1">
        <v>-1</v>
      </c>
      <c r="J989" s="1">
        <v>3324.5912621143602</v>
      </c>
      <c r="K989" s="1">
        <v>1</v>
      </c>
      <c r="L989" s="1">
        <v>226</v>
      </c>
      <c r="M989" s="18">
        <v>40</v>
      </c>
      <c r="N989" s="1">
        <v>40</v>
      </c>
      <c r="O989" s="1">
        <v>1</v>
      </c>
      <c r="P989" s="1">
        <v>345</v>
      </c>
      <c r="Q989" s="1">
        <v>0</v>
      </c>
    </row>
    <row r="990" spans="2:17" ht="15.45" x14ac:dyDescent="0.4">
      <c r="B990" s="1">
        <v>465</v>
      </c>
      <c r="C990" s="1">
        <v>4609.9369977425304</v>
      </c>
      <c r="D990" s="1">
        <v>1</v>
      </c>
      <c r="E990" s="1">
        <v>13875.511725684919</v>
      </c>
      <c r="F990" s="1">
        <v>-1</v>
      </c>
      <c r="G990" s="1">
        <v>465</v>
      </c>
      <c r="H990" s="1">
        <v>2286.5321305376488</v>
      </c>
      <c r="I990" s="1">
        <v>1</v>
      </c>
      <c r="J990" s="1">
        <v>3329.2160570293486</v>
      </c>
      <c r="K990" s="1">
        <v>1</v>
      </c>
      <c r="L990" s="1">
        <v>227</v>
      </c>
      <c r="M990" s="18">
        <v>40</v>
      </c>
      <c r="N990" s="1">
        <v>40</v>
      </c>
      <c r="O990" s="1">
        <v>1</v>
      </c>
      <c r="P990" s="1">
        <v>346</v>
      </c>
      <c r="Q990" s="1">
        <v>0</v>
      </c>
    </row>
    <row r="991" spans="2:17" ht="15.45" x14ac:dyDescent="0.4">
      <c r="B991" s="1">
        <v>466</v>
      </c>
      <c r="C991" s="1">
        <v>4616.6065504107</v>
      </c>
      <c r="D991" s="1">
        <v>1</v>
      </c>
      <c r="E991" s="1">
        <v>13882.301917302044</v>
      </c>
      <c r="F991" s="1">
        <v>-1</v>
      </c>
      <c r="G991" s="1">
        <v>466</v>
      </c>
      <c r="H991" s="1">
        <v>6959.7825594577862</v>
      </c>
      <c r="I991" s="1">
        <v>-1</v>
      </c>
      <c r="J991" s="1">
        <v>3331.7743241647199</v>
      </c>
      <c r="K991" s="1">
        <v>1</v>
      </c>
      <c r="L991" s="1">
        <v>228</v>
      </c>
      <c r="M991" s="18">
        <v>40</v>
      </c>
      <c r="N991" s="1">
        <v>40</v>
      </c>
      <c r="O991" s="1">
        <v>1</v>
      </c>
      <c r="P991" s="1">
        <v>347</v>
      </c>
      <c r="Q991" s="1">
        <v>0</v>
      </c>
    </row>
    <row r="992" spans="2:17" ht="15.45" x14ac:dyDescent="0.4">
      <c r="B992" s="1">
        <v>467</v>
      </c>
      <c r="C992" s="1">
        <v>4626.9980321320736</v>
      </c>
      <c r="D992" s="1">
        <v>1</v>
      </c>
      <c r="E992" s="1">
        <v>13899.810988043406</v>
      </c>
      <c r="F992" s="1">
        <v>-1</v>
      </c>
      <c r="G992" s="1">
        <v>467</v>
      </c>
      <c r="H992" s="1">
        <v>2293.9261953621758</v>
      </c>
      <c r="I992" s="1">
        <v>1</v>
      </c>
      <c r="J992" s="1">
        <v>3335.5929534373963</v>
      </c>
      <c r="K992" s="1">
        <v>-1</v>
      </c>
      <c r="L992" s="1">
        <v>227</v>
      </c>
      <c r="M992" s="18">
        <v>40</v>
      </c>
      <c r="N992" s="1">
        <v>40</v>
      </c>
      <c r="O992" s="1">
        <v>0</v>
      </c>
      <c r="P992" s="1">
        <v>0</v>
      </c>
      <c r="Q992" s="1">
        <v>0</v>
      </c>
    </row>
    <row r="993" spans="2:17" ht="15.45" x14ac:dyDescent="0.4">
      <c r="B993" s="1">
        <v>468</v>
      </c>
      <c r="C993" s="1">
        <v>4632.7586474389682</v>
      </c>
      <c r="D993" s="1">
        <v>1</v>
      </c>
      <c r="E993" s="1">
        <v>13944.164364298467</v>
      </c>
      <c r="F993" s="1">
        <v>-1</v>
      </c>
      <c r="G993" s="1">
        <v>468</v>
      </c>
      <c r="H993" s="1">
        <v>6987.2043294232444</v>
      </c>
      <c r="I993" s="1">
        <v>-1</v>
      </c>
      <c r="J993" s="1">
        <v>3336.4674779405755</v>
      </c>
      <c r="K993" s="1">
        <v>1</v>
      </c>
      <c r="L993" s="1">
        <v>228</v>
      </c>
      <c r="M993" s="18">
        <v>40</v>
      </c>
      <c r="N993" s="1">
        <v>40</v>
      </c>
      <c r="O993" s="1">
        <v>1</v>
      </c>
      <c r="P993" s="1">
        <v>348</v>
      </c>
      <c r="Q993" s="1">
        <v>0</v>
      </c>
    </row>
    <row r="994" spans="2:17" ht="15.45" x14ac:dyDescent="0.4">
      <c r="B994" s="1">
        <v>469</v>
      </c>
      <c r="C994" s="1">
        <v>4632.9085009846203</v>
      </c>
      <c r="D994" s="1">
        <v>1</v>
      </c>
      <c r="E994" s="1">
        <v>13944.838893483806</v>
      </c>
      <c r="F994" s="1">
        <v>-1</v>
      </c>
      <c r="G994" s="1">
        <v>469</v>
      </c>
      <c r="H994" s="1">
        <v>2294.3192775580055</v>
      </c>
      <c r="I994" s="1">
        <v>1</v>
      </c>
      <c r="J994" s="1">
        <v>3358.0384974190983</v>
      </c>
      <c r="K994" s="1">
        <v>-1</v>
      </c>
      <c r="L994" s="1">
        <v>227</v>
      </c>
      <c r="M994" s="18">
        <v>40</v>
      </c>
      <c r="N994" s="1">
        <v>40</v>
      </c>
      <c r="O994" s="1">
        <v>0</v>
      </c>
      <c r="P994" s="1">
        <v>0</v>
      </c>
      <c r="Q994" s="1">
        <v>0</v>
      </c>
    </row>
    <row r="995" spans="2:17" ht="15.45" x14ac:dyDescent="0.4">
      <c r="B995" s="1">
        <v>470</v>
      </c>
      <c r="C995" s="1">
        <v>4635.2072488848853</v>
      </c>
      <c r="D995" s="1">
        <v>1</v>
      </c>
      <c r="E995" s="1">
        <v>13963.726194758066</v>
      </c>
      <c r="F995" s="1">
        <v>-1</v>
      </c>
      <c r="G995" s="1">
        <v>470</v>
      </c>
      <c r="H995" s="1">
        <v>7042.641258240199</v>
      </c>
      <c r="I995" s="1">
        <v>-1</v>
      </c>
      <c r="J995" s="1">
        <v>3365.6934212813476</v>
      </c>
      <c r="K995" s="1">
        <v>1</v>
      </c>
      <c r="L995" s="1">
        <v>228</v>
      </c>
      <c r="M995" s="18">
        <v>40</v>
      </c>
      <c r="N995" s="1">
        <v>40</v>
      </c>
      <c r="O995" s="1">
        <v>1</v>
      </c>
      <c r="P995" s="1">
        <v>349</v>
      </c>
      <c r="Q995" s="1">
        <v>0</v>
      </c>
    </row>
    <row r="996" spans="2:17" ht="15.45" x14ac:dyDescent="0.4">
      <c r="B996" s="1">
        <v>471</v>
      </c>
      <c r="C996" s="1">
        <v>4637.6529228773197</v>
      </c>
      <c r="D996" s="1">
        <v>1</v>
      </c>
      <c r="E996" s="1">
        <v>13970.955757884476</v>
      </c>
      <c r="F996" s="1">
        <v>-1</v>
      </c>
      <c r="G996" s="1">
        <v>471</v>
      </c>
      <c r="H996" s="1">
        <v>2295.7750668305926</v>
      </c>
      <c r="I996" s="1">
        <v>1</v>
      </c>
      <c r="J996" s="1">
        <v>3372.2003343059091</v>
      </c>
      <c r="K996" s="1">
        <v>1</v>
      </c>
      <c r="L996" s="1">
        <v>229</v>
      </c>
      <c r="M996" s="18">
        <v>40</v>
      </c>
      <c r="N996" s="1">
        <v>40</v>
      </c>
      <c r="O996" s="1">
        <v>1</v>
      </c>
      <c r="P996" s="1">
        <v>350</v>
      </c>
      <c r="Q996" s="1">
        <v>0</v>
      </c>
    </row>
    <row r="997" spans="2:17" ht="15.45" x14ac:dyDescent="0.4">
      <c r="B997" s="1">
        <v>472</v>
      </c>
      <c r="C997" s="1">
        <v>4639.6635198583472</v>
      </c>
      <c r="D997" s="1">
        <v>1</v>
      </c>
      <c r="E997" s="1">
        <v>13986.705935317506</v>
      </c>
      <c r="F997" s="1">
        <v>-1</v>
      </c>
      <c r="G997" s="1">
        <v>472</v>
      </c>
      <c r="H997" s="1">
        <v>7095.5841270058318</v>
      </c>
      <c r="I997" s="1">
        <v>-1</v>
      </c>
      <c r="J997" s="1">
        <v>3374.1764843082351</v>
      </c>
      <c r="K997" s="1">
        <v>1</v>
      </c>
      <c r="L997" s="1">
        <v>230</v>
      </c>
      <c r="M997" s="18">
        <v>40</v>
      </c>
      <c r="N997" s="1">
        <v>40</v>
      </c>
      <c r="O997" s="1">
        <v>1</v>
      </c>
      <c r="P997" s="1">
        <v>351</v>
      </c>
      <c r="Q997" s="1">
        <v>0</v>
      </c>
    </row>
    <row r="998" spans="2:17" ht="15.45" x14ac:dyDescent="0.4">
      <c r="B998" s="1">
        <v>473</v>
      </c>
      <c r="C998" s="1">
        <v>4643.0340553521955</v>
      </c>
      <c r="D998" s="1">
        <v>1</v>
      </c>
      <c r="E998" s="1">
        <v>14046.128701111531</v>
      </c>
      <c r="F998" s="1">
        <v>-1</v>
      </c>
      <c r="G998" s="1">
        <v>473</v>
      </c>
      <c r="H998" s="1">
        <v>2301.2642248238949</v>
      </c>
      <c r="I998" s="1">
        <v>1</v>
      </c>
      <c r="J998" s="1">
        <v>3381.2873002083948</v>
      </c>
      <c r="K998" s="1">
        <v>1</v>
      </c>
      <c r="L998" s="1">
        <v>231</v>
      </c>
      <c r="M998" s="18">
        <v>40</v>
      </c>
      <c r="N998" s="1">
        <v>40</v>
      </c>
      <c r="O998" s="1">
        <v>1</v>
      </c>
      <c r="P998" s="1">
        <v>352</v>
      </c>
      <c r="Q998" s="1">
        <v>0</v>
      </c>
    </row>
    <row r="999" spans="2:17" ht="15.45" x14ac:dyDescent="0.4">
      <c r="B999" s="1">
        <v>474</v>
      </c>
      <c r="C999" s="1">
        <v>4656.6997875961697</v>
      </c>
      <c r="D999" s="1">
        <v>1</v>
      </c>
      <c r="E999" s="1">
        <v>14089.975806486558</v>
      </c>
      <c r="F999" s="1">
        <v>-1</v>
      </c>
      <c r="G999" s="1">
        <v>474</v>
      </c>
      <c r="H999" s="1">
        <v>7099.299845630152</v>
      </c>
      <c r="I999" s="1">
        <v>-1</v>
      </c>
      <c r="J999" s="1">
        <v>3389.9982599161463</v>
      </c>
      <c r="K999" s="1">
        <v>1</v>
      </c>
      <c r="L999" s="1">
        <v>232</v>
      </c>
      <c r="M999" s="18">
        <v>40</v>
      </c>
      <c r="N999" s="1">
        <v>40</v>
      </c>
      <c r="O999" s="1">
        <v>1</v>
      </c>
      <c r="P999" s="1">
        <v>353</v>
      </c>
      <c r="Q999" s="1">
        <v>0</v>
      </c>
    </row>
    <row r="1000" spans="2:17" ht="15.45" x14ac:dyDescent="0.4">
      <c r="B1000" s="1">
        <v>475</v>
      </c>
      <c r="C1000" s="1">
        <v>4676.9546759188042</v>
      </c>
      <c r="D1000" s="1">
        <v>1</v>
      </c>
      <c r="E1000" s="1">
        <v>14101.75786348902</v>
      </c>
      <c r="F1000" s="1">
        <v>-1</v>
      </c>
      <c r="G1000" s="1">
        <v>475</v>
      </c>
      <c r="H1000" s="1">
        <v>2305.6010345706727</v>
      </c>
      <c r="I1000" s="1">
        <v>1</v>
      </c>
      <c r="J1000" s="1">
        <v>3400.091404992992</v>
      </c>
      <c r="K1000" s="1">
        <v>1</v>
      </c>
      <c r="L1000" s="1">
        <v>233</v>
      </c>
      <c r="M1000" s="18">
        <v>40</v>
      </c>
      <c r="N1000" s="1">
        <v>40</v>
      </c>
      <c r="O1000" s="1">
        <v>1</v>
      </c>
      <c r="P1000" s="1">
        <v>354</v>
      </c>
      <c r="Q1000" s="1">
        <v>0</v>
      </c>
    </row>
    <row r="1001" spans="2:17" ht="15.45" x14ac:dyDescent="0.4">
      <c r="B1001" s="1">
        <v>476</v>
      </c>
      <c r="C1001" s="1">
        <v>4719.0180936712086</v>
      </c>
      <c r="D1001" s="1">
        <v>1</v>
      </c>
      <c r="E1001" s="1">
        <v>14115.298524002756</v>
      </c>
      <c r="F1001" s="1">
        <v>-1</v>
      </c>
      <c r="G1001" s="1">
        <v>476</v>
      </c>
      <c r="H1001" s="1">
        <v>7105.7610598429401</v>
      </c>
      <c r="I1001" s="1">
        <v>-1</v>
      </c>
      <c r="J1001" s="1">
        <v>3405.2010446076438</v>
      </c>
      <c r="K1001" s="1">
        <v>-1</v>
      </c>
      <c r="L1001" s="1">
        <v>232</v>
      </c>
      <c r="M1001" s="18">
        <v>40</v>
      </c>
      <c r="N1001" s="1">
        <v>40</v>
      </c>
      <c r="O1001" s="1">
        <v>0</v>
      </c>
      <c r="P1001" s="1">
        <v>0</v>
      </c>
      <c r="Q1001" s="1">
        <v>0</v>
      </c>
    </row>
    <row r="1002" spans="2:17" ht="15.45" x14ac:dyDescent="0.4">
      <c r="B1002" s="1">
        <v>477</v>
      </c>
      <c r="C1002" s="1">
        <v>4728.1586836596953</v>
      </c>
      <c r="D1002" s="1">
        <v>1</v>
      </c>
      <c r="E1002" s="1">
        <v>14222.585775219748</v>
      </c>
      <c r="F1002" s="1">
        <v>-1</v>
      </c>
      <c r="G1002" s="1">
        <v>477</v>
      </c>
      <c r="H1002" s="1">
        <v>2359.2958143196597</v>
      </c>
      <c r="I1002" s="1">
        <v>1</v>
      </c>
      <c r="J1002" s="1">
        <v>3406.4666636198917</v>
      </c>
      <c r="K1002" s="1">
        <v>1</v>
      </c>
      <c r="L1002" s="1">
        <v>233</v>
      </c>
      <c r="M1002" s="18">
        <v>40</v>
      </c>
      <c r="N1002" s="1">
        <v>40</v>
      </c>
      <c r="O1002" s="1">
        <v>1</v>
      </c>
      <c r="P1002" s="1">
        <v>355</v>
      </c>
      <c r="Q1002" s="1">
        <v>0</v>
      </c>
    </row>
    <row r="1003" spans="2:17" ht="15.45" x14ac:dyDescent="0.4">
      <c r="B1003" s="1">
        <v>478</v>
      </c>
      <c r="C1003" s="1">
        <v>4746.6376599320138</v>
      </c>
      <c r="D1003" s="1">
        <v>1</v>
      </c>
      <c r="E1003" s="1">
        <v>14236.797259866222</v>
      </c>
      <c r="F1003" s="1">
        <v>-1</v>
      </c>
      <c r="G1003" s="1">
        <v>478</v>
      </c>
      <c r="H1003" s="1">
        <v>7114.4565142742595</v>
      </c>
      <c r="I1003" s="1">
        <v>-1</v>
      </c>
      <c r="J1003" s="1">
        <v>3434.1567148002641</v>
      </c>
      <c r="K1003" s="1">
        <v>1</v>
      </c>
      <c r="L1003" s="1">
        <v>234</v>
      </c>
      <c r="M1003" s="18">
        <v>40</v>
      </c>
      <c r="N1003" s="1">
        <v>40</v>
      </c>
      <c r="O1003" s="1">
        <v>1</v>
      </c>
      <c r="P1003" s="1">
        <v>356</v>
      </c>
      <c r="Q1003" s="1">
        <v>0</v>
      </c>
    </row>
    <row r="1004" spans="2:17" ht="15.45" x14ac:dyDescent="0.4">
      <c r="B1004" s="1">
        <v>479</v>
      </c>
      <c r="C1004" s="1">
        <v>4764.2852828538917</v>
      </c>
      <c r="D1004" s="1">
        <v>1</v>
      </c>
      <c r="E1004" s="1">
        <v>14256.80591787073</v>
      </c>
      <c r="F1004" s="1">
        <v>-1</v>
      </c>
      <c r="G1004" s="1">
        <v>479</v>
      </c>
      <c r="H1004" s="1">
        <v>2362.5067605871091</v>
      </c>
      <c r="I1004" s="1">
        <v>1</v>
      </c>
      <c r="J1004" s="1">
        <v>3441.3222632223851</v>
      </c>
      <c r="K1004" s="1">
        <v>1</v>
      </c>
      <c r="L1004" s="1">
        <v>235</v>
      </c>
      <c r="M1004" s="18">
        <v>40</v>
      </c>
      <c r="N1004" s="1">
        <v>40</v>
      </c>
      <c r="O1004" s="1">
        <v>1</v>
      </c>
      <c r="P1004" s="1">
        <v>357</v>
      </c>
      <c r="Q1004" s="1">
        <v>0</v>
      </c>
    </row>
    <row r="1005" spans="2:17" ht="15.45" x14ac:dyDescent="0.4">
      <c r="B1005" s="1">
        <v>480</v>
      </c>
      <c r="C1005" s="1">
        <v>4765.5238557286648</v>
      </c>
      <c r="D1005" s="1">
        <v>1</v>
      </c>
      <c r="E1005" s="1">
        <v>14287.980363034852</v>
      </c>
      <c r="F1005" s="1">
        <v>-1</v>
      </c>
      <c r="G1005" s="1">
        <v>480</v>
      </c>
      <c r="H1005" s="1">
        <v>7116.8538244724177</v>
      </c>
      <c r="I1005" s="1">
        <v>-1</v>
      </c>
      <c r="J1005" s="1">
        <v>3442.0904734006463</v>
      </c>
      <c r="K1005" s="1">
        <v>1</v>
      </c>
      <c r="L1005" s="1">
        <v>236</v>
      </c>
      <c r="M1005" s="18">
        <v>40</v>
      </c>
      <c r="N1005" s="1">
        <v>40</v>
      </c>
      <c r="O1005" s="1">
        <v>1</v>
      </c>
      <c r="P1005" s="1">
        <v>358</v>
      </c>
      <c r="Q1005" s="1">
        <v>0</v>
      </c>
    </row>
    <row r="1006" spans="2:17" ht="15.45" x14ac:dyDescent="0.4">
      <c r="B1006" s="1">
        <v>481</v>
      </c>
      <c r="C1006" s="1">
        <v>4767.6775937995944</v>
      </c>
      <c r="D1006" s="1">
        <v>1</v>
      </c>
      <c r="E1006" s="1">
        <v>14305.262208955537</v>
      </c>
      <c r="F1006" s="1">
        <v>-1</v>
      </c>
      <c r="G1006" s="1">
        <v>481</v>
      </c>
      <c r="H1006" s="1">
        <v>2377.4625783353831</v>
      </c>
      <c r="I1006" s="1">
        <v>1</v>
      </c>
      <c r="J1006" s="1">
        <v>3457.997876810517</v>
      </c>
      <c r="K1006" s="1">
        <v>1</v>
      </c>
      <c r="L1006" s="1">
        <v>237</v>
      </c>
      <c r="M1006" s="18">
        <v>40</v>
      </c>
      <c r="N1006" s="1">
        <v>40</v>
      </c>
      <c r="O1006" s="1">
        <v>1</v>
      </c>
      <c r="P1006" s="1">
        <v>359</v>
      </c>
      <c r="Q1006" s="1">
        <v>0</v>
      </c>
    </row>
    <row r="1007" spans="2:17" ht="15.45" x14ac:dyDescent="0.4">
      <c r="B1007" s="1">
        <v>482</v>
      </c>
      <c r="C1007" s="1">
        <v>4770.5760786100345</v>
      </c>
      <c r="D1007" s="1">
        <v>1</v>
      </c>
      <c r="E1007" s="1">
        <v>14305.711769592495</v>
      </c>
      <c r="F1007" s="1">
        <v>-1</v>
      </c>
      <c r="G1007" s="1">
        <v>482</v>
      </c>
      <c r="H1007" s="1">
        <v>7143.4747437328906</v>
      </c>
      <c r="I1007" s="1">
        <v>-1</v>
      </c>
      <c r="J1007" s="1">
        <v>3470.5969665272605</v>
      </c>
      <c r="K1007" s="1">
        <v>1</v>
      </c>
      <c r="L1007" s="1">
        <v>238</v>
      </c>
      <c r="M1007" s="18">
        <v>40</v>
      </c>
      <c r="N1007" s="1">
        <v>40</v>
      </c>
      <c r="O1007" s="1">
        <v>1</v>
      </c>
      <c r="P1007" s="1">
        <v>360</v>
      </c>
      <c r="Q1007" s="1">
        <v>0</v>
      </c>
    </row>
    <row r="1008" spans="2:17" ht="15.45" x14ac:dyDescent="0.4">
      <c r="B1008" s="1">
        <v>483</v>
      </c>
      <c r="C1008" s="1">
        <v>4771.3751820094203</v>
      </c>
      <c r="D1008" s="1">
        <v>1</v>
      </c>
      <c r="E1008" s="1">
        <v>14312.608013293291</v>
      </c>
      <c r="F1008" s="1">
        <v>-1</v>
      </c>
      <c r="G1008" s="1">
        <v>483</v>
      </c>
      <c r="H1008" s="1">
        <v>2392.5295634957506</v>
      </c>
      <c r="I1008" s="1">
        <v>1</v>
      </c>
      <c r="J1008" s="1">
        <v>3477.4017284298184</v>
      </c>
      <c r="K1008" s="1">
        <v>1</v>
      </c>
      <c r="L1008" s="1">
        <v>239</v>
      </c>
      <c r="M1008" s="18">
        <v>40</v>
      </c>
      <c r="N1008" s="1">
        <v>40</v>
      </c>
      <c r="O1008" s="1">
        <v>1</v>
      </c>
      <c r="P1008" s="1">
        <v>361</v>
      </c>
      <c r="Q1008" s="1">
        <v>0</v>
      </c>
    </row>
    <row r="1009" spans="2:17" ht="15.45" x14ac:dyDescent="0.4">
      <c r="B1009" s="1">
        <v>484</v>
      </c>
      <c r="C1009" s="1">
        <v>4780.2488217629116</v>
      </c>
      <c r="D1009" s="1">
        <v>1</v>
      </c>
      <c r="E1009" s="1">
        <v>14319.945035270594</v>
      </c>
      <c r="F1009" s="1">
        <v>-1</v>
      </c>
      <c r="G1009" s="1">
        <v>484</v>
      </c>
      <c r="H1009" s="1">
        <v>7205.0846843273721</v>
      </c>
      <c r="I1009" s="1">
        <v>-1</v>
      </c>
      <c r="J1009" s="1">
        <v>3498.7186518838475</v>
      </c>
      <c r="K1009" s="1">
        <v>1</v>
      </c>
      <c r="L1009" s="1">
        <v>240</v>
      </c>
      <c r="M1009" s="18">
        <v>40</v>
      </c>
      <c r="N1009" s="1">
        <v>40</v>
      </c>
      <c r="O1009" s="1">
        <v>1</v>
      </c>
      <c r="P1009" s="1">
        <v>362</v>
      </c>
      <c r="Q1009" s="1">
        <v>0</v>
      </c>
    </row>
    <row r="1010" spans="2:17" ht="15.45" x14ac:dyDescent="0.4">
      <c r="B1010" s="1">
        <v>485</v>
      </c>
      <c r="C1010" s="1">
        <v>4800.7854686277387</v>
      </c>
      <c r="D1010" s="1">
        <v>1</v>
      </c>
      <c r="E1010" s="1">
        <v>14325.976826213677</v>
      </c>
      <c r="F1010" s="1">
        <v>-1</v>
      </c>
      <c r="G1010" s="1">
        <v>485</v>
      </c>
      <c r="H1010" s="1">
        <v>2395.9611401426146</v>
      </c>
      <c r="I1010" s="1">
        <v>1</v>
      </c>
      <c r="J1010" s="1">
        <v>3509.2779103207367</v>
      </c>
      <c r="K1010" s="1">
        <v>-1</v>
      </c>
      <c r="L1010" s="1">
        <v>239</v>
      </c>
      <c r="M1010" s="18">
        <v>40</v>
      </c>
      <c r="N1010" s="1">
        <v>40</v>
      </c>
      <c r="O1010" s="1">
        <v>0</v>
      </c>
      <c r="P1010" s="1">
        <v>0</v>
      </c>
      <c r="Q1010" s="1">
        <v>0</v>
      </c>
    </row>
    <row r="1011" spans="2:17" ht="15.45" x14ac:dyDescent="0.4">
      <c r="B1011" s="1">
        <v>486</v>
      </c>
      <c r="C1011" s="1">
        <v>4814.1478648897555</v>
      </c>
      <c r="D1011" s="1">
        <v>1</v>
      </c>
      <c r="E1011" s="1">
        <v>14336.088432695222</v>
      </c>
      <c r="F1011" s="1">
        <v>-1</v>
      </c>
      <c r="G1011" s="1">
        <v>486</v>
      </c>
      <c r="H1011" s="1">
        <v>7245.1718731134233</v>
      </c>
      <c r="I1011" s="1">
        <v>-1</v>
      </c>
      <c r="J1011" s="1">
        <v>3510.9548916644121</v>
      </c>
      <c r="K1011" s="1">
        <v>1</v>
      </c>
      <c r="L1011" s="1">
        <v>240</v>
      </c>
      <c r="M1011" s="18">
        <v>40</v>
      </c>
      <c r="N1011" s="1">
        <v>40</v>
      </c>
      <c r="O1011" s="1">
        <v>1</v>
      </c>
      <c r="P1011" s="1">
        <v>363</v>
      </c>
      <c r="Q1011" s="1">
        <v>0</v>
      </c>
    </row>
    <row r="1012" spans="2:17" ht="15.45" x14ac:dyDescent="0.4">
      <c r="B1012" s="1">
        <v>487</v>
      </c>
      <c r="C1012" s="1">
        <v>4819.7109299474996</v>
      </c>
      <c r="D1012" s="1">
        <v>1</v>
      </c>
      <c r="E1012" s="1">
        <v>14377.085629427145</v>
      </c>
      <c r="F1012" s="1">
        <v>-1</v>
      </c>
      <c r="G1012" s="1">
        <v>487</v>
      </c>
      <c r="H1012" s="1">
        <v>2402.2062866830811</v>
      </c>
      <c r="I1012" s="1">
        <v>1</v>
      </c>
      <c r="J1012" s="1">
        <v>3518.4367396583129</v>
      </c>
      <c r="K1012" s="1">
        <v>1</v>
      </c>
      <c r="L1012" s="1">
        <v>241</v>
      </c>
      <c r="M1012" s="18">
        <v>40</v>
      </c>
      <c r="N1012" s="1">
        <v>40</v>
      </c>
      <c r="O1012" s="1">
        <v>1</v>
      </c>
      <c r="P1012" s="1">
        <v>364</v>
      </c>
      <c r="Q1012" s="1">
        <v>0</v>
      </c>
    </row>
    <row r="1013" spans="2:17" ht="15.45" x14ac:dyDescent="0.4">
      <c r="B1013" s="1">
        <v>488</v>
      </c>
      <c r="C1013" s="1">
        <v>4820.2276539822869</v>
      </c>
      <c r="D1013" s="1">
        <v>1</v>
      </c>
      <c r="E1013" s="1">
        <v>14437.850294395048</v>
      </c>
      <c r="F1013" s="1">
        <v>-1</v>
      </c>
      <c r="G1013" s="1">
        <v>488</v>
      </c>
      <c r="H1013" s="1">
        <v>7261.8610682866547</v>
      </c>
      <c r="I1013" s="1">
        <v>-1</v>
      </c>
      <c r="J1013" s="1">
        <v>3534.1575887211611</v>
      </c>
      <c r="K1013" s="1">
        <v>1</v>
      </c>
      <c r="L1013" s="1">
        <v>242</v>
      </c>
      <c r="M1013" s="18">
        <v>40</v>
      </c>
      <c r="N1013" s="1">
        <v>40</v>
      </c>
      <c r="O1013" s="1">
        <v>1</v>
      </c>
      <c r="P1013" s="1">
        <v>365</v>
      </c>
      <c r="Q1013" s="1">
        <v>0</v>
      </c>
    </row>
    <row r="1014" spans="2:17" ht="15.45" x14ac:dyDescent="0.4">
      <c r="B1014" s="1">
        <v>489</v>
      </c>
      <c r="C1014" s="1">
        <v>4821.2847932691466</v>
      </c>
      <c r="D1014" s="1">
        <v>1</v>
      </c>
      <c r="E1014" s="1">
        <v>14564.040547652261</v>
      </c>
      <c r="F1014" s="1">
        <v>-1</v>
      </c>
      <c r="G1014" s="1">
        <v>489</v>
      </c>
      <c r="H1014" s="1">
        <v>2414.5785513858955</v>
      </c>
      <c r="I1014" s="1">
        <v>1</v>
      </c>
      <c r="J1014" s="1">
        <v>3541.9565132048219</v>
      </c>
      <c r="K1014" s="1">
        <v>-1</v>
      </c>
      <c r="L1014" s="1">
        <v>241</v>
      </c>
      <c r="M1014" s="18">
        <v>40</v>
      </c>
      <c r="N1014" s="1">
        <v>40</v>
      </c>
      <c r="O1014" s="1">
        <v>0</v>
      </c>
      <c r="P1014" s="1">
        <v>0</v>
      </c>
      <c r="Q1014" s="1">
        <v>0</v>
      </c>
    </row>
    <row r="1015" spans="2:17" ht="15.45" x14ac:dyDescent="0.4">
      <c r="B1015" s="1">
        <v>490</v>
      </c>
      <c r="C1015" s="1">
        <v>4828.6788580936736</v>
      </c>
      <c r="D1015" s="1">
        <v>1</v>
      </c>
      <c r="E1015" s="1">
        <v>14591.462317617719</v>
      </c>
      <c r="F1015" s="1">
        <v>-1</v>
      </c>
      <c r="G1015" s="1">
        <v>490</v>
      </c>
      <c r="H1015" s="1">
        <v>7263.4112403910158</v>
      </c>
      <c r="I1015" s="1">
        <v>-1</v>
      </c>
      <c r="J1015" s="1">
        <v>3568.8498772921921</v>
      </c>
      <c r="K1015" s="1">
        <v>1</v>
      </c>
      <c r="L1015" s="1">
        <v>242</v>
      </c>
      <c r="M1015" s="18">
        <v>40</v>
      </c>
      <c r="N1015" s="1">
        <v>40</v>
      </c>
      <c r="O1015" s="1">
        <v>1</v>
      </c>
      <c r="P1015" s="1">
        <v>366</v>
      </c>
      <c r="Q1015" s="1">
        <v>0</v>
      </c>
    </row>
    <row r="1016" spans="2:17" ht="15.45" x14ac:dyDescent="0.4">
      <c r="B1016" s="1">
        <v>491</v>
      </c>
      <c r="C1016" s="1">
        <v>4829.0719402895038</v>
      </c>
      <c r="D1016" s="1">
        <v>1</v>
      </c>
      <c r="E1016" s="1">
        <v>14646.899246434674</v>
      </c>
      <c r="F1016" s="1">
        <v>-1</v>
      </c>
      <c r="G1016" s="1">
        <v>491</v>
      </c>
      <c r="H1016" s="1">
        <v>2417.2300343293596</v>
      </c>
      <c r="I1016" s="1">
        <v>1</v>
      </c>
      <c r="J1016" s="1">
        <v>3574.050663271456</v>
      </c>
      <c r="K1016" s="1">
        <v>-1</v>
      </c>
      <c r="L1016" s="1">
        <v>241</v>
      </c>
      <c r="M1016" s="18">
        <v>40</v>
      </c>
      <c r="N1016" s="1">
        <v>40</v>
      </c>
      <c r="O1016" s="1">
        <v>0</v>
      </c>
      <c r="P1016" s="1">
        <v>0</v>
      </c>
      <c r="Q1016" s="1">
        <v>0</v>
      </c>
    </row>
    <row r="1017" spans="2:17" ht="15.45" x14ac:dyDescent="0.4">
      <c r="B1017" s="1">
        <v>492</v>
      </c>
      <c r="C1017" s="1">
        <v>4830.5277295620908</v>
      </c>
      <c r="D1017" s="1">
        <v>1</v>
      </c>
      <c r="E1017" s="1">
        <v>14699.842115200307</v>
      </c>
      <c r="F1017" s="1">
        <v>-1</v>
      </c>
      <c r="G1017" s="1">
        <v>492</v>
      </c>
      <c r="H1017" s="1">
        <v>7266.5826582515929</v>
      </c>
      <c r="I1017" s="1">
        <v>-1</v>
      </c>
      <c r="J1017" s="1">
        <v>3579.7427449202205</v>
      </c>
      <c r="K1017" s="1">
        <v>1</v>
      </c>
      <c r="L1017" s="1">
        <v>242</v>
      </c>
      <c r="M1017" s="18">
        <v>40</v>
      </c>
      <c r="N1017" s="1">
        <v>40</v>
      </c>
      <c r="O1017" s="1">
        <v>1</v>
      </c>
      <c r="P1017" s="1">
        <v>367</v>
      </c>
      <c r="Q1017" s="1">
        <v>0</v>
      </c>
    </row>
    <row r="1018" spans="2:17" ht="15.45" x14ac:dyDescent="0.4">
      <c r="B1018" s="1">
        <v>493</v>
      </c>
      <c r="C1018" s="1">
        <v>4836.0168875553927</v>
      </c>
      <c r="D1018" s="1">
        <v>1</v>
      </c>
      <c r="E1018" s="1">
        <v>14703.557833824627</v>
      </c>
      <c r="F1018" s="1">
        <v>-1</v>
      </c>
      <c r="G1018" s="1">
        <v>493</v>
      </c>
      <c r="H1018" s="1">
        <v>2427.1417818270961</v>
      </c>
      <c r="I1018" s="1">
        <v>1</v>
      </c>
      <c r="J1018" s="1">
        <v>3589.5852572306303</v>
      </c>
      <c r="K1018" s="1">
        <v>-1</v>
      </c>
      <c r="L1018" s="1">
        <v>241</v>
      </c>
      <c r="M1018" s="18">
        <v>40</v>
      </c>
      <c r="N1018" s="1">
        <v>40</v>
      </c>
      <c r="O1018" s="1">
        <v>0</v>
      </c>
      <c r="P1018" s="1">
        <v>0</v>
      </c>
      <c r="Q1018" s="1">
        <v>0</v>
      </c>
    </row>
    <row r="1019" spans="2:17" ht="15.45" x14ac:dyDescent="0.4">
      <c r="B1019" s="1">
        <v>494</v>
      </c>
      <c r="C1019" s="1">
        <v>4840.353697302171</v>
      </c>
      <c r="D1019" s="1">
        <v>1</v>
      </c>
      <c r="E1019" s="1">
        <v>14710.019048037415</v>
      </c>
      <c r="F1019" s="1">
        <v>-1</v>
      </c>
      <c r="G1019" s="1">
        <v>494</v>
      </c>
      <c r="H1019" s="1">
        <v>7288.7648527251749</v>
      </c>
      <c r="I1019" s="1">
        <v>-1</v>
      </c>
      <c r="J1019" s="1">
        <v>3590.4407949424317</v>
      </c>
      <c r="K1019" s="1">
        <v>1</v>
      </c>
      <c r="L1019" s="1">
        <v>242</v>
      </c>
      <c r="M1019" s="18">
        <v>40</v>
      </c>
      <c r="N1019" s="1">
        <v>40</v>
      </c>
      <c r="O1019" s="1">
        <v>1</v>
      </c>
      <c r="P1019" s="1">
        <v>368</v>
      </c>
      <c r="Q1019" s="1">
        <v>0</v>
      </c>
    </row>
    <row r="1020" spans="2:17" ht="15.45" x14ac:dyDescent="0.4">
      <c r="B1020" s="1">
        <v>495</v>
      </c>
      <c r="C1020" s="1">
        <v>4894.0484770511584</v>
      </c>
      <c r="D1020" s="1">
        <v>1</v>
      </c>
      <c r="E1020" s="1">
        <v>14718.714502468734</v>
      </c>
      <c r="F1020" s="1">
        <v>-1</v>
      </c>
      <c r="G1020" s="1">
        <v>495</v>
      </c>
      <c r="H1020" s="1">
        <v>2429.4959432170217</v>
      </c>
      <c r="I1020" s="1">
        <v>1</v>
      </c>
      <c r="J1020" s="1">
        <v>3593.4520542636396</v>
      </c>
      <c r="K1020" s="1">
        <v>-1</v>
      </c>
      <c r="L1020" s="1">
        <v>241</v>
      </c>
      <c r="M1020" s="18">
        <v>40</v>
      </c>
      <c r="N1020" s="1">
        <v>40</v>
      </c>
      <c r="O1020" s="1">
        <v>0</v>
      </c>
      <c r="P1020" s="1">
        <v>0</v>
      </c>
      <c r="Q1020" s="1">
        <v>0</v>
      </c>
    </row>
    <row r="1021" spans="2:17" ht="15.45" x14ac:dyDescent="0.4">
      <c r="B1021" s="1">
        <v>496</v>
      </c>
      <c r="C1021" s="1">
        <v>4897.2594233186073</v>
      </c>
      <c r="D1021" s="1">
        <v>1</v>
      </c>
      <c r="E1021" s="1">
        <v>14721.111812666892</v>
      </c>
      <c r="F1021" s="1">
        <v>-1</v>
      </c>
      <c r="G1021" s="1">
        <v>496</v>
      </c>
      <c r="H1021" s="1">
        <v>7289.9440993126645</v>
      </c>
      <c r="I1021" s="1">
        <v>-1</v>
      </c>
      <c r="J1021" s="1">
        <v>3595.618992928823</v>
      </c>
      <c r="K1021" s="1">
        <v>1</v>
      </c>
      <c r="L1021" s="1">
        <v>242</v>
      </c>
      <c r="M1021" s="18">
        <v>40</v>
      </c>
      <c r="N1021" s="1">
        <v>40</v>
      </c>
      <c r="O1021" s="1">
        <v>1</v>
      </c>
      <c r="P1021" s="1">
        <v>369</v>
      </c>
      <c r="Q1021" s="1">
        <v>0</v>
      </c>
    </row>
    <row r="1022" spans="2:17" ht="15.45" x14ac:dyDescent="0.4">
      <c r="B1022" s="1">
        <v>497</v>
      </c>
      <c r="C1022" s="1">
        <v>4912.2152410668814</v>
      </c>
      <c r="D1022" s="1">
        <v>1</v>
      </c>
      <c r="E1022" s="1">
        <v>14747.732731927365</v>
      </c>
      <c r="F1022" s="1">
        <v>-1</v>
      </c>
      <c r="G1022" s="1">
        <v>497</v>
      </c>
      <c r="H1022" s="1">
        <v>2441.2972215962586</v>
      </c>
      <c r="I1022" s="1">
        <v>1</v>
      </c>
      <c r="J1022" s="1">
        <v>3596.9079252731594</v>
      </c>
      <c r="K1022" s="1">
        <v>1</v>
      </c>
      <c r="L1022" s="1">
        <v>243</v>
      </c>
      <c r="M1022" s="18">
        <v>40</v>
      </c>
      <c r="N1022" s="1">
        <v>40</v>
      </c>
      <c r="O1022" s="1">
        <v>1</v>
      </c>
      <c r="P1022" s="1">
        <v>370</v>
      </c>
      <c r="Q1022" s="1">
        <v>0</v>
      </c>
    </row>
    <row r="1023" spans="2:17" ht="15.45" x14ac:dyDescent="0.4">
      <c r="B1023" s="1">
        <v>498</v>
      </c>
      <c r="C1023" s="1">
        <v>4927.2822262272484</v>
      </c>
      <c r="D1023" s="1">
        <v>1</v>
      </c>
      <c r="E1023" s="1">
        <v>14809.342672521845</v>
      </c>
      <c r="F1023" s="1">
        <v>-1</v>
      </c>
      <c r="G1023" s="1">
        <v>498</v>
      </c>
      <c r="H1023" s="1">
        <v>7294.3114671304247</v>
      </c>
      <c r="I1023" s="1">
        <v>-1</v>
      </c>
      <c r="J1023" s="1">
        <v>3608.0430122957187</v>
      </c>
      <c r="K1023" s="1">
        <v>1</v>
      </c>
      <c r="L1023" s="1">
        <v>244</v>
      </c>
      <c r="M1023" s="18">
        <v>40</v>
      </c>
      <c r="N1023" s="1">
        <v>40</v>
      </c>
      <c r="O1023" s="1">
        <v>1</v>
      </c>
      <c r="P1023" s="1">
        <v>371</v>
      </c>
      <c r="Q1023" s="1">
        <v>0</v>
      </c>
    </row>
    <row r="1024" spans="2:17" ht="15.45" x14ac:dyDescent="0.4">
      <c r="B1024" s="1">
        <v>499</v>
      </c>
      <c r="C1024" s="1">
        <v>4930.7138028741128</v>
      </c>
      <c r="D1024" s="1">
        <v>1</v>
      </c>
      <c r="E1024" s="1">
        <v>14849.429861307897</v>
      </c>
      <c r="F1024" s="1">
        <v>-1</v>
      </c>
      <c r="G1024" s="1">
        <v>499</v>
      </c>
      <c r="H1024" s="1">
        <v>2514.8802566671111</v>
      </c>
      <c r="I1024" s="1">
        <v>1</v>
      </c>
      <c r="J1024" s="1">
        <v>3608.7631631139848</v>
      </c>
      <c r="K1024" s="1">
        <v>1</v>
      </c>
      <c r="L1024" s="1">
        <v>245</v>
      </c>
      <c r="M1024" s="18">
        <v>40</v>
      </c>
      <c r="N1024" s="1">
        <v>40</v>
      </c>
      <c r="O1024" s="1">
        <v>1</v>
      </c>
      <c r="P1024" s="1">
        <v>372</v>
      </c>
      <c r="Q1024" s="1">
        <v>0</v>
      </c>
    </row>
    <row r="1025" spans="2:17" ht="15.45" x14ac:dyDescent="0.4">
      <c r="B1025" s="1">
        <v>500</v>
      </c>
      <c r="C1025" s="1">
        <v>4936.9589494145794</v>
      </c>
      <c r="D1025" s="1">
        <v>1</v>
      </c>
      <c r="E1025" s="1">
        <v>14866.11905648113</v>
      </c>
      <c r="F1025" s="1">
        <v>-1</v>
      </c>
      <c r="G1025" s="1">
        <v>500</v>
      </c>
      <c r="H1025" s="1">
        <v>7310.7789411103313</v>
      </c>
      <c r="I1025" s="1">
        <v>-1</v>
      </c>
      <c r="J1025" s="1">
        <v>3612.7960139601705</v>
      </c>
      <c r="K1025" s="1">
        <v>1</v>
      </c>
      <c r="L1025" s="1">
        <v>246</v>
      </c>
      <c r="M1025" s="18">
        <v>40</v>
      </c>
      <c r="N1025" s="1">
        <v>40</v>
      </c>
      <c r="O1025" s="1">
        <v>1</v>
      </c>
      <c r="P1025" s="1">
        <v>373</v>
      </c>
      <c r="Q1025" s="1">
        <v>0</v>
      </c>
    </row>
    <row r="1026" spans="2:17" ht="15.45" x14ac:dyDescent="0.4">
      <c r="G1026" s="1">
        <v>501</v>
      </c>
      <c r="H1026" s="1">
        <v>2522.5076359921654</v>
      </c>
      <c r="I1026" s="1">
        <v>1</v>
      </c>
      <c r="J1026" s="1">
        <v>3622.4218715115685</v>
      </c>
      <c r="K1026" s="1">
        <v>1</v>
      </c>
      <c r="L1026" s="1">
        <v>247</v>
      </c>
      <c r="M1026" s="18">
        <v>40</v>
      </c>
      <c r="N1026" s="1">
        <v>40</v>
      </c>
      <c r="O1026" s="1">
        <v>1</v>
      </c>
      <c r="P1026" s="1">
        <v>374</v>
      </c>
      <c r="Q1026" s="1">
        <v>0</v>
      </c>
    </row>
    <row r="1027" spans="2:17" ht="15.45" x14ac:dyDescent="0.4">
      <c r="G1027" s="1">
        <v>502</v>
      </c>
      <c r="H1027" s="1">
        <v>7323.7893703506652</v>
      </c>
      <c r="I1027" s="1">
        <v>-1</v>
      </c>
      <c r="J1027" s="1">
        <v>3625.2250534277455</v>
      </c>
      <c r="K1027" s="1">
        <v>1</v>
      </c>
      <c r="L1027" s="1">
        <v>248</v>
      </c>
      <c r="M1027" s="18">
        <v>40</v>
      </c>
      <c r="N1027" s="1">
        <v>40</v>
      </c>
      <c r="O1027" s="1">
        <v>1</v>
      </c>
      <c r="P1027" s="1">
        <v>375</v>
      </c>
      <c r="Q1027" s="1">
        <v>0</v>
      </c>
    </row>
    <row r="1028" spans="2:17" ht="15.45" x14ac:dyDescent="0.4">
      <c r="G1028" s="1">
        <v>503</v>
      </c>
      <c r="H1028" s="1">
        <v>2522.5378435874313</v>
      </c>
      <c r="I1028" s="1">
        <v>1</v>
      </c>
      <c r="J1028" s="1">
        <v>3626.8573153313164</v>
      </c>
      <c r="K1028" s="1">
        <v>-1</v>
      </c>
      <c r="L1028" s="1">
        <v>247</v>
      </c>
      <c r="M1028" s="18">
        <v>40</v>
      </c>
      <c r="N1028" s="1">
        <v>40</v>
      </c>
      <c r="O1028" s="1">
        <v>0</v>
      </c>
      <c r="P1028" s="1">
        <v>0</v>
      </c>
      <c r="Q1028" s="1">
        <v>0</v>
      </c>
    </row>
    <row r="1029" spans="2:17" ht="15.45" x14ac:dyDescent="0.4">
      <c r="G1029" s="1">
        <v>504</v>
      </c>
      <c r="H1029" s="1">
        <v>7484.8737095976267</v>
      </c>
      <c r="I1029" s="1">
        <v>-1</v>
      </c>
      <c r="J1029" s="1">
        <v>3629.0177677861152</v>
      </c>
      <c r="K1029" s="1">
        <v>-1</v>
      </c>
      <c r="L1029" s="1">
        <v>246</v>
      </c>
      <c r="M1029" s="18">
        <v>40</v>
      </c>
      <c r="N1029" s="1">
        <v>40</v>
      </c>
      <c r="O1029" s="1">
        <v>0</v>
      </c>
      <c r="P1029" s="1">
        <v>0</v>
      </c>
      <c r="Q1029" s="1">
        <v>0</v>
      </c>
    </row>
    <row r="1030" spans="2:17" ht="15.45" x14ac:dyDescent="0.4">
      <c r="G1030" s="1">
        <v>505</v>
      </c>
      <c r="H1030" s="1">
        <v>2525.2833322146994</v>
      </c>
      <c r="I1030" s="1">
        <v>1</v>
      </c>
      <c r="J1030" s="1">
        <v>3634.3002951434614</v>
      </c>
      <c r="K1030" s="1">
        <v>1</v>
      </c>
      <c r="L1030" s="1">
        <v>247</v>
      </c>
      <c r="M1030" s="18">
        <v>40</v>
      </c>
      <c r="N1030" s="1">
        <v>40</v>
      </c>
      <c r="O1030" s="1">
        <v>1</v>
      </c>
      <c r="P1030" s="1">
        <v>376</v>
      </c>
      <c r="Q1030" s="1">
        <v>0</v>
      </c>
    </row>
    <row r="1031" spans="2:17" ht="15.45" x14ac:dyDescent="0.4">
      <c r="G1031" s="1">
        <v>506</v>
      </c>
      <c r="H1031" s="1">
        <v>7494.5065483999751</v>
      </c>
      <c r="I1031" s="1">
        <v>-1</v>
      </c>
      <c r="J1031" s="1">
        <v>3638.0599195126224</v>
      </c>
      <c r="K1031" s="1">
        <v>1</v>
      </c>
      <c r="L1031" s="1">
        <v>248</v>
      </c>
      <c r="M1031" s="18">
        <v>40</v>
      </c>
      <c r="N1031" s="1">
        <v>40</v>
      </c>
      <c r="O1031" s="1">
        <v>1</v>
      </c>
      <c r="P1031" s="1">
        <v>377</v>
      </c>
      <c r="Q1031" s="1">
        <v>0</v>
      </c>
    </row>
    <row r="1032" spans="2:17" ht="15.45" x14ac:dyDescent="0.4">
      <c r="G1032" s="1">
        <v>507</v>
      </c>
      <c r="H1032" s="1">
        <v>2526.4717721848701</v>
      </c>
      <c r="I1032" s="1">
        <v>1</v>
      </c>
      <c r="J1032" s="1">
        <v>3641.1163203246724</v>
      </c>
      <c r="K1032" s="1">
        <v>-1</v>
      </c>
      <c r="L1032" s="1">
        <v>247</v>
      </c>
      <c r="M1032" s="18">
        <v>40</v>
      </c>
      <c r="N1032" s="1">
        <v>40</v>
      </c>
      <c r="O1032" s="1">
        <v>0</v>
      </c>
      <c r="P1032" s="1">
        <v>0</v>
      </c>
      <c r="Q1032" s="1">
        <v>0</v>
      </c>
    </row>
    <row r="1033" spans="2:17" ht="15.45" x14ac:dyDescent="0.4">
      <c r="G1033" s="1">
        <v>508</v>
      </c>
      <c r="H1033" s="1">
        <v>7539.3740016447964</v>
      </c>
      <c r="I1033" s="1">
        <v>-1</v>
      </c>
      <c r="J1033" s="1">
        <v>3643.1212244343296</v>
      </c>
      <c r="K1033" s="1">
        <v>1</v>
      </c>
      <c r="L1033" s="1">
        <v>248</v>
      </c>
      <c r="M1033" s="18">
        <v>40</v>
      </c>
      <c r="N1033" s="1">
        <v>40</v>
      </c>
      <c r="O1033" s="1">
        <v>1</v>
      </c>
      <c r="P1033" s="1">
        <v>378</v>
      </c>
      <c r="Q1033" s="1">
        <v>0</v>
      </c>
    </row>
    <row r="1034" spans="2:17" ht="15.45" x14ac:dyDescent="0.4">
      <c r="G1034" s="1">
        <v>509</v>
      </c>
      <c r="H1034" s="1">
        <v>2533.1939214044</v>
      </c>
      <c r="I1034" s="1">
        <v>1</v>
      </c>
      <c r="J1034" s="1">
        <v>3665.2773856858994</v>
      </c>
      <c r="K1034" s="1">
        <v>1</v>
      </c>
      <c r="L1034" s="1">
        <v>249</v>
      </c>
      <c r="M1034" s="18">
        <v>40</v>
      </c>
      <c r="N1034" s="1">
        <v>40</v>
      </c>
      <c r="O1034" s="1">
        <v>1</v>
      </c>
      <c r="P1034" s="1">
        <v>379</v>
      </c>
      <c r="Q1034" s="1">
        <v>0</v>
      </c>
    </row>
    <row r="1035" spans="2:17" ht="15.45" x14ac:dyDescent="0.4">
      <c r="G1035" s="1">
        <v>510</v>
      </c>
      <c r="H1035" s="1">
        <v>7584.5749571258984</v>
      </c>
      <c r="I1035" s="1">
        <v>-1</v>
      </c>
      <c r="J1035" s="1">
        <v>3669.9938929788668</v>
      </c>
      <c r="K1035" s="1">
        <v>-1</v>
      </c>
      <c r="L1035" s="1">
        <v>248</v>
      </c>
      <c r="M1035" s="18">
        <v>40</v>
      </c>
      <c r="N1035" s="1">
        <v>40</v>
      </c>
      <c r="O1035" s="1">
        <v>0</v>
      </c>
      <c r="P1035" s="1">
        <v>0</v>
      </c>
      <c r="Q1035" s="1">
        <v>0</v>
      </c>
    </row>
    <row r="1036" spans="2:17" ht="15.45" x14ac:dyDescent="0.4">
      <c r="G1036" s="1">
        <v>511</v>
      </c>
      <c r="H1036" s="1">
        <v>2534.7526627314951</v>
      </c>
      <c r="I1036" s="1">
        <v>1</v>
      </c>
      <c r="J1036" s="1">
        <v>3676.4911783609036</v>
      </c>
      <c r="K1036" s="1">
        <v>1</v>
      </c>
      <c r="L1036" s="1">
        <v>249</v>
      </c>
      <c r="M1036" s="18">
        <v>40</v>
      </c>
      <c r="N1036" s="1">
        <v>40</v>
      </c>
      <c r="O1036" s="1">
        <v>1</v>
      </c>
      <c r="P1036" s="1">
        <v>380</v>
      </c>
      <c r="Q1036" s="1">
        <v>0</v>
      </c>
    </row>
    <row r="1037" spans="2:17" ht="15.45" x14ac:dyDescent="0.4">
      <c r="G1037" s="1">
        <v>512</v>
      </c>
      <c r="H1037" s="1">
        <v>7594.8696870664899</v>
      </c>
      <c r="I1037" s="1">
        <v>-1</v>
      </c>
      <c r="J1037" s="1">
        <v>3678.4034387273969</v>
      </c>
      <c r="K1037" s="1">
        <v>-1</v>
      </c>
      <c r="L1037" s="1">
        <v>248</v>
      </c>
      <c r="M1037" s="18">
        <v>40</v>
      </c>
      <c r="N1037" s="1">
        <v>40</v>
      </c>
      <c r="O1037" s="1">
        <v>0</v>
      </c>
      <c r="P1037" s="1">
        <v>0</v>
      </c>
      <c r="Q1037" s="1">
        <v>0</v>
      </c>
    </row>
    <row r="1038" spans="2:17" ht="15.45" x14ac:dyDescent="0.4">
      <c r="G1038" s="1">
        <v>513</v>
      </c>
      <c r="H1038" s="1">
        <v>2544.0998012249011</v>
      </c>
      <c r="I1038" s="1">
        <v>1</v>
      </c>
      <c r="J1038" s="1">
        <v>3686.2937894934321</v>
      </c>
      <c r="K1038" s="1">
        <v>1</v>
      </c>
      <c r="L1038" s="1">
        <v>249</v>
      </c>
      <c r="M1038" s="18">
        <v>40</v>
      </c>
      <c r="N1038" s="1">
        <v>40</v>
      </c>
      <c r="O1038" s="1">
        <v>1</v>
      </c>
      <c r="P1038" s="1">
        <v>381</v>
      </c>
      <c r="Q1038" s="1">
        <v>0</v>
      </c>
    </row>
    <row r="1039" spans="2:17" ht="15.45" x14ac:dyDescent="0.4">
      <c r="G1039" s="1">
        <v>514</v>
      </c>
      <c r="H1039" s="1">
        <v>7613.6051266878903</v>
      </c>
      <c r="I1039" s="1">
        <v>-1</v>
      </c>
      <c r="J1039" s="1">
        <v>3693.3196940985194</v>
      </c>
      <c r="K1039" s="1">
        <v>1</v>
      </c>
      <c r="L1039" s="1">
        <v>250</v>
      </c>
      <c r="M1039" s="18">
        <v>40</v>
      </c>
      <c r="N1039" s="1">
        <v>40</v>
      </c>
      <c r="O1039" s="1">
        <v>1</v>
      </c>
      <c r="P1039" s="1">
        <v>382</v>
      </c>
      <c r="Q1039" s="1">
        <v>0</v>
      </c>
    </row>
    <row r="1040" spans="2:17" ht="15.45" x14ac:dyDescent="0.4">
      <c r="G1040" s="1">
        <v>515</v>
      </c>
      <c r="H1040" s="1">
        <v>2547.3709159191094</v>
      </c>
      <c r="I1040" s="1">
        <v>1</v>
      </c>
      <c r="J1040" s="1">
        <v>3705.6291638745452</v>
      </c>
      <c r="K1040" s="1">
        <v>-1</v>
      </c>
      <c r="L1040" s="1">
        <v>249</v>
      </c>
      <c r="M1040" s="18">
        <v>40</v>
      </c>
      <c r="N1040" s="1">
        <v>40</v>
      </c>
      <c r="O1040" s="1">
        <v>0</v>
      </c>
      <c r="P1040" s="1">
        <v>0</v>
      </c>
      <c r="Q1040" s="1">
        <v>0</v>
      </c>
    </row>
    <row r="1041" spans="7:17" ht="15.45" x14ac:dyDescent="0.4">
      <c r="G1041" s="1">
        <v>516</v>
      </c>
      <c r="H1041" s="1">
        <v>7650.7219207963326</v>
      </c>
      <c r="I1041" s="1">
        <v>-1</v>
      </c>
      <c r="J1041" s="1">
        <v>3712.4431298839581</v>
      </c>
      <c r="K1041" s="1">
        <v>1</v>
      </c>
      <c r="L1041" s="1">
        <v>250</v>
      </c>
      <c r="M1041" s="18">
        <v>40</v>
      </c>
      <c r="N1041" s="1">
        <v>40</v>
      </c>
      <c r="O1041" s="1">
        <v>1</v>
      </c>
      <c r="P1041" s="1">
        <v>383</v>
      </c>
      <c r="Q1041" s="1">
        <v>0</v>
      </c>
    </row>
    <row r="1042" spans="7:17" ht="15.45" x14ac:dyDescent="0.4">
      <c r="G1042" s="1">
        <v>517</v>
      </c>
      <c r="H1042" s="1">
        <v>2554.2589100846599</v>
      </c>
      <c r="I1042" s="1">
        <v>1</v>
      </c>
      <c r="J1042" s="1">
        <v>3716.9080369820285</v>
      </c>
      <c r="K1042" s="1">
        <v>-1</v>
      </c>
      <c r="L1042" s="1">
        <v>249</v>
      </c>
      <c r="M1042" s="18">
        <v>40</v>
      </c>
      <c r="N1042" s="1">
        <v>40</v>
      </c>
      <c r="O1042" s="1">
        <v>0</v>
      </c>
      <c r="P1042" s="1">
        <v>0</v>
      </c>
      <c r="Q1042" s="1">
        <v>0</v>
      </c>
    </row>
    <row r="1043" spans="7:17" ht="15.45" x14ac:dyDescent="0.4">
      <c r="G1043" s="1">
        <v>518</v>
      </c>
      <c r="H1043" s="1">
        <v>7658.6763696267253</v>
      </c>
      <c r="I1043" s="1">
        <v>-1</v>
      </c>
      <c r="J1043" s="1">
        <v>3728.471695289471</v>
      </c>
      <c r="K1043" s="1">
        <v>1</v>
      </c>
      <c r="L1043" s="1">
        <v>250</v>
      </c>
      <c r="M1043" s="18">
        <v>40</v>
      </c>
      <c r="N1043" s="1">
        <v>40</v>
      </c>
      <c r="O1043" s="1">
        <v>1</v>
      </c>
      <c r="P1043" s="1">
        <v>384</v>
      </c>
      <c r="Q1043" s="1">
        <v>0</v>
      </c>
    </row>
    <row r="1044" spans="7:17" ht="15.45" x14ac:dyDescent="0.4">
      <c r="G1044" s="1">
        <v>519</v>
      </c>
      <c r="H1044" s="1">
        <v>2563.778389118972</v>
      </c>
      <c r="I1044" s="1">
        <v>1</v>
      </c>
      <c r="J1044" s="1">
        <v>3730.973523479176</v>
      </c>
      <c r="K1044" s="1">
        <v>1</v>
      </c>
      <c r="L1044" s="1">
        <v>251</v>
      </c>
      <c r="M1044" s="18">
        <v>40</v>
      </c>
      <c r="N1044" s="1">
        <v>40</v>
      </c>
      <c r="O1044" s="1">
        <v>1</v>
      </c>
      <c r="P1044" s="1">
        <v>385</v>
      </c>
      <c r="Q1044" s="1">
        <v>0</v>
      </c>
    </row>
    <row r="1045" spans="7:17" ht="15.45" x14ac:dyDescent="0.4">
      <c r="G1045" s="1">
        <v>520</v>
      </c>
      <c r="H1045" s="1">
        <v>7688.4116121199359</v>
      </c>
      <c r="I1045" s="1">
        <v>-1</v>
      </c>
      <c r="J1045" s="1">
        <v>3732.0919517471498</v>
      </c>
      <c r="K1045" s="1">
        <v>-1</v>
      </c>
      <c r="L1045" s="1">
        <v>250</v>
      </c>
      <c r="M1045" s="18">
        <v>40</v>
      </c>
      <c r="N1045" s="1">
        <v>40</v>
      </c>
      <c r="O1045" s="1">
        <v>0</v>
      </c>
      <c r="P1045" s="1">
        <v>0</v>
      </c>
      <c r="Q1045" s="1">
        <v>0</v>
      </c>
    </row>
    <row r="1046" spans="7:17" ht="15.45" x14ac:dyDescent="0.4">
      <c r="G1046" s="1">
        <v>521</v>
      </c>
      <c r="H1046" s="1">
        <v>2571.4954222474094</v>
      </c>
      <c r="I1046" s="1">
        <v>1</v>
      </c>
      <c r="J1046" s="1">
        <v>3741.7899189084428</v>
      </c>
      <c r="K1046" s="1">
        <v>1</v>
      </c>
      <c r="L1046" s="1">
        <v>251</v>
      </c>
      <c r="M1046" s="18">
        <v>40</v>
      </c>
      <c r="N1046" s="1">
        <v>40</v>
      </c>
      <c r="O1046" s="1">
        <v>1</v>
      </c>
      <c r="P1046" s="1">
        <v>386</v>
      </c>
      <c r="Q1046" s="1">
        <v>0</v>
      </c>
    </row>
    <row r="1047" spans="7:17" ht="15.45" x14ac:dyDescent="0.4">
      <c r="G1047" s="1">
        <v>522</v>
      </c>
      <c r="H1047" s="1">
        <v>7695.474096289714</v>
      </c>
      <c r="I1047" s="1">
        <v>-1</v>
      </c>
      <c r="J1047" s="1">
        <v>3742.8966011521675</v>
      </c>
      <c r="K1047" s="1">
        <v>1</v>
      </c>
      <c r="L1047" s="1">
        <v>252</v>
      </c>
      <c r="M1047" s="18">
        <v>40</v>
      </c>
      <c r="N1047" s="1">
        <v>40</v>
      </c>
      <c r="O1047" s="1">
        <v>1</v>
      </c>
      <c r="P1047" s="1">
        <v>387</v>
      </c>
      <c r="Q1047" s="1">
        <v>0</v>
      </c>
    </row>
    <row r="1048" spans="7:17" ht="15.45" x14ac:dyDescent="0.4">
      <c r="G1048" s="1">
        <v>523</v>
      </c>
      <c r="H1048" s="1">
        <v>2585.8397065583449</v>
      </c>
      <c r="I1048" s="1">
        <v>1</v>
      </c>
      <c r="J1048" s="1">
        <v>3745.4911709052853</v>
      </c>
      <c r="K1048" s="1">
        <v>1</v>
      </c>
      <c r="L1048" s="1">
        <v>253</v>
      </c>
      <c r="M1048" s="18">
        <v>40</v>
      </c>
      <c r="N1048" s="1">
        <v>40</v>
      </c>
      <c r="O1048" s="1">
        <v>1</v>
      </c>
      <c r="P1048" s="1">
        <v>388</v>
      </c>
      <c r="Q1048" s="1">
        <v>0</v>
      </c>
    </row>
    <row r="1049" spans="7:17" ht="15.45" x14ac:dyDescent="0.4">
      <c r="G1049" s="1">
        <v>524</v>
      </c>
      <c r="H1049" s="1">
        <v>7730.8779314274243</v>
      </c>
      <c r="I1049" s="1">
        <v>-1</v>
      </c>
      <c r="J1049" s="1">
        <v>3747.0830867577088</v>
      </c>
      <c r="K1049" s="1">
        <v>1</v>
      </c>
      <c r="L1049" s="1">
        <v>254</v>
      </c>
      <c r="M1049" s="18">
        <v>40</v>
      </c>
      <c r="N1049" s="1">
        <v>40</v>
      </c>
      <c r="O1049" s="1">
        <v>1</v>
      </c>
      <c r="P1049" s="1">
        <v>389</v>
      </c>
      <c r="Q1049" s="1">
        <v>0</v>
      </c>
    </row>
    <row r="1050" spans="7:17" ht="15.45" x14ac:dyDescent="0.4">
      <c r="G1050" s="1">
        <v>525</v>
      </c>
      <c r="H1050" s="1">
        <v>2586.4339455171316</v>
      </c>
      <c r="I1050" s="1">
        <v>1</v>
      </c>
      <c r="J1050" s="1">
        <v>3752.0035304193225</v>
      </c>
      <c r="K1050" s="1">
        <v>1</v>
      </c>
      <c r="L1050" s="1">
        <v>255</v>
      </c>
      <c r="M1050" s="18">
        <v>40</v>
      </c>
      <c r="N1050" s="1">
        <v>40</v>
      </c>
      <c r="O1050" s="1">
        <v>1</v>
      </c>
      <c r="P1050" s="1">
        <v>390</v>
      </c>
      <c r="Q1050" s="1">
        <v>0</v>
      </c>
    </row>
    <row r="1051" spans="7:17" ht="15.45" x14ac:dyDescent="0.4">
      <c r="G1051" s="1">
        <v>526</v>
      </c>
      <c r="H1051" s="1">
        <v>7951.6270366399822</v>
      </c>
      <c r="I1051" s="1">
        <v>-1</v>
      </c>
      <c r="J1051" s="1">
        <v>3758.0424021207937</v>
      </c>
      <c r="K1051" s="1">
        <v>1</v>
      </c>
      <c r="L1051" s="1">
        <v>256</v>
      </c>
      <c r="M1051" s="18">
        <v>40</v>
      </c>
      <c r="N1051" s="1">
        <v>40</v>
      </c>
      <c r="O1051" s="1">
        <v>1</v>
      </c>
      <c r="P1051" s="1">
        <v>391</v>
      </c>
      <c r="Q1051" s="1">
        <v>0</v>
      </c>
    </row>
    <row r="1052" spans="7:17" ht="15.45" x14ac:dyDescent="0.4">
      <c r="G1052" s="1">
        <v>527</v>
      </c>
      <c r="H1052" s="1">
        <v>2590.9908004526924</v>
      </c>
      <c r="I1052" s="1">
        <v>1</v>
      </c>
      <c r="J1052" s="1">
        <v>3771.5554313901121</v>
      </c>
      <c r="K1052" s="1">
        <v>1</v>
      </c>
      <c r="L1052" s="1">
        <v>257</v>
      </c>
      <c r="M1052" s="18">
        <v>40</v>
      </c>
      <c r="N1052" s="1">
        <v>40</v>
      </c>
      <c r="O1052" s="1">
        <v>1</v>
      </c>
      <c r="P1052" s="1">
        <v>392</v>
      </c>
      <c r="Q1052" s="1">
        <v>0</v>
      </c>
    </row>
    <row r="1053" spans="7:17" ht="15.45" x14ac:dyDescent="0.4">
      <c r="G1053" s="1">
        <v>528</v>
      </c>
      <c r="H1053" s="1">
        <v>7974.5091746151447</v>
      </c>
      <c r="I1053" s="1">
        <v>-1</v>
      </c>
      <c r="J1053" s="1">
        <v>3772.9274796974951</v>
      </c>
      <c r="K1053" s="1">
        <v>1</v>
      </c>
      <c r="L1053" s="1">
        <v>258</v>
      </c>
      <c r="M1053" s="18">
        <v>40</v>
      </c>
      <c r="N1053" s="1">
        <v>40</v>
      </c>
      <c r="O1053" s="1">
        <v>1</v>
      </c>
      <c r="P1053" s="1">
        <v>393</v>
      </c>
      <c r="Q1053" s="1">
        <v>0</v>
      </c>
    </row>
    <row r="1054" spans="7:17" ht="15.45" x14ac:dyDescent="0.4">
      <c r="G1054" s="1">
        <v>529</v>
      </c>
      <c r="H1054" s="1">
        <v>2598.328998505398</v>
      </c>
      <c r="I1054" s="1">
        <v>1</v>
      </c>
      <c r="J1054" s="1">
        <v>3774.6572100957414</v>
      </c>
      <c r="K1054" s="1">
        <v>1</v>
      </c>
      <c r="L1054" s="1">
        <v>259</v>
      </c>
      <c r="M1054" s="18">
        <v>40</v>
      </c>
      <c r="N1054" s="1">
        <v>40</v>
      </c>
      <c r="O1054" s="1">
        <v>1</v>
      </c>
      <c r="P1054" s="1">
        <v>394</v>
      </c>
      <c r="Q1054" s="1">
        <v>0</v>
      </c>
    </row>
    <row r="1055" spans="7:17" ht="15.45" x14ac:dyDescent="0.4">
      <c r="G1055" s="1">
        <v>530</v>
      </c>
      <c r="H1055" s="1">
        <v>7974.5997974009424</v>
      </c>
      <c r="I1055" s="1">
        <v>-1</v>
      </c>
      <c r="J1055" s="1">
        <v>3779.0366362619652</v>
      </c>
      <c r="K1055" s="1">
        <v>1</v>
      </c>
      <c r="L1055" s="1">
        <v>260</v>
      </c>
      <c r="M1055" s="18">
        <v>40</v>
      </c>
      <c r="N1055" s="1">
        <v>40</v>
      </c>
      <c r="O1055" s="1">
        <v>1</v>
      </c>
      <c r="P1055" s="1">
        <v>395</v>
      </c>
      <c r="Q1055" s="1">
        <v>0</v>
      </c>
    </row>
    <row r="1056" spans="7:17" ht="15.45" x14ac:dyDescent="0.4">
      <c r="G1056" s="1">
        <v>531</v>
      </c>
      <c r="H1056" s="1">
        <v>2606.286303465447</v>
      </c>
      <c r="I1056" s="1">
        <v>1</v>
      </c>
      <c r="J1056" s="1">
        <v>3787.0863077176637</v>
      </c>
      <c r="K1056" s="1">
        <v>1</v>
      </c>
      <c r="L1056" s="1">
        <v>261</v>
      </c>
      <c r="M1056" s="18">
        <v>40</v>
      </c>
      <c r="N1056" s="1">
        <v>40</v>
      </c>
      <c r="O1056" s="1">
        <v>1</v>
      </c>
      <c r="P1056" s="1">
        <v>396</v>
      </c>
      <c r="Q1056" s="1">
        <v>0</v>
      </c>
    </row>
    <row r="1057" spans="7:17" ht="15.45" x14ac:dyDescent="0.4">
      <c r="G1057" s="1">
        <v>532</v>
      </c>
      <c r="H1057" s="1">
        <v>7982.8362632827466</v>
      </c>
      <c r="I1057" s="1">
        <v>-1</v>
      </c>
      <c r="J1057" s="1">
        <v>3793.0480502695618</v>
      </c>
      <c r="K1057" s="1">
        <v>1</v>
      </c>
      <c r="L1057" s="1">
        <v>262</v>
      </c>
      <c r="M1057" s="18">
        <v>40</v>
      </c>
      <c r="N1057" s="1">
        <v>40</v>
      </c>
      <c r="O1057" s="1">
        <v>1</v>
      </c>
      <c r="P1057" s="1">
        <v>397</v>
      </c>
      <c r="Q1057" s="1">
        <v>0</v>
      </c>
    </row>
    <row r="1058" spans="7:17" ht="15.45" x14ac:dyDescent="0.4">
      <c r="G1058" s="1">
        <v>533</v>
      </c>
      <c r="H1058" s="1">
        <v>2619.4059195745172</v>
      </c>
      <c r="I1058" s="1">
        <v>1</v>
      </c>
      <c r="J1058" s="1">
        <v>3798.5604355018595</v>
      </c>
      <c r="K1058" s="1">
        <v>-1</v>
      </c>
      <c r="L1058" s="1">
        <v>261</v>
      </c>
      <c r="M1058" s="18">
        <v>40</v>
      </c>
      <c r="N1058" s="1">
        <v>39</v>
      </c>
      <c r="O1058" s="1">
        <v>0</v>
      </c>
      <c r="P1058" s="1">
        <v>0</v>
      </c>
      <c r="Q1058" s="1">
        <v>0</v>
      </c>
    </row>
    <row r="1059" spans="7:17" ht="15.45" x14ac:dyDescent="0.4">
      <c r="G1059" s="1">
        <v>534</v>
      </c>
      <c r="H1059" s="1">
        <v>7986.4015831932593</v>
      </c>
      <c r="I1059" s="1">
        <v>-1</v>
      </c>
      <c r="J1059" s="1">
        <v>3832.2018135268722</v>
      </c>
      <c r="K1059" s="1">
        <v>-1</v>
      </c>
      <c r="L1059" s="1">
        <v>260</v>
      </c>
      <c r="M1059" s="18">
        <v>40</v>
      </c>
      <c r="N1059" s="1">
        <v>38</v>
      </c>
      <c r="O1059" s="1">
        <v>0</v>
      </c>
      <c r="P1059" s="1">
        <v>0</v>
      </c>
      <c r="Q1059" s="1">
        <v>0</v>
      </c>
    </row>
    <row r="1060" spans="7:17" ht="15.45" x14ac:dyDescent="0.4">
      <c r="G1060" s="1">
        <v>535</v>
      </c>
      <c r="H1060" s="1">
        <v>2621.1882917212397</v>
      </c>
      <c r="I1060" s="1">
        <v>1</v>
      </c>
      <c r="J1060" s="1">
        <v>3837.2928726567784</v>
      </c>
      <c r="K1060" s="1">
        <v>1</v>
      </c>
      <c r="L1060" s="1">
        <v>261</v>
      </c>
      <c r="M1060" s="18">
        <v>40</v>
      </c>
      <c r="N1060" s="1">
        <v>39</v>
      </c>
      <c r="O1060" s="1">
        <v>0</v>
      </c>
      <c r="P1060" s="1">
        <v>0</v>
      </c>
      <c r="Q1060" s="1">
        <v>0</v>
      </c>
    </row>
    <row r="1061" spans="7:17" ht="15.45" x14ac:dyDescent="0.4">
      <c r="G1061" s="1">
        <v>536</v>
      </c>
      <c r="H1061" s="1">
        <v>8006.5680308518486</v>
      </c>
      <c r="I1061" s="1">
        <v>-1</v>
      </c>
      <c r="J1061" s="1">
        <v>3840.9896311452826</v>
      </c>
      <c r="K1061" s="1">
        <v>1</v>
      </c>
      <c r="L1061" s="1">
        <v>262</v>
      </c>
      <c r="M1061" s="18">
        <v>40</v>
      </c>
      <c r="N1061" s="1">
        <v>40</v>
      </c>
      <c r="O1061" s="1">
        <v>0</v>
      </c>
      <c r="P1061" s="1">
        <v>0</v>
      </c>
      <c r="Q1061" s="1">
        <v>0</v>
      </c>
    </row>
    <row r="1062" spans="7:17" ht="15.45" x14ac:dyDescent="0.4">
      <c r="G1062" s="1">
        <v>537</v>
      </c>
      <c r="H1062" s="1">
        <v>2621.7352168942666</v>
      </c>
      <c r="I1062" s="1">
        <v>1</v>
      </c>
      <c r="J1062" s="1">
        <v>3852.4528218109617</v>
      </c>
      <c r="K1062" s="1">
        <v>1</v>
      </c>
      <c r="L1062" s="1">
        <v>263</v>
      </c>
      <c r="M1062" s="18">
        <v>40</v>
      </c>
      <c r="N1062" s="1">
        <v>40</v>
      </c>
      <c r="O1062" s="1">
        <v>1</v>
      </c>
      <c r="P1062" s="1">
        <v>400</v>
      </c>
      <c r="Q1062" s="1">
        <v>0</v>
      </c>
    </row>
    <row r="1063" spans="7:17" ht="15.45" x14ac:dyDescent="0.4">
      <c r="G1063" s="1">
        <v>538</v>
      </c>
      <c r="H1063" s="1">
        <v>8011.2442548331346</v>
      </c>
      <c r="I1063" s="1">
        <v>-1</v>
      </c>
      <c r="J1063" s="1">
        <v>3852.7994380624418</v>
      </c>
      <c r="K1063" s="1">
        <v>1</v>
      </c>
      <c r="L1063" s="1">
        <v>264</v>
      </c>
      <c r="M1063" s="18">
        <v>40</v>
      </c>
      <c r="N1063" s="1">
        <v>40</v>
      </c>
      <c r="O1063" s="1">
        <v>1</v>
      </c>
      <c r="P1063" s="1">
        <v>401</v>
      </c>
      <c r="Q1063" s="1">
        <v>0</v>
      </c>
    </row>
    <row r="1064" spans="7:17" ht="15.45" x14ac:dyDescent="0.4">
      <c r="G1064" s="1">
        <v>539</v>
      </c>
      <c r="H1064" s="1">
        <v>2632.3161694109363</v>
      </c>
      <c r="I1064" s="1">
        <v>1</v>
      </c>
      <c r="J1064" s="1">
        <v>3858.4848250074424</v>
      </c>
      <c r="K1064" s="1">
        <v>1</v>
      </c>
      <c r="L1064" s="1">
        <v>265</v>
      </c>
      <c r="M1064" s="18">
        <v>40</v>
      </c>
      <c r="N1064" s="1">
        <v>40</v>
      </c>
      <c r="O1064" s="1">
        <v>1</v>
      </c>
      <c r="P1064" s="1">
        <v>402</v>
      </c>
      <c r="Q1064" s="1">
        <v>0</v>
      </c>
    </row>
    <row r="1065" spans="7:17" ht="15.45" x14ac:dyDescent="0.4">
      <c r="G1065" s="1">
        <v>540</v>
      </c>
      <c r="H1065" s="1">
        <v>8039.285670313353</v>
      </c>
      <c r="I1065" s="1">
        <v>-1</v>
      </c>
      <c r="J1065" s="1">
        <v>3861.609646924458</v>
      </c>
      <c r="K1065" s="1">
        <v>-1</v>
      </c>
      <c r="L1065" s="1">
        <v>264</v>
      </c>
      <c r="M1065" s="18">
        <v>40</v>
      </c>
      <c r="N1065" s="1">
        <v>40</v>
      </c>
      <c r="O1065" s="1">
        <v>0</v>
      </c>
      <c r="P1065" s="1">
        <v>0</v>
      </c>
      <c r="Q1065" s="1">
        <v>0</v>
      </c>
    </row>
    <row r="1066" spans="7:17" ht="15.45" x14ac:dyDescent="0.4">
      <c r="G1066" s="1">
        <v>541</v>
      </c>
      <c r="H1066" s="1">
        <v>2643.9881971083214</v>
      </c>
      <c r="I1066" s="1">
        <v>1</v>
      </c>
      <c r="J1066" s="1">
        <v>3862.3076723802023</v>
      </c>
      <c r="K1066" s="1">
        <v>1</v>
      </c>
      <c r="L1066" s="1">
        <v>265</v>
      </c>
      <c r="M1066" s="18">
        <v>40</v>
      </c>
      <c r="N1066" s="1">
        <v>40</v>
      </c>
      <c r="O1066" s="1">
        <v>1</v>
      </c>
      <c r="P1066" s="1">
        <v>403</v>
      </c>
      <c r="Q1066" s="1">
        <v>0</v>
      </c>
    </row>
    <row r="1067" spans="7:17" ht="15.45" x14ac:dyDescent="0.4">
      <c r="G1067" s="1">
        <v>542</v>
      </c>
      <c r="H1067" s="1">
        <v>8049.099014395978</v>
      </c>
      <c r="I1067" s="1">
        <v>-1</v>
      </c>
      <c r="J1067" s="1">
        <v>3863.333193848071</v>
      </c>
      <c r="K1067" s="1">
        <v>1</v>
      </c>
      <c r="L1067" s="1">
        <v>266</v>
      </c>
      <c r="M1067" s="18">
        <v>40</v>
      </c>
      <c r="N1067" s="1">
        <v>40</v>
      </c>
      <c r="O1067" s="1">
        <v>1</v>
      </c>
      <c r="P1067" s="1">
        <v>404</v>
      </c>
      <c r="Q1067" s="1">
        <v>0</v>
      </c>
    </row>
    <row r="1068" spans="7:17" ht="15.45" x14ac:dyDescent="0.4">
      <c r="G1068" s="1">
        <v>543</v>
      </c>
      <c r="H1068" s="1">
        <v>2647.5825864718204</v>
      </c>
      <c r="I1068" s="1">
        <v>1</v>
      </c>
      <c r="J1068" s="1">
        <v>3876.6001660389379</v>
      </c>
      <c r="K1068" s="1">
        <v>1</v>
      </c>
      <c r="L1068" s="1">
        <v>267</v>
      </c>
      <c r="M1068" s="18">
        <v>40</v>
      </c>
      <c r="N1068" s="1">
        <v>40</v>
      </c>
      <c r="O1068" s="1">
        <v>1</v>
      </c>
      <c r="P1068" s="1">
        <v>405</v>
      </c>
      <c r="Q1068" s="1">
        <v>0</v>
      </c>
    </row>
    <row r="1069" spans="7:17" ht="15.45" x14ac:dyDescent="0.4">
      <c r="G1069" s="1">
        <v>544</v>
      </c>
      <c r="H1069" s="1">
        <v>8069.7629968926303</v>
      </c>
      <c r="I1069" s="1">
        <v>-1</v>
      </c>
      <c r="J1069" s="1">
        <v>3882.6873607397197</v>
      </c>
      <c r="K1069" s="1">
        <v>-1</v>
      </c>
      <c r="L1069" s="1">
        <v>266</v>
      </c>
      <c r="M1069" s="18">
        <v>40</v>
      </c>
      <c r="N1069" s="1">
        <v>40</v>
      </c>
      <c r="O1069" s="1">
        <v>0</v>
      </c>
      <c r="P1069" s="1">
        <v>0</v>
      </c>
      <c r="Q1069" s="1">
        <v>0</v>
      </c>
    </row>
    <row r="1070" spans="7:17" ht="15.45" x14ac:dyDescent="0.4">
      <c r="G1070" s="1">
        <v>545</v>
      </c>
      <c r="H1070" s="1">
        <v>2653.220052774122</v>
      </c>
      <c r="I1070" s="1">
        <v>1</v>
      </c>
      <c r="J1070" s="1">
        <v>3899.31157963038</v>
      </c>
      <c r="K1070" s="1">
        <v>1</v>
      </c>
      <c r="L1070" s="1">
        <v>267</v>
      </c>
      <c r="M1070" s="18">
        <v>40</v>
      </c>
      <c r="N1070" s="1">
        <v>40</v>
      </c>
      <c r="O1070" s="1">
        <v>1</v>
      </c>
      <c r="P1070" s="1">
        <v>406</v>
      </c>
      <c r="Q1070" s="1">
        <v>0</v>
      </c>
    </row>
    <row r="1071" spans="7:17" ht="15.45" x14ac:dyDescent="0.4">
      <c r="G1071" s="1">
        <v>546</v>
      </c>
      <c r="H1071" s="1">
        <v>8098.3214339955666</v>
      </c>
      <c r="I1071" s="1">
        <v>-1</v>
      </c>
      <c r="J1071" s="1">
        <v>3922.9794168528742</v>
      </c>
      <c r="K1071" s="1">
        <v>1</v>
      </c>
      <c r="L1071" s="1">
        <v>268</v>
      </c>
      <c r="M1071" s="18">
        <v>40</v>
      </c>
      <c r="N1071" s="1">
        <v>40</v>
      </c>
      <c r="O1071" s="1">
        <v>1</v>
      </c>
      <c r="P1071" s="1">
        <v>407</v>
      </c>
      <c r="Q1071" s="1">
        <v>0</v>
      </c>
    </row>
    <row r="1072" spans="7:17" ht="15.45" x14ac:dyDescent="0.4">
      <c r="G1072" s="1">
        <v>547</v>
      </c>
      <c r="H1072" s="1">
        <v>2669.4404567159008</v>
      </c>
      <c r="I1072" s="1">
        <v>1</v>
      </c>
      <c r="J1072" s="1">
        <v>3940.0576680960348</v>
      </c>
      <c r="K1072" s="1">
        <v>-1</v>
      </c>
      <c r="L1072" s="1">
        <v>267</v>
      </c>
      <c r="M1072" s="18">
        <v>40</v>
      </c>
      <c r="N1072" s="1">
        <v>40</v>
      </c>
      <c r="O1072" s="1">
        <v>0</v>
      </c>
      <c r="P1072" s="1">
        <v>0</v>
      </c>
      <c r="Q1072" s="1">
        <v>0</v>
      </c>
    </row>
    <row r="1073" spans="7:17" ht="15.45" x14ac:dyDescent="0.4">
      <c r="G1073" s="1">
        <v>548</v>
      </c>
      <c r="H1073" s="1">
        <v>8121.4725333808792</v>
      </c>
      <c r="I1073" s="1">
        <v>-1</v>
      </c>
      <c r="J1073" s="1">
        <v>3943.9943597937358</v>
      </c>
      <c r="K1073" s="1">
        <v>1</v>
      </c>
      <c r="L1073" s="1">
        <v>268</v>
      </c>
      <c r="M1073" s="18">
        <v>40</v>
      </c>
      <c r="N1073" s="1">
        <v>40</v>
      </c>
      <c r="O1073" s="1">
        <v>1</v>
      </c>
      <c r="P1073" s="1">
        <v>408</v>
      </c>
      <c r="Q1073" s="1">
        <v>0</v>
      </c>
    </row>
    <row r="1074" spans="7:17" ht="15.45" x14ac:dyDescent="0.4">
      <c r="G1074" s="1">
        <v>549</v>
      </c>
      <c r="H1074" s="1">
        <v>2698.0595029918377</v>
      </c>
      <c r="I1074" s="1">
        <v>1</v>
      </c>
      <c r="J1074" s="1">
        <v>3976.2745726542612</v>
      </c>
      <c r="K1074" s="1">
        <v>1</v>
      </c>
      <c r="L1074" s="1">
        <v>269</v>
      </c>
      <c r="M1074" s="18">
        <v>40</v>
      </c>
      <c r="N1074" s="1">
        <v>40</v>
      </c>
      <c r="O1074" s="1">
        <v>1</v>
      </c>
      <c r="P1074" s="1">
        <v>409</v>
      </c>
      <c r="Q1074" s="1">
        <v>0</v>
      </c>
    </row>
    <row r="1075" spans="7:17" ht="15.45" x14ac:dyDescent="0.4">
      <c r="G1075" s="1">
        <v>550</v>
      </c>
      <c r="H1075" s="1">
        <v>8164.5053863136854</v>
      </c>
      <c r="I1075" s="1">
        <v>-1</v>
      </c>
      <c r="J1075" s="1">
        <v>3988.1433643125738</v>
      </c>
      <c r="K1075" s="1">
        <v>-1</v>
      </c>
      <c r="L1075" s="1">
        <v>268</v>
      </c>
      <c r="M1075" s="18">
        <v>40</v>
      </c>
      <c r="N1075" s="1">
        <v>40</v>
      </c>
      <c r="O1075" s="1">
        <v>0</v>
      </c>
      <c r="P1075" s="1">
        <v>0</v>
      </c>
      <c r="Q1075" s="1">
        <v>0</v>
      </c>
    </row>
    <row r="1076" spans="7:17" ht="15.45" x14ac:dyDescent="0.4">
      <c r="G1076" s="1">
        <v>551</v>
      </c>
      <c r="H1076" s="1">
        <v>2712.2415377635029</v>
      </c>
      <c r="I1076" s="1">
        <v>1</v>
      </c>
      <c r="J1076" s="1">
        <v>3988.1594382594462</v>
      </c>
      <c r="K1076" s="1">
        <v>1</v>
      </c>
      <c r="L1076" s="1">
        <v>269</v>
      </c>
      <c r="M1076" s="18">
        <v>40</v>
      </c>
      <c r="N1076" s="1">
        <v>40</v>
      </c>
      <c r="O1076" s="1">
        <v>1</v>
      </c>
      <c r="P1076" s="1">
        <v>410</v>
      </c>
      <c r="Q1076" s="1">
        <v>0</v>
      </c>
    </row>
    <row r="1077" spans="7:17" ht="15.45" x14ac:dyDescent="0.4">
      <c r="G1077" s="1">
        <v>552</v>
      </c>
      <c r="H1077" s="1">
        <v>8166.2881031900451</v>
      </c>
      <c r="I1077" s="1">
        <v>-1</v>
      </c>
      <c r="J1077" s="1">
        <v>3995.6488488816885</v>
      </c>
      <c r="K1077" s="1">
        <v>-1</v>
      </c>
      <c r="L1077" s="1">
        <v>268</v>
      </c>
      <c r="M1077" s="18">
        <v>40</v>
      </c>
      <c r="N1077" s="1">
        <v>39</v>
      </c>
      <c r="O1077" s="1">
        <v>0</v>
      </c>
      <c r="P1077" s="1">
        <v>0</v>
      </c>
      <c r="Q1077" s="1">
        <v>0</v>
      </c>
    </row>
    <row r="1078" spans="7:17" ht="15.45" x14ac:dyDescent="0.4">
      <c r="G1078" s="1">
        <v>553</v>
      </c>
      <c r="H1078" s="1">
        <v>2716.6878247483369</v>
      </c>
      <c r="I1078" s="1">
        <v>1</v>
      </c>
      <c r="J1078" s="1">
        <v>3996.3623250105738</v>
      </c>
      <c r="K1078" s="1">
        <v>1</v>
      </c>
      <c r="L1078" s="1">
        <v>269</v>
      </c>
      <c r="M1078" s="18">
        <v>40</v>
      </c>
      <c r="N1078" s="1">
        <v>40</v>
      </c>
      <c r="O1078" s="1">
        <v>0</v>
      </c>
      <c r="P1078" s="1">
        <v>0</v>
      </c>
      <c r="Q1078" s="1">
        <v>0</v>
      </c>
    </row>
    <row r="1079" spans="7:17" ht="15.45" x14ac:dyDescent="0.4">
      <c r="G1079" s="1">
        <v>554</v>
      </c>
      <c r="H1079" s="1">
        <v>8179.9586679967269</v>
      </c>
      <c r="I1079" s="1">
        <v>-1</v>
      </c>
      <c r="J1079" s="1">
        <v>4008.3789562463762</v>
      </c>
      <c r="K1079" s="1">
        <v>1</v>
      </c>
      <c r="L1079" s="1">
        <v>270</v>
      </c>
      <c r="M1079" s="18">
        <v>40</v>
      </c>
      <c r="N1079" s="1">
        <v>40</v>
      </c>
      <c r="O1079" s="1">
        <v>1</v>
      </c>
      <c r="P1079" s="1">
        <v>412</v>
      </c>
      <c r="Q1079" s="1">
        <v>0</v>
      </c>
    </row>
    <row r="1080" spans="7:17" ht="15.45" x14ac:dyDescent="0.4">
      <c r="G1080" s="1">
        <v>555</v>
      </c>
      <c r="H1080" s="1">
        <v>2719.7036101792032</v>
      </c>
      <c r="I1080" s="1">
        <v>1</v>
      </c>
      <c r="J1080" s="1">
        <v>4011.491893833841</v>
      </c>
      <c r="K1080" s="1">
        <v>1</v>
      </c>
      <c r="L1080" s="1">
        <v>271</v>
      </c>
      <c r="M1080" s="18">
        <v>40</v>
      </c>
      <c r="N1080" s="1">
        <v>40</v>
      </c>
      <c r="O1080" s="1">
        <v>1</v>
      </c>
      <c r="P1080" s="1">
        <v>413</v>
      </c>
      <c r="Q1080" s="1">
        <v>0</v>
      </c>
    </row>
    <row r="1081" spans="7:17" ht="15.45" x14ac:dyDescent="0.4">
      <c r="G1081" s="1">
        <v>556</v>
      </c>
      <c r="H1081" s="1">
        <v>8201.9732621548428</v>
      </c>
      <c r="I1081" s="1">
        <v>-1</v>
      </c>
      <c r="J1081" s="1">
        <v>4019.0622241903852</v>
      </c>
      <c r="K1081" s="1">
        <v>1</v>
      </c>
      <c r="L1081" s="1">
        <v>272</v>
      </c>
      <c r="M1081" s="18">
        <v>40</v>
      </c>
      <c r="N1081" s="1">
        <v>40</v>
      </c>
      <c r="O1081" s="1">
        <v>1</v>
      </c>
      <c r="P1081" s="1">
        <v>414</v>
      </c>
      <c r="Q1081" s="1">
        <v>0</v>
      </c>
    </row>
    <row r="1082" spans="7:17" ht="15.45" x14ac:dyDescent="0.4">
      <c r="G1082" s="1">
        <v>557</v>
      </c>
      <c r="H1082" s="1">
        <v>2722.8761866154873</v>
      </c>
      <c r="I1082" s="1">
        <v>1</v>
      </c>
      <c r="J1082" s="1">
        <v>4026.3137620964053</v>
      </c>
      <c r="K1082" s="1">
        <v>1</v>
      </c>
      <c r="L1082" s="1">
        <v>273</v>
      </c>
      <c r="M1082" s="18">
        <v>40</v>
      </c>
      <c r="N1082" s="1">
        <v>40</v>
      </c>
      <c r="O1082" s="1">
        <v>1</v>
      </c>
      <c r="P1082" s="1">
        <v>415</v>
      </c>
      <c r="Q1082" s="1">
        <v>0</v>
      </c>
    </row>
    <row r="1083" spans="7:17" ht="15.45" x14ac:dyDescent="0.4">
      <c r="G1083" s="1">
        <v>558</v>
      </c>
      <c r="H1083" s="1">
        <v>8225.8451770349893</v>
      </c>
      <c r="I1083" s="1">
        <v>-1</v>
      </c>
      <c r="J1083" s="1">
        <v>4028.0980351694889</v>
      </c>
      <c r="K1083" s="1">
        <v>-1</v>
      </c>
      <c r="L1083" s="1">
        <v>272</v>
      </c>
      <c r="M1083" s="18">
        <v>40</v>
      </c>
      <c r="N1083" s="1">
        <v>39</v>
      </c>
      <c r="O1083" s="1">
        <v>0</v>
      </c>
      <c r="P1083" s="1">
        <v>0</v>
      </c>
      <c r="Q1083" s="1">
        <v>0</v>
      </c>
    </row>
    <row r="1084" spans="7:17" ht="15.45" x14ac:dyDescent="0.4">
      <c r="G1084" s="1">
        <v>559</v>
      </c>
      <c r="H1084" s="1">
        <v>2725.5848760816034</v>
      </c>
      <c r="I1084" s="1">
        <v>1</v>
      </c>
      <c r="J1084" s="1">
        <v>4031.4180819006633</v>
      </c>
      <c r="K1084" s="1">
        <v>-1</v>
      </c>
      <c r="L1084" s="1">
        <v>271</v>
      </c>
      <c r="M1084" s="18">
        <v>40</v>
      </c>
      <c r="N1084" s="1">
        <v>38</v>
      </c>
      <c r="O1084" s="1">
        <v>0</v>
      </c>
      <c r="P1084" s="1">
        <v>0</v>
      </c>
      <c r="Q1084" s="1">
        <v>0</v>
      </c>
    </row>
    <row r="1085" spans="7:17" ht="15.45" x14ac:dyDescent="0.4">
      <c r="G1085" s="1">
        <v>560</v>
      </c>
      <c r="H1085" s="1">
        <v>8265.2040253621999</v>
      </c>
      <c r="I1085" s="1">
        <v>-1</v>
      </c>
      <c r="J1085" s="1">
        <v>4039.2017911600169</v>
      </c>
      <c r="K1085" s="1">
        <v>-1</v>
      </c>
      <c r="L1085" s="1">
        <v>270</v>
      </c>
      <c r="M1085" s="18">
        <v>40</v>
      </c>
      <c r="N1085" s="1">
        <v>37</v>
      </c>
      <c r="O1085" s="1">
        <v>0</v>
      </c>
      <c r="P1085" s="1">
        <v>0</v>
      </c>
      <c r="Q1085" s="1">
        <v>0</v>
      </c>
    </row>
    <row r="1086" spans="7:17" ht="15.45" x14ac:dyDescent="0.4">
      <c r="G1086" s="1">
        <v>561</v>
      </c>
      <c r="H1086" s="1">
        <v>2729.747709870057</v>
      </c>
      <c r="I1086" s="1">
        <v>1</v>
      </c>
      <c r="J1086" s="1">
        <v>4043.6061621889444</v>
      </c>
      <c r="K1086" s="1">
        <v>1</v>
      </c>
      <c r="L1086" s="1">
        <v>271</v>
      </c>
      <c r="M1086" s="18">
        <v>40</v>
      </c>
      <c r="N1086" s="1">
        <v>38</v>
      </c>
      <c r="O1086" s="1">
        <v>0</v>
      </c>
      <c r="P1086" s="1">
        <v>0</v>
      </c>
      <c r="Q1086" s="1">
        <v>0</v>
      </c>
    </row>
    <row r="1087" spans="7:17" ht="15.45" x14ac:dyDescent="0.4">
      <c r="G1087" s="1">
        <v>562</v>
      </c>
      <c r="H1087" s="1">
        <v>8270.5511418023671</v>
      </c>
      <c r="I1087" s="1">
        <v>-1</v>
      </c>
      <c r="J1087" s="1">
        <v>4043.9775387172876</v>
      </c>
      <c r="K1087" s="1">
        <v>-1</v>
      </c>
      <c r="L1087" s="1">
        <v>270</v>
      </c>
      <c r="M1087" s="18">
        <v>40</v>
      </c>
      <c r="N1087" s="1">
        <v>38</v>
      </c>
      <c r="O1087" s="1">
        <v>0</v>
      </c>
      <c r="P1087" s="1">
        <v>0</v>
      </c>
      <c r="Q1087" s="1">
        <v>0</v>
      </c>
    </row>
    <row r="1088" spans="7:17" ht="15.45" x14ac:dyDescent="0.4">
      <c r="G1088" s="1">
        <v>563</v>
      </c>
      <c r="H1088" s="1">
        <v>2730.0185125701564</v>
      </c>
      <c r="I1088" s="1">
        <v>1</v>
      </c>
      <c r="J1088" s="1">
        <v>4058.7388697021279</v>
      </c>
      <c r="K1088" s="1">
        <v>-1</v>
      </c>
      <c r="L1088" s="1">
        <v>269</v>
      </c>
      <c r="M1088" s="18">
        <v>40</v>
      </c>
      <c r="N1088" s="1">
        <v>38</v>
      </c>
      <c r="O1088" s="1">
        <v>0</v>
      </c>
      <c r="P1088" s="1">
        <v>0</v>
      </c>
      <c r="Q1088" s="1">
        <v>0</v>
      </c>
    </row>
    <row r="1089" spans="7:17" ht="15.45" x14ac:dyDescent="0.4">
      <c r="G1089" s="1">
        <v>564</v>
      </c>
      <c r="H1089" s="1">
        <v>8272.1919173214483</v>
      </c>
      <c r="I1089" s="1">
        <v>-1</v>
      </c>
      <c r="J1089" s="1">
        <v>4065.436994101527</v>
      </c>
      <c r="K1089" s="1">
        <v>1</v>
      </c>
      <c r="L1089" s="1">
        <v>270</v>
      </c>
      <c r="M1089" s="18">
        <v>40</v>
      </c>
      <c r="N1089" s="1">
        <v>39</v>
      </c>
      <c r="O1089" s="1">
        <v>0</v>
      </c>
      <c r="P1089" s="1">
        <v>0</v>
      </c>
      <c r="Q1089" s="1">
        <v>0</v>
      </c>
    </row>
    <row r="1090" spans="7:17" ht="15.45" x14ac:dyDescent="0.4">
      <c r="G1090" s="1">
        <v>565</v>
      </c>
      <c r="H1090" s="1">
        <v>2731.8877895199848</v>
      </c>
      <c r="I1090" s="1">
        <v>1</v>
      </c>
      <c r="J1090" s="1">
        <v>4076.855484806541</v>
      </c>
      <c r="K1090" s="1">
        <v>-1</v>
      </c>
      <c r="L1090" s="1">
        <v>269</v>
      </c>
      <c r="M1090" s="18">
        <v>40</v>
      </c>
      <c r="N1090" s="1">
        <v>39</v>
      </c>
      <c r="O1090" s="1">
        <v>0</v>
      </c>
      <c r="P1090" s="1">
        <v>0</v>
      </c>
      <c r="Q1090" s="1">
        <v>0</v>
      </c>
    </row>
    <row r="1091" spans="7:17" ht="15.45" x14ac:dyDescent="0.4">
      <c r="G1091" s="1">
        <v>566</v>
      </c>
      <c r="H1091" s="1">
        <v>8303.9347748714572</v>
      </c>
      <c r="I1091" s="1">
        <v>-1</v>
      </c>
      <c r="J1091" s="1">
        <v>4092.5966608962276</v>
      </c>
      <c r="K1091" s="1">
        <v>1</v>
      </c>
      <c r="L1091" s="1">
        <v>270</v>
      </c>
      <c r="M1091" s="18">
        <v>40</v>
      </c>
      <c r="N1091" s="1">
        <v>40</v>
      </c>
      <c r="O1091" s="1">
        <v>0</v>
      </c>
      <c r="P1091" s="1">
        <v>0</v>
      </c>
      <c r="Q1091" s="1">
        <v>0</v>
      </c>
    </row>
    <row r="1092" spans="7:17" ht="15.45" x14ac:dyDescent="0.4">
      <c r="G1092" s="1">
        <v>567</v>
      </c>
      <c r="H1092" s="1">
        <v>2735.7513233855207</v>
      </c>
      <c r="I1092" s="1">
        <v>1</v>
      </c>
      <c r="J1092" s="1">
        <v>4108.1340374371648</v>
      </c>
      <c r="K1092" s="1">
        <v>1</v>
      </c>
      <c r="L1092" s="1">
        <v>271</v>
      </c>
      <c r="M1092" s="18">
        <v>40</v>
      </c>
      <c r="N1092" s="1">
        <v>40</v>
      </c>
      <c r="O1092" s="1">
        <v>1</v>
      </c>
      <c r="P1092" s="1">
        <v>419</v>
      </c>
      <c r="Q1092" s="1">
        <v>0</v>
      </c>
    </row>
    <row r="1093" spans="7:17" ht="15.45" x14ac:dyDescent="0.4">
      <c r="G1093" s="1">
        <v>568</v>
      </c>
      <c r="H1093" s="1">
        <v>8338.9508579636131</v>
      </c>
      <c r="I1093" s="1">
        <v>-1</v>
      </c>
      <c r="J1093" s="1">
        <v>4111.0910182708185</v>
      </c>
      <c r="K1093" s="1">
        <v>1</v>
      </c>
      <c r="L1093" s="1">
        <v>272</v>
      </c>
      <c r="M1093" s="18">
        <v>40</v>
      </c>
      <c r="N1093" s="1">
        <v>40</v>
      </c>
      <c r="O1093" s="1">
        <v>1</v>
      </c>
      <c r="P1093" s="1">
        <v>420</v>
      </c>
      <c r="Q1093" s="1">
        <v>0</v>
      </c>
    </row>
    <row r="1094" spans="7:17" ht="15.45" x14ac:dyDescent="0.4">
      <c r="G1094" s="1">
        <v>569</v>
      </c>
      <c r="H1094" s="1">
        <v>2746.2579127873555</v>
      </c>
      <c r="I1094" s="1">
        <v>1</v>
      </c>
      <c r="J1094" s="1">
        <v>4117.3945726144957</v>
      </c>
      <c r="K1094" s="1">
        <v>-1</v>
      </c>
      <c r="L1094" s="1">
        <v>271</v>
      </c>
      <c r="M1094" s="18">
        <v>40</v>
      </c>
      <c r="N1094" s="1">
        <v>39</v>
      </c>
      <c r="O1094" s="1">
        <v>0</v>
      </c>
      <c r="P1094" s="1">
        <v>0</v>
      </c>
      <c r="Q1094" s="1">
        <v>0</v>
      </c>
    </row>
    <row r="1095" spans="7:17" ht="15.45" x14ac:dyDescent="0.4">
      <c r="G1095" s="1">
        <v>570</v>
      </c>
      <c r="H1095" s="1">
        <v>8349.7340260541096</v>
      </c>
      <c r="I1095" s="1">
        <v>-1</v>
      </c>
      <c r="J1095" s="1">
        <v>4119.3883451684833</v>
      </c>
      <c r="K1095" s="1">
        <v>1</v>
      </c>
      <c r="L1095" s="1">
        <v>272</v>
      </c>
      <c r="M1095" s="18">
        <v>40</v>
      </c>
      <c r="N1095" s="1">
        <v>40</v>
      </c>
      <c r="O1095" s="1">
        <v>0</v>
      </c>
      <c r="P1095" s="1">
        <v>0</v>
      </c>
      <c r="Q1095" s="1">
        <v>0</v>
      </c>
    </row>
    <row r="1096" spans="7:17" ht="15.45" x14ac:dyDescent="0.4">
      <c r="G1096" s="1">
        <v>571</v>
      </c>
      <c r="H1096" s="1">
        <v>2747.765058505157</v>
      </c>
      <c r="I1096" s="1">
        <v>1</v>
      </c>
      <c r="J1096" s="1">
        <v>4121.5107175366447</v>
      </c>
      <c r="K1096" s="1">
        <v>-1</v>
      </c>
      <c r="L1096" s="1">
        <v>271</v>
      </c>
      <c r="M1096" s="18">
        <v>40</v>
      </c>
      <c r="N1096" s="1">
        <v>39</v>
      </c>
      <c r="O1096" s="1">
        <v>0</v>
      </c>
      <c r="P1096" s="1">
        <v>0</v>
      </c>
      <c r="Q1096" s="1">
        <v>0</v>
      </c>
    </row>
    <row r="1097" spans="7:17" ht="15.45" x14ac:dyDescent="0.4">
      <c r="G1097" s="1">
        <v>572</v>
      </c>
      <c r="H1097" s="1">
        <v>8366.6464249610144</v>
      </c>
      <c r="I1097" s="1">
        <v>-1</v>
      </c>
      <c r="J1097" s="1">
        <v>4124.7573106011014</v>
      </c>
      <c r="K1097" s="1">
        <v>1</v>
      </c>
      <c r="L1097" s="1">
        <v>272</v>
      </c>
      <c r="M1097" s="18">
        <v>40</v>
      </c>
      <c r="N1097" s="1">
        <v>40</v>
      </c>
      <c r="O1097" s="1">
        <v>0</v>
      </c>
      <c r="P1097" s="1">
        <v>0</v>
      </c>
      <c r="Q1097" s="1">
        <v>0</v>
      </c>
    </row>
    <row r="1098" spans="7:17" ht="15.45" x14ac:dyDescent="0.4">
      <c r="G1098" s="1">
        <v>573</v>
      </c>
      <c r="H1098" s="1">
        <v>2749.0863696775746</v>
      </c>
      <c r="I1098" s="1">
        <v>1</v>
      </c>
      <c r="J1098" s="1">
        <v>4125.6534312331887</v>
      </c>
      <c r="K1098" s="1">
        <v>1</v>
      </c>
      <c r="L1098" s="1">
        <v>273</v>
      </c>
      <c r="M1098" s="18">
        <v>40</v>
      </c>
      <c r="N1098" s="1">
        <v>40</v>
      </c>
      <c r="O1098" s="1">
        <v>1</v>
      </c>
      <c r="P1098" s="1">
        <v>423</v>
      </c>
      <c r="Q1098" s="1">
        <v>0</v>
      </c>
    </row>
    <row r="1099" spans="7:17" ht="15.45" x14ac:dyDescent="0.4">
      <c r="G1099" s="1">
        <v>574</v>
      </c>
      <c r="H1099" s="1">
        <v>8415.3076367863505</v>
      </c>
      <c r="I1099" s="1">
        <v>-1</v>
      </c>
      <c r="J1099" s="1">
        <v>4126.6999087313834</v>
      </c>
      <c r="K1099" s="1">
        <v>-1</v>
      </c>
      <c r="L1099" s="1">
        <v>272</v>
      </c>
      <c r="M1099" s="18">
        <v>40</v>
      </c>
      <c r="N1099" s="1">
        <v>39</v>
      </c>
      <c r="O1099" s="1">
        <v>0</v>
      </c>
      <c r="P1099" s="1">
        <v>0</v>
      </c>
      <c r="Q1099" s="1">
        <v>0</v>
      </c>
    </row>
    <row r="1100" spans="7:17" ht="15.45" x14ac:dyDescent="0.4">
      <c r="G1100" s="1">
        <v>575</v>
      </c>
      <c r="H1100" s="1">
        <v>2755.1749285091205</v>
      </c>
      <c r="I1100" s="1">
        <v>1</v>
      </c>
      <c r="J1100" s="1">
        <v>4139.8381872300542</v>
      </c>
      <c r="K1100" s="1">
        <v>-1</v>
      </c>
      <c r="L1100" s="1">
        <v>271</v>
      </c>
      <c r="M1100" s="18">
        <v>40</v>
      </c>
      <c r="N1100" s="1">
        <v>38</v>
      </c>
      <c r="O1100" s="1">
        <v>0</v>
      </c>
      <c r="P1100" s="1">
        <v>0</v>
      </c>
      <c r="Q1100" s="1">
        <v>0</v>
      </c>
    </row>
    <row r="1101" spans="7:17" ht="15.45" x14ac:dyDescent="0.4">
      <c r="G1101" s="1">
        <v>576</v>
      </c>
      <c r="H1101" s="1">
        <v>8501.164775614161</v>
      </c>
      <c r="I1101" s="1">
        <v>-1</v>
      </c>
      <c r="J1101" s="1">
        <v>4140.1623690042779</v>
      </c>
      <c r="K1101" s="1">
        <v>1</v>
      </c>
      <c r="L1101" s="1">
        <v>272</v>
      </c>
      <c r="M1101" s="18">
        <v>40</v>
      </c>
      <c r="N1101" s="1">
        <v>39</v>
      </c>
      <c r="O1101" s="1">
        <v>0</v>
      </c>
      <c r="P1101" s="1">
        <v>0</v>
      </c>
      <c r="Q1101" s="1">
        <v>0</v>
      </c>
    </row>
    <row r="1102" spans="7:17" ht="15.45" x14ac:dyDescent="0.4">
      <c r="G1102" s="1">
        <v>577</v>
      </c>
      <c r="H1102" s="1">
        <v>2758.0361056838942</v>
      </c>
      <c r="I1102" s="1">
        <v>1</v>
      </c>
      <c r="J1102" s="1">
        <v>4156.7048457188694</v>
      </c>
      <c r="K1102" s="1">
        <v>1</v>
      </c>
      <c r="L1102" s="1">
        <v>273</v>
      </c>
      <c r="M1102" s="18">
        <v>40</v>
      </c>
      <c r="N1102" s="1">
        <v>40</v>
      </c>
      <c r="O1102" s="1">
        <v>0</v>
      </c>
      <c r="P1102" s="1">
        <v>0</v>
      </c>
      <c r="Q1102" s="1">
        <v>0</v>
      </c>
    </row>
    <row r="1103" spans="7:17" ht="15.45" x14ac:dyDescent="0.4">
      <c r="G1103" s="1">
        <v>578</v>
      </c>
      <c r="H1103" s="1">
        <v>8543.7108799291564</v>
      </c>
      <c r="I1103" s="1">
        <v>-1</v>
      </c>
      <c r="J1103" s="1">
        <v>4158.7694345585651</v>
      </c>
      <c r="K1103" s="1">
        <v>1</v>
      </c>
      <c r="L1103" s="1">
        <v>274</v>
      </c>
      <c r="M1103" s="18">
        <v>40</v>
      </c>
      <c r="N1103" s="1">
        <v>40</v>
      </c>
      <c r="O1103" s="1">
        <v>1</v>
      </c>
      <c r="P1103" s="1">
        <v>426</v>
      </c>
      <c r="Q1103" s="1">
        <v>0</v>
      </c>
    </row>
    <row r="1104" spans="7:17" ht="15.45" x14ac:dyDescent="0.4">
      <c r="G1104" s="1">
        <v>579</v>
      </c>
      <c r="H1104" s="1">
        <v>2761.692782227899</v>
      </c>
      <c r="I1104" s="1">
        <v>1</v>
      </c>
      <c r="J1104" s="1">
        <v>4163.9872015971496</v>
      </c>
      <c r="K1104" s="1">
        <v>-1</v>
      </c>
      <c r="L1104" s="1">
        <v>273</v>
      </c>
      <c r="M1104" s="18">
        <v>40</v>
      </c>
      <c r="N1104" s="1">
        <v>39</v>
      </c>
      <c r="O1104" s="1">
        <v>0</v>
      </c>
      <c r="P1104" s="1">
        <v>0</v>
      </c>
      <c r="Q1104" s="1">
        <v>0</v>
      </c>
    </row>
    <row r="1105" spans="7:17" ht="15.45" x14ac:dyDescent="0.4">
      <c r="G1105" s="1">
        <v>580</v>
      </c>
      <c r="H1105" s="1">
        <v>8557.0497408836582</v>
      </c>
      <c r="I1105" s="1">
        <v>-1</v>
      </c>
      <c r="J1105" s="1">
        <v>4172.8487729524168</v>
      </c>
      <c r="K1105" s="1">
        <v>1</v>
      </c>
      <c r="L1105" s="1">
        <v>274</v>
      </c>
      <c r="M1105" s="18">
        <v>40</v>
      </c>
      <c r="N1105" s="1">
        <v>40</v>
      </c>
      <c r="O1105" s="1">
        <v>0</v>
      </c>
      <c r="P1105" s="1">
        <v>0</v>
      </c>
      <c r="Q1105" s="1">
        <v>0</v>
      </c>
    </row>
    <row r="1106" spans="7:17" ht="15.45" x14ac:dyDescent="0.4">
      <c r="G1106" s="1">
        <v>581</v>
      </c>
      <c r="H1106" s="1">
        <v>2763.1157996832585</v>
      </c>
      <c r="I1106" s="1">
        <v>1</v>
      </c>
      <c r="J1106" s="1">
        <v>4181.872429252845</v>
      </c>
      <c r="K1106" s="1">
        <v>-1</v>
      </c>
      <c r="L1106" s="1">
        <v>273</v>
      </c>
      <c r="M1106" s="18">
        <v>40</v>
      </c>
      <c r="N1106" s="1">
        <v>39</v>
      </c>
      <c r="O1106" s="1">
        <v>0</v>
      </c>
      <c r="P1106" s="1">
        <v>0</v>
      </c>
      <c r="Q1106" s="1">
        <v>0</v>
      </c>
    </row>
    <row r="1107" spans="7:17" ht="15.45" x14ac:dyDescent="0.4">
      <c r="G1107" s="1">
        <v>582</v>
      </c>
      <c r="H1107" s="1">
        <v>8566.0970971762563</v>
      </c>
      <c r="I1107" s="1">
        <v>-1</v>
      </c>
      <c r="J1107" s="1">
        <v>4191.093124019927</v>
      </c>
      <c r="K1107" s="1">
        <v>1</v>
      </c>
      <c r="L1107" s="1">
        <v>274</v>
      </c>
      <c r="M1107" s="18">
        <v>40</v>
      </c>
      <c r="N1107" s="1">
        <v>40</v>
      </c>
      <c r="O1107" s="1">
        <v>0</v>
      </c>
      <c r="P1107" s="1">
        <v>0</v>
      </c>
      <c r="Q1107" s="1">
        <v>0</v>
      </c>
    </row>
    <row r="1108" spans="7:17" ht="15.45" x14ac:dyDescent="0.4">
      <c r="G1108" s="1">
        <v>583</v>
      </c>
      <c r="H1108" s="1">
        <v>2773.3209878591706</v>
      </c>
      <c r="I1108" s="1">
        <v>1</v>
      </c>
      <c r="J1108" s="1">
        <v>4191.9406308350781</v>
      </c>
      <c r="K1108" s="1">
        <v>1</v>
      </c>
      <c r="L1108" s="1">
        <v>275</v>
      </c>
      <c r="M1108" s="18">
        <v>40</v>
      </c>
      <c r="N1108" s="1">
        <v>40</v>
      </c>
      <c r="O1108" s="1">
        <v>1</v>
      </c>
      <c r="P1108" s="1">
        <v>429</v>
      </c>
      <c r="Q1108" s="1">
        <v>0</v>
      </c>
    </row>
    <row r="1109" spans="7:17" ht="15.45" x14ac:dyDescent="0.4">
      <c r="G1109" s="1">
        <v>584</v>
      </c>
      <c r="H1109" s="1">
        <v>8575.614826485109</v>
      </c>
      <c r="I1109" s="1">
        <v>-1</v>
      </c>
      <c r="J1109" s="1">
        <v>4195.4730806686921</v>
      </c>
      <c r="K1109" s="1">
        <v>1</v>
      </c>
      <c r="L1109" s="1">
        <v>276</v>
      </c>
      <c r="M1109" s="18">
        <v>40</v>
      </c>
      <c r="N1109" s="1">
        <v>40</v>
      </c>
      <c r="O1109" s="1">
        <v>1</v>
      </c>
      <c r="P1109" s="1">
        <v>430</v>
      </c>
      <c r="Q1109" s="1">
        <v>0</v>
      </c>
    </row>
    <row r="1110" spans="7:17" ht="15.45" x14ac:dyDescent="0.4">
      <c r="G1110" s="1">
        <v>585</v>
      </c>
      <c r="H1110" s="1">
        <v>2775.2435724786274</v>
      </c>
      <c r="I1110" s="1">
        <v>1</v>
      </c>
      <c r="J1110" s="1">
        <v>4207.9830553088768</v>
      </c>
      <c r="K1110" s="1">
        <v>1</v>
      </c>
      <c r="L1110" s="1">
        <v>277</v>
      </c>
      <c r="M1110" s="18">
        <v>40</v>
      </c>
      <c r="N1110" s="1">
        <v>40</v>
      </c>
      <c r="O1110" s="1">
        <v>1</v>
      </c>
      <c r="P1110" s="1">
        <v>431</v>
      </c>
      <c r="Q1110" s="1">
        <v>0</v>
      </c>
    </row>
    <row r="1111" spans="7:17" ht="15.45" x14ac:dyDescent="0.4">
      <c r="G1111" s="1">
        <v>586</v>
      </c>
      <c r="H1111" s="1">
        <v>8583.7408948834563</v>
      </c>
      <c r="I1111" s="1">
        <v>-1</v>
      </c>
      <c r="J1111" s="1">
        <v>4238.2825655597198</v>
      </c>
      <c r="K1111" s="1">
        <v>1</v>
      </c>
      <c r="L1111" s="1">
        <v>278</v>
      </c>
      <c r="M1111" s="18">
        <v>40</v>
      </c>
      <c r="N1111" s="1">
        <v>40</v>
      </c>
      <c r="O1111" s="1">
        <v>1</v>
      </c>
      <c r="P1111" s="1">
        <v>432</v>
      </c>
      <c r="Q1111" s="1">
        <v>0</v>
      </c>
    </row>
    <row r="1112" spans="7:17" ht="15.45" x14ac:dyDescent="0.4">
      <c r="G1112" s="1">
        <v>587</v>
      </c>
      <c r="H1112" s="1">
        <v>2790.6649984618002</v>
      </c>
      <c r="I1112" s="1">
        <v>1</v>
      </c>
      <c r="J1112" s="1">
        <v>4251.2567552842638</v>
      </c>
      <c r="K1112" s="1">
        <v>1</v>
      </c>
      <c r="L1112" s="1">
        <v>279</v>
      </c>
      <c r="M1112" s="18">
        <v>40</v>
      </c>
      <c r="N1112" s="1">
        <v>40</v>
      </c>
      <c r="O1112" s="1">
        <v>1</v>
      </c>
      <c r="P1112" s="1">
        <v>433</v>
      </c>
      <c r="Q1112" s="1">
        <v>0</v>
      </c>
    </row>
    <row r="1113" spans="7:17" ht="15.45" x14ac:dyDescent="0.4">
      <c r="G1113" s="1">
        <v>588</v>
      </c>
      <c r="H1113" s="1">
        <v>8596.2293962488184</v>
      </c>
      <c r="I1113" s="1">
        <v>-1</v>
      </c>
      <c r="J1113" s="1">
        <v>4257.4233321638731</v>
      </c>
      <c r="K1113" s="1">
        <v>1</v>
      </c>
      <c r="L1113" s="1">
        <v>280</v>
      </c>
      <c r="M1113" s="18">
        <v>40</v>
      </c>
      <c r="N1113" s="1">
        <v>40</v>
      </c>
      <c r="O1113" s="1">
        <v>1</v>
      </c>
      <c r="P1113" s="1">
        <v>434</v>
      </c>
      <c r="Q1113" s="1">
        <v>0</v>
      </c>
    </row>
    <row r="1114" spans="7:17" ht="15.45" x14ac:dyDescent="0.4">
      <c r="G1114" s="1">
        <v>589</v>
      </c>
      <c r="H1114" s="1">
        <v>2804.4296577064724</v>
      </c>
      <c r="I1114" s="1">
        <v>1</v>
      </c>
      <c r="J1114" s="1">
        <v>4290.5565969110967</v>
      </c>
      <c r="K1114" s="1">
        <v>1</v>
      </c>
      <c r="L1114" s="1">
        <v>281</v>
      </c>
      <c r="M1114" s="18">
        <v>40</v>
      </c>
      <c r="N1114" s="1">
        <v>40</v>
      </c>
      <c r="O1114" s="1">
        <v>1</v>
      </c>
      <c r="P1114" s="1">
        <v>435</v>
      </c>
      <c r="Q1114" s="1">
        <v>0</v>
      </c>
    </row>
    <row r="1115" spans="7:17" ht="15.45" x14ac:dyDescent="0.4">
      <c r="G1115" s="1">
        <v>590</v>
      </c>
      <c r="H1115" s="1">
        <v>8597.0418043491172</v>
      </c>
      <c r="I1115" s="1">
        <v>-1</v>
      </c>
      <c r="J1115" s="1">
        <v>4295.8529308919206</v>
      </c>
      <c r="K1115" s="1">
        <v>1</v>
      </c>
      <c r="L1115" s="1">
        <v>282</v>
      </c>
      <c r="M1115" s="18">
        <v>40</v>
      </c>
      <c r="N1115" s="1">
        <v>40</v>
      </c>
      <c r="O1115" s="1">
        <v>1</v>
      </c>
      <c r="P1115" s="1">
        <v>436</v>
      </c>
      <c r="Q1115" s="1">
        <v>0</v>
      </c>
    </row>
    <row r="1116" spans="7:17" ht="15.45" x14ac:dyDescent="0.4">
      <c r="G1116" s="1">
        <v>591</v>
      </c>
      <c r="H1116" s="1">
        <v>2809.420308496547</v>
      </c>
      <c r="I1116" s="1">
        <v>1</v>
      </c>
      <c r="J1116" s="1">
        <v>4300.7286354780845</v>
      </c>
      <c r="K1116" s="1">
        <v>1</v>
      </c>
      <c r="L1116" s="1">
        <v>283</v>
      </c>
      <c r="M1116" s="18">
        <v>40</v>
      </c>
      <c r="N1116" s="1">
        <v>40</v>
      </c>
      <c r="O1116" s="1">
        <v>1</v>
      </c>
      <c r="P1116" s="1">
        <v>437</v>
      </c>
      <c r="Q1116" s="1">
        <v>0</v>
      </c>
    </row>
    <row r="1117" spans="7:17" ht="15.45" x14ac:dyDescent="0.4">
      <c r="G1117" s="1">
        <v>592</v>
      </c>
      <c r="H1117" s="1">
        <v>8602.6496351986025</v>
      </c>
      <c r="I1117" s="1">
        <v>-1</v>
      </c>
      <c r="J1117" s="1">
        <v>4314.6068964144943</v>
      </c>
      <c r="K1117" s="1">
        <v>-1</v>
      </c>
      <c r="L1117" s="1">
        <v>282</v>
      </c>
      <c r="M1117" s="18">
        <v>40</v>
      </c>
      <c r="N1117" s="1">
        <v>40</v>
      </c>
      <c r="O1117" s="1">
        <v>0</v>
      </c>
      <c r="P1117" s="1">
        <v>0</v>
      </c>
      <c r="Q1117" s="1">
        <v>0</v>
      </c>
    </row>
    <row r="1118" spans="7:17" ht="15.45" x14ac:dyDescent="0.4">
      <c r="G1118" s="1">
        <v>593</v>
      </c>
      <c r="H1118" s="1">
        <v>2811.1164507275089</v>
      </c>
      <c r="I1118" s="1">
        <v>1</v>
      </c>
      <c r="J1118" s="1">
        <v>4325.697171880006</v>
      </c>
      <c r="K1118" s="1">
        <v>-1</v>
      </c>
      <c r="L1118" s="1">
        <v>281</v>
      </c>
      <c r="M1118" s="18">
        <v>40</v>
      </c>
      <c r="N1118" s="1">
        <v>40</v>
      </c>
      <c r="O1118" s="1">
        <v>0</v>
      </c>
      <c r="P1118" s="1">
        <v>0</v>
      </c>
      <c r="Q1118" s="1">
        <v>0</v>
      </c>
    </row>
    <row r="1119" spans="7:17" ht="15.45" x14ac:dyDescent="0.4">
      <c r="G1119" s="1">
        <v>594</v>
      </c>
      <c r="H1119" s="1">
        <v>8614.2402367952091</v>
      </c>
      <c r="I1119" s="1">
        <v>-1</v>
      </c>
      <c r="J1119" s="1">
        <v>4325.8666295660278</v>
      </c>
      <c r="K1119" s="1">
        <v>1</v>
      </c>
      <c r="L1119" s="1">
        <v>282</v>
      </c>
      <c r="M1119" s="18">
        <v>40</v>
      </c>
      <c r="N1119" s="1">
        <v>40</v>
      </c>
      <c r="O1119" s="1">
        <v>1</v>
      </c>
      <c r="P1119" s="1">
        <v>438</v>
      </c>
      <c r="Q1119" s="1">
        <v>0</v>
      </c>
    </row>
    <row r="1120" spans="7:17" ht="15.45" x14ac:dyDescent="0.4">
      <c r="G1120" s="1">
        <v>595</v>
      </c>
      <c r="H1120" s="1">
        <v>2819.6670790115654</v>
      </c>
      <c r="I1120" s="1">
        <v>1</v>
      </c>
      <c r="J1120" s="1">
        <v>4334.4795831065721</v>
      </c>
      <c r="K1120" s="1">
        <v>1</v>
      </c>
      <c r="L1120" s="1">
        <v>283</v>
      </c>
      <c r="M1120" s="18">
        <v>40</v>
      </c>
      <c r="N1120" s="1">
        <v>40</v>
      </c>
      <c r="O1120" s="1">
        <v>1</v>
      </c>
      <c r="P1120" s="1">
        <v>439</v>
      </c>
      <c r="Q1120" s="1">
        <v>0</v>
      </c>
    </row>
    <row r="1121" spans="7:17" ht="15.45" x14ac:dyDescent="0.4">
      <c r="G1121" s="1">
        <v>596</v>
      </c>
      <c r="H1121" s="1">
        <v>8645.7600050007131</v>
      </c>
      <c r="I1121" s="1">
        <v>-1</v>
      </c>
      <c r="J1121" s="1">
        <v>4357.5435880668756</v>
      </c>
      <c r="K1121" s="1">
        <v>1</v>
      </c>
      <c r="L1121" s="1">
        <v>284</v>
      </c>
      <c r="M1121" s="18">
        <v>40</v>
      </c>
      <c r="N1121" s="1">
        <v>40</v>
      </c>
      <c r="O1121" s="1">
        <v>1</v>
      </c>
      <c r="P1121" s="1">
        <v>440</v>
      </c>
      <c r="Q1121" s="1">
        <v>0</v>
      </c>
    </row>
    <row r="1122" spans="7:17" ht="15.45" x14ac:dyDescent="0.4">
      <c r="G1122" s="1">
        <v>597</v>
      </c>
      <c r="H1122" s="1">
        <v>2824.4732965877761</v>
      </c>
      <c r="I1122" s="1">
        <v>1</v>
      </c>
      <c r="J1122" s="1">
        <v>4360.0867438770429</v>
      </c>
      <c r="K1122" s="1">
        <v>-1</v>
      </c>
      <c r="L1122" s="1">
        <v>283</v>
      </c>
      <c r="M1122" s="18">
        <v>40</v>
      </c>
      <c r="N1122" s="1">
        <v>40</v>
      </c>
      <c r="O1122" s="1">
        <v>0</v>
      </c>
      <c r="P1122" s="1">
        <v>0</v>
      </c>
      <c r="Q1122" s="1">
        <v>0</v>
      </c>
    </row>
    <row r="1123" spans="7:17" ht="15.45" x14ac:dyDescent="0.4">
      <c r="G1123" s="1">
        <v>598</v>
      </c>
      <c r="H1123" s="1">
        <v>8650.281442154117</v>
      </c>
      <c r="I1123" s="1">
        <v>-1</v>
      </c>
      <c r="J1123" s="1">
        <v>4361.1265926314827</v>
      </c>
      <c r="K1123" s="1">
        <v>-1</v>
      </c>
      <c r="L1123" s="1">
        <v>282</v>
      </c>
      <c r="M1123" s="18">
        <v>40</v>
      </c>
      <c r="N1123" s="1">
        <v>40</v>
      </c>
      <c r="O1123" s="1">
        <v>0</v>
      </c>
      <c r="P1123" s="1">
        <v>0</v>
      </c>
      <c r="Q1123" s="1">
        <v>0</v>
      </c>
    </row>
    <row r="1124" spans="7:17" ht="15.45" x14ac:dyDescent="0.4">
      <c r="G1124" s="1">
        <v>599</v>
      </c>
      <c r="H1124" s="1">
        <v>2826.5921416065225</v>
      </c>
      <c r="I1124" s="1">
        <v>1</v>
      </c>
      <c r="J1124" s="1">
        <v>4367.8211430085721</v>
      </c>
      <c r="K1124" s="1">
        <v>1</v>
      </c>
      <c r="L1124" s="1">
        <v>283</v>
      </c>
      <c r="M1124" s="18">
        <v>40</v>
      </c>
      <c r="N1124" s="1">
        <v>40</v>
      </c>
      <c r="O1124" s="1">
        <v>1</v>
      </c>
      <c r="P1124" s="1">
        <v>441</v>
      </c>
      <c r="Q1124" s="1">
        <v>0</v>
      </c>
    </row>
    <row r="1125" spans="7:17" ht="15.45" x14ac:dyDescent="0.4">
      <c r="G1125" s="1">
        <v>600</v>
      </c>
      <c r="H1125" s="1">
        <v>8654.2453756713694</v>
      </c>
      <c r="I1125" s="1">
        <v>-1</v>
      </c>
      <c r="J1125" s="1">
        <v>4378.1827534664853</v>
      </c>
      <c r="K1125" s="1">
        <v>-1</v>
      </c>
      <c r="L1125" s="1">
        <v>282</v>
      </c>
      <c r="M1125" s="18">
        <v>40</v>
      </c>
      <c r="N1125" s="1">
        <v>40</v>
      </c>
      <c r="O1125" s="1">
        <v>0</v>
      </c>
      <c r="P1125" s="1">
        <v>0</v>
      </c>
      <c r="Q1125" s="1">
        <v>0</v>
      </c>
    </row>
    <row r="1126" spans="7:17" ht="15.45" x14ac:dyDescent="0.4">
      <c r="G1126" s="1">
        <v>601</v>
      </c>
      <c r="H1126" s="1">
        <v>2833.0474651645113</v>
      </c>
      <c r="I1126" s="1">
        <v>1</v>
      </c>
      <c r="J1126" s="1">
        <v>4380.5608014589607</v>
      </c>
      <c r="K1126" s="1">
        <v>1</v>
      </c>
      <c r="L1126" s="1">
        <v>283</v>
      </c>
      <c r="M1126" s="18">
        <v>40</v>
      </c>
      <c r="N1126" s="1">
        <v>40</v>
      </c>
      <c r="O1126" s="1">
        <v>1</v>
      </c>
      <c r="P1126" s="1">
        <v>442</v>
      </c>
      <c r="Q1126" s="1">
        <v>0</v>
      </c>
    </row>
    <row r="1127" spans="7:17" ht="15.45" x14ac:dyDescent="0.4">
      <c r="G1127" s="1">
        <v>602</v>
      </c>
      <c r="H1127" s="1">
        <v>8672.5110521660063</v>
      </c>
      <c r="I1127" s="1">
        <v>-1</v>
      </c>
      <c r="J1127" s="1">
        <v>4382.7692340198264</v>
      </c>
      <c r="K1127" s="1">
        <v>1</v>
      </c>
      <c r="L1127" s="1">
        <v>284</v>
      </c>
      <c r="M1127" s="18">
        <v>40</v>
      </c>
      <c r="N1127" s="1">
        <v>40</v>
      </c>
      <c r="O1127" s="1">
        <v>1</v>
      </c>
      <c r="P1127" s="1">
        <v>443</v>
      </c>
      <c r="Q1127" s="1">
        <v>0</v>
      </c>
    </row>
    <row r="1128" spans="7:17" ht="15.45" x14ac:dyDescent="0.4">
      <c r="G1128" s="1">
        <v>603</v>
      </c>
      <c r="H1128" s="1">
        <v>2844.3852568158636</v>
      </c>
      <c r="I1128" s="1">
        <v>1</v>
      </c>
      <c r="J1128" s="1">
        <v>4389.6512955847656</v>
      </c>
      <c r="K1128" s="1">
        <v>-1</v>
      </c>
      <c r="L1128" s="1">
        <v>283</v>
      </c>
      <c r="M1128" s="18">
        <v>40</v>
      </c>
      <c r="N1128" s="1">
        <v>40</v>
      </c>
      <c r="O1128" s="1">
        <v>0</v>
      </c>
      <c r="P1128" s="1">
        <v>0</v>
      </c>
      <c r="Q1128" s="1">
        <v>0</v>
      </c>
    </row>
    <row r="1129" spans="7:17" ht="15.45" x14ac:dyDescent="0.4">
      <c r="G1129" s="1">
        <v>604</v>
      </c>
      <c r="H1129" s="1">
        <v>8681.0945836903284</v>
      </c>
      <c r="I1129" s="1">
        <v>-1</v>
      </c>
      <c r="J1129" s="1">
        <v>4392.7278599883712</v>
      </c>
      <c r="K1129" s="1">
        <v>-1</v>
      </c>
      <c r="L1129" s="1">
        <v>282</v>
      </c>
      <c r="M1129" s="18">
        <v>40</v>
      </c>
      <c r="N1129" s="1">
        <v>40</v>
      </c>
      <c r="O1129" s="1">
        <v>0</v>
      </c>
      <c r="P1129" s="1">
        <v>0</v>
      </c>
      <c r="Q1129" s="1">
        <v>0</v>
      </c>
    </row>
    <row r="1130" spans="7:17" ht="15.45" x14ac:dyDescent="0.4">
      <c r="G1130" s="1">
        <v>605</v>
      </c>
      <c r="H1130" s="1">
        <v>2848.4829086076334</v>
      </c>
      <c r="I1130" s="1">
        <v>1</v>
      </c>
      <c r="J1130" s="1">
        <v>4395.6512621482625</v>
      </c>
      <c r="K1130" s="1">
        <v>1</v>
      </c>
      <c r="L1130" s="1">
        <v>283</v>
      </c>
      <c r="M1130" s="18">
        <v>40</v>
      </c>
      <c r="N1130" s="1">
        <v>40</v>
      </c>
      <c r="O1130" s="1">
        <v>1</v>
      </c>
      <c r="P1130" s="1">
        <v>444</v>
      </c>
      <c r="Q1130" s="1">
        <v>0</v>
      </c>
    </row>
    <row r="1131" spans="7:17" ht="15.45" x14ac:dyDescent="0.4">
      <c r="G1131" s="1">
        <v>606</v>
      </c>
      <c r="H1131" s="1">
        <v>8692.0646133223418</v>
      </c>
      <c r="I1131" s="1">
        <v>-1</v>
      </c>
      <c r="J1131" s="1">
        <v>4421.5211680238071</v>
      </c>
      <c r="K1131" s="1">
        <v>1</v>
      </c>
      <c r="L1131" s="1">
        <v>284</v>
      </c>
      <c r="M1131" s="18">
        <v>40</v>
      </c>
      <c r="N1131" s="1">
        <v>40</v>
      </c>
      <c r="O1131" s="1">
        <v>1</v>
      </c>
      <c r="P1131" s="1">
        <v>445</v>
      </c>
      <c r="Q1131" s="1">
        <v>0</v>
      </c>
    </row>
    <row r="1132" spans="7:17" ht="15.45" x14ac:dyDescent="0.4">
      <c r="G1132" s="1">
        <v>607</v>
      </c>
      <c r="H1132" s="1">
        <v>2852.4744483491136</v>
      </c>
      <c r="I1132" s="1">
        <v>1</v>
      </c>
      <c r="J1132" s="1">
        <v>4432.5287765609719</v>
      </c>
      <c r="K1132" s="1">
        <v>-1</v>
      </c>
      <c r="L1132" s="1">
        <v>283</v>
      </c>
      <c r="M1132" s="18">
        <v>40</v>
      </c>
      <c r="N1132" s="1">
        <v>40</v>
      </c>
      <c r="O1132" s="1">
        <v>0</v>
      </c>
      <c r="P1132" s="1">
        <v>0</v>
      </c>
      <c r="Q1132" s="1">
        <v>0</v>
      </c>
    </row>
    <row r="1133" spans="7:17" ht="15.45" x14ac:dyDescent="0.4">
      <c r="G1133" s="1">
        <v>608</v>
      </c>
      <c r="H1133" s="1">
        <v>8696.3336656884203</v>
      </c>
      <c r="I1133" s="1">
        <v>-1</v>
      </c>
      <c r="J1133" s="1">
        <v>4438.602482902591</v>
      </c>
      <c r="K1133" s="1">
        <v>1</v>
      </c>
      <c r="L1133" s="1">
        <v>284</v>
      </c>
      <c r="M1133" s="18">
        <v>40</v>
      </c>
      <c r="N1133" s="1">
        <v>40</v>
      </c>
      <c r="O1133" s="1">
        <v>1</v>
      </c>
      <c r="P1133" s="1">
        <v>446</v>
      </c>
      <c r="Q1133" s="1">
        <v>0</v>
      </c>
    </row>
    <row r="1134" spans="7:17" ht="15.45" x14ac:dyDescent="0.4">
      <c r="G1134" s="1">
        <v>609</v>
      </c>
      <c r="H1134" s="1">
        <v>2853.1162042999053</v>
      </c>
      <c r="I1134" s="1">
        <v>1</v>
      </c>
      <c r="J1134" s="1">
        <v>4440.2463902573318</v>
      </c>
      <c r="K1134" s="1">
        <v>1</v>
      </c>
      <c r="L1134" s="1">
        <v>285</v>
      </c>
      <c r="M1134" s="18">
        <v>40</v>
      </c>
      <c r="N1134" s="1">
        <v>40</v>
      </c>
      <c r="O1134" s="1">
        <v>1</v>
      </c>
      <c r="P1134" s="1">
        <v>447</v>
      </c>
      <c r="Q1134" s="1">
        <v>0</v>
      </c>
    </row>
    <row r="1135" spans="7:17" ht="15.45" x14ac:dyDescent="0.4">
      <c r="G1135" s="1">
        <v>610</v>
      </c>
      <c r="H1135" s="1">
        <v>8726.9492302161561</v>
      </c>
      <c r="I1135" s="1">
        <v>-1</v>
      </c>
      <c r="J1135" s="1">
        <v>4441.1737626118156</v>
      </c>
      <c r="K1135" s="1">
        <v>1</v>
      </c>
      <c r="L1135" s="1">
        <v>286</v>
      </c>
      <c r="M1135" s="18">
        <v>40</v>
      </c>
      <c r="N1135" s="1">
        <v>40</v>
      </c>
      <c r="O1135" s="1">
        <v>1</v>
      </c>
      <c r="P1135" s="1">
        <v>448</v>
      </c>
      <c r="Q1135" s="1">
        <v>0</v>
      </c>
    </row>
    <row r="1136" spans="7:17" ht="15.45" x14ac:dyDescent="0.4">
      <c r="G1136" s="1">
        <v>611</v>
      </c>
      <c r="H1136" s="1">
        <v>2853.7885034139003</v>
      </c>
      <c r="I1136" s="1">
        <v>1</v>
      </c>
      <c r="J1136" s="1">
        <v>4449.2830047263724</v>
      </c>
      <c r="K1136" s="1">
        <v>1</v>
      </c>
      <c r="L1136" s="1">
        <v>287</v>
      </c>
      <c r="M1136" s="18">
        <v>40</v>
      </c>
      <c r="N1136" s="1">
        <v>40</v>
      </c>
      <c r="O1136" s="1">
        <v>1</v>
      </c>
      <c r="P1136" s="1">
        <v>449</v>
      </c>
      <c r="Q1136" s="1">
        <v>0</v>
      </c>
    </row>
    <row r="1137" spans="7:17" ht="15.45" x14ac:dyDescent="0.4">
      <c r="G1137" s="1">
        <v>612</v>
      </c>
      <c r="H1137" s="1">
        <v>8732.7169840745264</v>
      </c>
      <c r="I1137" s="1">
        <v>-1</v>
      </c>
      <c r="J1137" s="1">
        <v>4480.2917312979389</v>
      </c>
      <c r="K1137" s="1">
        <v>1</v>
      </c>
      <c r="L1137" s="1">
        <v>288</v>
      </c>
      <c r="M1137" s="18">
        <v>40</v>
      </c>
      <c r="N1137" s="1">
        <v>40</v>
      </c>
      <c r="O1137" s="1">
        <v>1</v>
      </c>
      <c r="P1137" s="1">
        <v>450</v>
      </c>
      <c r="Q1137" s="1">
        <v>0</v>
      </c>
    </row>
    <row r="1138" spans="7:17" ht="15.45" x14ac:dyDescent="0.4">
      <c r="G1138" s="1">
        <v>613</v>
      </c>
      <c r="H1138" s="1">
        <v>2863.4830390510579</v>
      </c>
      <c r="I1138" s="1">
        <v>1</v>
      </c>
      <c r="J1138" s="1">
        <v>4486.1768756257743</v>
      </c>
      <c r="K1138" s="1">
        <v>1</v>
      </c>
      <c r="L1138" s="1">
        <v>289</v>
      </c>
      <c r="M1138" s="18">
        <v>40</v>
      </c>
      <c r="N1138" s="1">
        <v>40</v>
      </c>
      <c r="O1138" s="1">
        <v>1</v>
      </c>
      <c r="P1138" s="1">
        <v>451</v>
      </c>
      <c r="Q1138" s="1">
        <v>0</v>
      </c>
    </row>
    <row r="1139" spans="7:17" ht="15.45" x14ac:dyDescent="0.4">
      <c r="G1139" s="1">
        <v>614</v>
      </c>
      <c r="H1139" s="1">
        <v>8778.9812620240446</v>
      </c>
      <c r="I1139" s="1">
        <v>-1</v>
      </c>
      <c r="J1139" s="1">
        <v>4489.5084863487637</v>
      </c>
      <c r="K1139" s="1">
        <v>1</v>
      </c>
      <c r="L1139" s="1">
        <v>290</v>
      </c>
      <c r="M1139" s="18">
        <v>40</v>
      </c>
      <c r="N1139" s="1">
        <v>40</v>
      </c>
      <c r="O1139" s="1">
        <v>1</v>
      </c>
      <c r="P1139" s="1">
        <v>452</v>
      </c>
      <c r="Q1139" s="1">
        <v>0</v>
      </c>
    </row>
    <row r="1140" spans="7:17" ht="15.45" x14ac:dyDescent="0.4">
      <c r="G1140" s="1">
        <v>615</v>
      </c>
      <c r="H1140" s="1">
        <v>2878.7258318577024</v>
      </c>
      <c r="I1140" s="1">
        <v>1</v>
      </c>
      <c r="J1140" s="1">
        <v>4491.771883554472</v>
      </c>
      <c r="K1140" s="1">
        <v>1</v>
      </c>
      <c r="L1140" s="1">
        <v>291</v>
      </c>
      <c r="M1140" s="18">
        <v>40</v>
      </c>
      <c r="N1140" s="1">
        <v>40</v>
      </c>
      <c r="O1140" s="1">
        <v>1</v>
      </c>
      <c r="P1140" s="1">
        <v>453</v>
      </c>
      <c r="Q1140" s="1">
        <v>0</v>
      </c>
    </row>
    <row r="1141" spans="7:17" ht="15.45" x14ac:dyDescent="0.4">
      <c r="G1141" s="1">
        <v>616</v>
      </c>
      <c r="H1141" s="1">
        <v>8820.2752397580607</v>
      </c>
      <c r="I1141" s="1">
        <v>-1</v>
      </c>
      <c r="J1141" s="1">
        <v>4497.6082404682593</v>
      </c>
      <c r="K1141" s="1">
        <v>1</v>
      </c>
      <c r="L1141" s="1">
        <v>292</v>
      </c>
      <c r="M1141" s="18">
        <v>40</v>
      </c>
      <c r="N1141" s="1">
        <v>40</v>
      </c>
      <c r="O1141" s="1">
        <v>1</v>
      </c>
      <c r="P1141" s="1">
        <v>454</v>
      </c>
      <c r="Q1141" s="1">
        <v>0</v>
      </c>
    </row>
    <row r="1142" spans="7:17" ht="15.45" x14ac:dyDescent="0.4">
      <c r="G1142" s="1">
        <v>617</v>
      </c>
      <c r="H1142" s="1">
        <v>2927.8579807483566</v>
      </c>
      <c r="I1142" s="1">
        <v>1</v>
      </c>
      <c r="J1142" s="1">
        <v>4500.6630173352978</v>
      </c>
      <c r="K1142" s="1">
        <v>-1</v>
      </c>
      <c r="L1142" s="1">
        <v>291</v>
      </c>
      <c r="M1142" s="18">
        <v>40</v>
      </c>
      <c r="N1142" s="1">
        <v>40</v>
      </c>
      <c r="O1142" s="1">
        <v>0</v>
      </c>
      <c r="P1142" s="1">
        <v>0</v>
      </c>
      <c r="Q1142" s="1">
        <v>0</v>
      </c>
    </row>
    <row r="1143" spans="7:17" ht="15.45" x14ac:dyDescent="0.4">
      <c r="G1143" s="1">
        <v>618</v>
      </c>
      <c r="H1143" s="1">
        <v>8835.247192128285</v>
      </c>
      <c r="I1143" s="1">
        <v>-1</v>
      </c>
      <c r="J1143" s="1">
        <v>4512.3926992199467</v>
      </c>
      <c r="K1143" s="1">
        <v>1</v>
      </c>
      <c r="L1143" s="1">
        <v>292</v>
      </c>
      <c r="M1143" s="18">
        <v>40</v>
      </c>
      <c r="N1143" s="1">
        <v>40</v>
      </c>
      <c r="O1143" s="1">
        <v>1</v>
      </c>
      <c r="P1143" s="1">
        <v>455</v>
      </c>
      <c r="Q1143" s="1">
        <v>0</v>
      </c>
    </row>
    <row r="1144" spans="7:17" ht="15.45" x14ac:dyDescent="0.4">
      <c r="G1144" s="1">
        <v>619</v>
      </c>
      <c r="H1144" s="1">
        <v>2936.2162246252055</v>
      </c>
      <c r="I1144" s="1">
        <v>1</v>
      </c>
      <c r="J1144" s="1">
        <v>4512.6175422817269</v>
      </c>
      <c r="K1144" s="1">
        <v>1</v>
      </c>
      <c r="L1144" s="1">
        <v>293</v>
      </c>
      <c r="M1144" s="18">
        <v>40</v>
      </c>
      <c r="N1144" s="1">
        <v>40</v>
      </c>
      <c r="O1144" s="1">
        <v>1</v>
      </c>
      <c r="P1144" s="1">
        <v>456</v>
      </c>
      <c r="Q1144" s="1">
        <v>0</v>
      </c>
    </row>
    <row r="1145" spans="7:17" ht="15.45" x14ac:dyDescent="0.4">
      <c r="G1145" s="1">
        <v>620</v>
      </c>
      <c r="H1145" s="1">
        <v>8840.3356188211692</v>
      </c>
      <c r="I1145" s="1">
        <v>-1</v>
      </c>
      <c r="J1145" s="1">
        <v>4518.9133093731461</v>
      </c>
      <c r="K1145" s="1">
        <v>1</v>
      </c>
      <c r="L1145" s="1">
        <v>294</v>
      </c>
      <c r="M1145" s="18">
        <v>40</v>
      </c>
      <c r="N1145" s="1">
        <v>40</v>
      </c>
      <c r="O1145" s="1">
        <v>1</v>
      </c>
      <c r="P1145" s="1">
        <v>457</v>
      </c>
      <c r="Q1145" s="1">
        <v>0</v>
      </c>
    </row>
    <row r="1146" spans="7:17" ht="15.45" x14ac:dyDescent="0.4">
      <c r="G1146" s="1">
        <v>621</v>
      </c>
      <c r="H1146" s="1">
        <v>2962.5571362959945</v>
      </c>
      <c r="I1146" s="1">
        <v>1</v>
      </c>
      <c r="J1146" s="1">
        <v>4521.323163748616</v>
      </c>
      <c r="K1146" s="1">
        <v>1</v>
      </c>
      <c r="L1146" s="1">
        <v>295</v>
      </c>
      <c r="M1146" s="18">
        <v>40</v>
      </c>
      <c r="N1146" s="1">
        <v>40</v>
      </c>
      <c r="O1146" s="1">
        <v>1</v>
      </c>
      <c r="P1146" s="1">
        <v>458</v>
      </c>
      <c r="Q1146" s="1">
        <v>0</v>
      </c>
    </row>
    <row r="1147" spans="7:17" ht="15.45" x14ac:dyDescent="0.4">
      <c r="G1147" s="1">
        <v>622</v>
      </c>
      <c r="H1147" s="1">
        <v>8865.9875036733392</v>
      </c>
      <c r="I1147" s="1">
        <v>-1</v>
      </c>
      <c r="J1147" s="1">
        <v>4526.5732228929592</v>
      </c>
      <c r="K1147" s="1">
        <v>1</v>
      </c>
      <c r="L1147" s="1">
        <v>296</v>
      </c>
      <c r="M1147" s="18">
        <v>40</v>
      </c>
      <c r="N1147" s="1">
        <v>40</v>
      </c>
      <c r="O1147" s="1">
        <v>1</v>
      </c>
      <c r="P1147" s="1">
        <v>459</v>
      </c>
      <c r="Q1147" s="1">
        <v>0</v>
      </c>
    </row>
    <row r="1148" spans="7:17" ht="15.45" x14ac:dyDescent="0.4">
      <c r="G1148" s="1">
        <v>623</v>
      </c>
      <c r="H1148" s="1">
        <v>2970.4228354209627</v>
      </c>
      <c r="I1148" s="1">
        <v>1</v>
      </c>
      <c r="J1148" s="1">
        <v>4546.3808114909671</v>
      </c>
      <c r="K1148" s="1">
        <v>1</v>
      </c>
      <c r="L1148" s="1">
        <v>297</v>
      </c>
      <c r="M1148" s="18">
        <v>40</v>
      </c>
      <c r="N1148" s="1">
        <v>40</v>
      </c>
      <c r="O1148" s="1">
        <v>1</v>
      </c>
      <c r="P1148" s="1">
        <v>460</v>
      </c>
      <c r="Q1148" s="1">
        <v>0</v>
      </c>
    </row>
    <row r="1149" spans="7:17" ht="15.45" x14ac:dyDescent="0.4">
      <c r="G1149" s="1">
        <v>624</v>
      </c>
      <c r="H1149" s="1">
        <v>8880.4061564019703</v>
      </c>
      <c r="I1149" s="1">
        <v>-1</v>
      </c>
      <c r="J1149" s="1">
        <v>4560.9965132826428</v>
      </c>
      <c r="K1149" s="1">
        <v>1</v>
      </c>
      <c r="L1149" s="1">
        <v>298</v>
      </c>
      <c r="M1149" s="18">
        <v>40</v>
      </c>
      <c r="N1149" s="1">
        <v>40</v>
      </c>
      <c r="O1149" s="1">
        <v>1</v>
      </c>
      <c r="P1149" s="1">
        <v>461</v>
      </c>
      <c r="Q1149" s="1">
        <v>0</v>
      </c>
    </row>
    <row r="1150" spans="7:17" ht="15.45" x14ac:dyDescent="0.4">
      <c r="G1150" s="1">
        <v>625</v>
      </c>
      <c r="H1150" s="1">
        <v>3009.6359289412935</v>
      </c>
      <c r="I1150" s="1">
        <v>1</v>
      </c>
      <c r="J1150" s="1">
        <v>4564.9238656167963</v>
      </c>
      <c r="K1150" s="1">
        <v>1</v>
      </c>
      <c r="L1150" s="1">
        <v>299</v>
      </c>
      <c r="M1150" s="18">
        <v>40</v>
      </c>
      <c r="N1150" s="1">
        <v>40</v>
      </c>
      <c r="O1150" s="1">
        <v>1</v>
      </c>
      <c r="P1150" s="1">
        <v>462</v>
      </c>
      <c r="Q1150" s="1">
        <v>0</v>
      </c>
    </row>
    <row r="1151" spans="7:17" ht="15.45" x14ac:dyDescent="0.4">
      <c r="G1151" s="1">
        <v>626</v>
      </c>
      <c r="H1151" s="1">
        <v>8886.7626914582106</v>
      </c>
      <c r="I1151" s="1">
        <v>-1</v>
      </c>
      <c r="J1151" s="1">
        <v>4569.4374191213756</v>
      </c>
      <c r="K1151" s="1">
        <v>1</v>
      </c>
      <c r="L1151" s="1">
        <v>300</v>
      </c>
      <c r="M1151" s="18">
        <v>40</v>
      </c>
      <c r="N1151" s="1">
        <v>40</v>
      </c>
      <c r="O1151" s="1">
        <v>1</v>
      </c>
      <c r="P1151" s="1">
        <v>463</v>
      </c>
      <c r="Q1151" s="1">
        <v>0</v>
      </c>
    </row>
    <row r="1152" spans="7:17" ht="15.45" x14ac:dyDescent="0.4">
      <c r="G1152" s="1">
        <v>627</v>
      </c>
      <c r="H1152" s="1">
        <v>3013.8407159187259</v>
      </c>
      <c r="I1152" s="1">
        <v>1</v>
      </c>
      <c r="J1152" s="1">
        <v>4571.6665290027804</v>
      </c>
      <c r="K1152" s="1">
        <v>-1</v>
      </c>
      <c r="L1152" s="1">
        <v>299</v>
      </c>
      <c r="M1152" s="18">
        <v>40</v>
      </c>
      <c r="N1152" s="1">
        <v>40</v>
      </c>
      <c r="O1152" s="1">
        <v>0</v>
      </c>
      <c r="P1152" s="1">
        <v>0</v>
      </c>
      <c r="Q1152" s="1">
        <v>0</v>
      </c>
    </row>
    <row r="1153" spans="7:17" ht="15.45" x14ac:dyDescent="0.4">
      <c r="G1153" s="1">
        <v>628</v>
      </c>
      <c r="H1153" s="1">
        <v>8906.128662132176</v>
      </c>
      <c r="I1153" s="1">
        <v>-1</v>
      </c>
      <c r="J1153" s="1">
        <v>4605.1998361937058</v>
      </c>
      <c r="K1153" s="1">
        <v>1</v>
      </c>
      <c r="L1153" s="1">
        <v>300</v>
      </c>
      <c r="M1153" s="18">
        <v>40</v>
      </c>
      <c r="N1153" s="1">
        <v>40</v>
      </c>
      <c r="O1153" s="1">
        <v>1</v>
      </c>
      <c r="P1153" s="1">
        <v>464</v>
      </c>
      <c r="Q1153" s="1">
        <v>0</v>
      </c>
    </row>
    <row r="1154" spans="7:17" ht="15.45" x14ac:dyDescent="0.4">
      <c r="G1154" s="1">
        <v>629</v>
      </c>
      <c r="H1154" s="1">
        <v>3022.6505549010521</v>
      </c>
      <c r="I1154" s="1">
        <v>1</v>
      </c>
      <c r="J1154" s="1">
        <v>4609.9369977425304</v>
      </c>
      <c r="K1154" s="1">
        <v>1</v>
      </c>
      <c r="L1154" s="1">
        <v>301</v>
      </c>
      <c r="M1154" s="18">
        <v>40</v>
      </c>
      <c r="N1154" s="1">
        <v>40</v>
      </c>
      <c r="O1154" s="1">
        <v>1</v>
      </c>
      <c r="P1154" s="1">
        <v>465</v>
      </c>
      <c r="Q1154" s="1">
        <v>0</v>
      </c>
    </row>
    <row r="1155" spans="7:17" ht="15.45" x14ac:dyDescent="0.4">
      <c r="G1155" s="1">
        <v>630</v>
      </c>
      <c r="H1155" s="1">
        <v>8940.1420370862324</v>
      </c>
      <c r="I1155" s="1">
        <v>-1</v>
      </c>
      <c r="J1155" s="1">
        <v>4616.6065504107</v>
      </c>
      <c r="K1155" s="1">
        <v>1</v>
      </c>
      <c r="L1155" s="1">
        <v>302</v>
      </c>
      <c r="M1155" s="18">
        <v>40</v>
      </c>
      <c r="N1155" s="1">
        <v>40</v>
      </c>
      <c r="O1155" s="1">
        <v>1</v>
      </c>
      <c r="P1155" s="1">
        <v>466</v>
      </c>
      <c r="Q1155" s="1">
        <v>0</v>
      </c>
    </row>
    <row r="1156" spans="7:17" ht="15.45" x14ac:dyDescent="0.4">
      <c r="G1156" s="1">
        <v>631</v>
      </c>
      <c r="H1156" s="1">
        <v>3026.9211574933734</v>
      </c>
      <c r="I1156" s="1">
        <v>1</v>
      </c>
      <c r="J1156" s="1">
        <v>4626.9980321320736</v>
      </c>
      <c r="K1156" s="1">
        <v>1</v>
      </c>
      <c r="L1156" s="1">
        <v>303</v>
      </c>
      <c r="M1156" s="18">
        <v>40</v>
      </c>
      <c r="N1156" s="1">
        <v>40</v>
      </c>
      <c r="O1156" s="1">
        <v>1</v>
      </c>
      <c r="P1156" s="1">
        <v>467</v>
      </c>
      <c r="Q1156" s="1">
        <v>0</v>
      </c>
    </row>
    <row r="1157" spans="7:17" ht="15.45" x14ac:dyDescent="0.4">
      <c r="G1157" s="1">
        <v>632</v>
      </c>
      <c r="H1157" s="1">
        <v>8952.4349924615417</v>
      </c>
      <c r="I1157" s="1">
        <v>-1</v>
      </c>
      <c r="J1157" s="1">
        <v>4632.7586474389682</v>
      </c>
      <c r="K1157" s="1">
        <v>1</v>
      </c>
      <c r="L1157" s="1">
        <v>304</v>
      </c>
      <c r="M1157" s="18">
        <v>40</v>
      </c>
      <c r="N1157" s="1">
        <v>40</v>
      </c>
      <c r="O1157" s="1">
        <v>1</v>
      </c>
      <c r="P1157" s="1">
        <v>468</v>
      </c>
      <c r="Q1157" s="1">
        <v>0</v>
      </c>
    </row>
    <row r="1158" spans="7:17" ht="15.45" x14ac:dyDescent="0.4">
      <c r="G1158" s="1">
        <v>633</v>
      </c>
      <c r="H1158" s="1">
        <v>3030.4141130766066</v>
      </c>
      <c r="I1158" s="1">
        <v>1</v>
      </c>
      <c r="J1158" s="1">
        <v>4632.9085009846203</v>
      </c>
      <c r="K1158" s="1">
        <v>1</v>
      </c>
      <c r="L1158" s="1">
        <v>305</v>
      </c>
      <c r="M1158" s="18">
        <v>40</v>
      </c>
      <c r="N1158" s="1">
        <v>40</v>
      </c>
      <c r="O1158" s="1">
        <v>1</v>
      </c>
      <c r="P1158" s="1">
        <v>469</v>
      </c>
      <c r="Q1158" s="1">
        <v>0</v>
      </c>
    </row>
    <row r="1159" spans="7:17" ht="15.45" x14ac:dyDescent="0.4">
      <c r="G1159" s="1">
        <v>634</v>
      </c>
      <c r="H1159" s="1">
        <v>8964.4096116859819</v>
      </c>
      <c r="I1159" s="1">
        <v>-1</v>
      </c>
      <c r="J1159" s="1">
        <v>4634.7113578253648</v>
      </c>
      <c r="K1159" s="1">
        <v>-1</v>
      </c>
      <c r="L1159" s="1">
        <v>304</v>
      </c>
      <c r="M1159" s="18">
        <v>40</v>
      </c>
      <c r="N1159" s="1">
        <v>40</v>
      </c>
      <c r="O1159" s="1">
        <v>0</v>
      </c>
      <c r="P1159" s="1">
        <v>0</v>
      </c>
      <c r="Q1159" s="1">
        <v>0</v>
      </c>
    </row>
    <row r="1160" spans="7:17" ht="15.45" x14ac:dyDescent="0.4">
      <c r="G1160" s="1">
        <v>635</v>
      </c>
      <c r="H1160" s="1">
        <v>3032.2493773136712</v>
      </c>
      <c r="I1160" s="1">
        <v>1</v>
      </c>
      <c r="J1160" s="1">
        <v>4635.2072488848853</v>
      </c>
      <c r="K1160" s="1">
        <v>1</v>
      </c>
      <c r="L1160" s="1">
        <v>305</v>
      </c>
      <c r="M1160" s="18">
        <v>40</v>
      </c>
      <c r="N1160" s="1">
        <v>40</v>
      </c>
      <c r="O1160" s="1">
        <v>1</v>
      </c>
      <c r="P1160" s="1">
        <v>470</v>
      </c>
      <c r="Q1160" s="1">
        <v>0</v>
      </c>
    </row>
    <row r="1161" spans="7:17" ht="15.45" x14ac:dyDescent="0.4">
      <c r="G1161" s="1">
        <v>636</v>
      </c>
      <c r="H1161" s="1">
        <v>8966.3348795383572</v>
      </c>
      <c r="I1161" s="1">
        <v>-1</v>
      </c>
      <c r="J1161" s="1">
        <v>4637.6529228773197</v>
      </c>
      <c r="K1161" s="1">
        <v>1</v>
      </c>
      <c r="L1161" s="1">
        <v>306</v>
      </c>
      <c r="M1161" s="18">
        <v>40</v>
      </c>
      <c r="N1161" s="1">
        <v>40</v>
      </c>
      <c r="O1161" s="1">
        <v>1</v>
      </c>
      <c r="P1161" s="1">
        <v>471</v>
      </c>
      <c r="Q1161" s="1">
        <v>0</v>
      </c>
    </row>
    <row r="1162" spans="7:17" ht="15.45" x14ac:dyDescent="0.4">
      <c r="G1162" s="1">
        <v>637</v>
      </c>
      <c r="H1162" s="1">
        <v>3040.0567932009335</v>
      </c>
      <c r="I1162" s="1">
        <v>1</v>
      </c>
      <c r="J1162" s="1">
        <v>4639.6635198583472</v>
      </c>
      <c r="K1162" s="1">
        <v>1</v>
      </c>
      <c r="L1162" s="1">
        <v>307</v>
      </c>
      <c r="M1162" s="18">
        <v>40</v>
      </c>
      <c r="N1162" s="1">
        <v>40</v>
      </c>
      <c r="O1162" s="1">
        <v>1</v>
      </c>
      <c r="P1162" s="1">
        <v>472</v>
      </c>
      <c r="Q1162" s="1">
        <v>0</v>
      </c>
    </row>
    <row r="1163" spans="7:17" ht="15.45" x14ac:dyDescent="0.4">
      <c r="G1163" s="1">
        <v>638</v>
      </c>
      <c r="H1163" s="1">
        <v>8968.3517768803413</v>
      </c>
      <c r="I1163" s="1">
        <v>-1</v>
      </c>
      <c r="J1163" s="1">
        <v>4643.0340553521955</v>
      </c>
      <c r="K1163" s="1">
        <v>1</v>
      </c>
      <c r="L1163" s="1">
        <v>308</v>
      </c>
      <c r="M1163" s="18">
        <v>40</v>
      </c>
      <c r="N1163" s="1">
        <v>40</v>
      </c>
      <c r="O1163" s="1">
        <v>1</v>
      </c>
      <c r="P1163" s="1">
        <v>473</v>
      </c>
      <c r="Q1163" s="1">
        <v>0</v>
      </c>
    </row>
    <row r="1164" spans="7:17" ht="15.45" x14ac:dyDescent="0.4">
      <c r="G1164" s="1">
        <v>639</v>
      </c>
      <c r="H1164" s="1">
        <v>3046.6447284473606</v>
      </c>
      <c r="I1164" s="1">
        <v>1</v>
      </c>
      <c r="J1164" s="1">
        <v>4656.6997875961697</v>
      </c>
      <c r="K1164" s="1">
        <v>1</v>
      </c>
      <c r="L1164" s="1">
        <v>309</v>
      </c>
      <c r="M1164" s="18">
        <v>40</v>
      </c>
      <c r="N1164" s="1">
        <v>40</v>
      </c>
      <c r="O1164" s="1">
        <v>1</v>
      </c>
      <c r="P1164" s="1">
        <v>474</v>
      </c>
      <c r="Q1164" s="1">
        <v>0</v>
      </c>
    </row>
    <row r="1165" spans="7:17" ht="15.45" x14ac:dyDescent="0.4">
      <c r="G1165" s="1">
        <v>640</v>
      </c>
      <c r="H1165" s="1">
        <v>8997.4353837918134</v>
      </c>
      <c r="I1165" s="1">
        <v>-1</v>
      </c>
      <c r="J1165" s="1">
        <v>4676.9546759188042</v>
      </c>
      <c r="K1165" s="1">
        <v>1</v>
      </c>
      <c r="L1165" s="1">
        <v>310</v>
      </c>
      <c r="M1165" s="18">
        <v>40</v>
      </c>
      <c r="N1165" s="1">
        <v>40</v>
      </c>
      <c r="O1165" s="1">
        <v>1</v>
      </c>
      <c r="P1165" s="1">
        <v>475</v>
      </c>
      <c r="Q1165" s="1">
        <v>0</v>
      </c>
    </row>
    <row r="1166" spans="7:17" ht="15.45" x14ac:dyDescent="0.4">
      <c r="G1166" s="1">
        <v>641</v>
      </c>
      <c r="H1166" s="1">
        <v>3070.6974074363743</v>
      </c>
      <c r="I1166" s="1">
        <v>1</v>
      </c>
      <c r="J1166" s="1">
        <v>4719.0180936712086</v>
      </c>
      <c r="K1166" s="1">
        <v>1</v>
      </c>
      <c r="L1166" s="1">
        <v>311</v>
      </c>
      <c r="M1166" s="18">
        <v>40</v>
      </c>
      <c r="N1166" s="1">
        <v>40</v>
      </c>
      <c r="O1166" s="1">
        <v>1</v>
      </c>
      <c r="P1166" s="1">
        <v>476</v>
      </c>
      <c r="Q1166" s="1">
        <v>0</v>
      </c>
    </row>
    <row r="1167" spans="7:17" ht="15.45" x14ac:dyDescent="0.4">
      <c r="G1167" s="1">
        <v>642</v>
      </c>
      <c r="H1167" s="1">
        <v>9043.1637622117469</v>
      </c>
      <c r="I1167" s="1">
        <v>-1</v>
      </c>
      <c r="J1167" s="1">
        <v>4728.1586836596953</v>
      </c>
      <c r="K1167" s="1">
        <v>1</v>
      </c>
      <c r="L1167" s="1">
        <v>312</v>
      </c>
      <c r="M1167" s="18">
        <v>40</v>
      </c>
      <c r="N1167" s="1">
        <v>40</v>
      </c>
      <c r="O1167" s="1">
        <v>1</v>
      </c>
      <c r="P1167" s="1">
        <v>477</v>
      </c>
      <c r="Q1167" s="1">
        <v>0</v>
      </c>
    </row>
    <row r="1168" spans="7:17" ht="15.45" x14ac:dyDescent="0.4">
      <c r="G1168" s="1">
        <v>643</v>
      </c>
      <c r="H1168" s="1">
        <v>3080.1115177804145</v>
      </c>
      <c r="I1168" s="1">
        <v>1</v>
      </c>
      <c r="J1168" s="1">
        <v>4731.5519964069408</v>
      </c>
      <c r="K1168" s="1">
        <v>-1</v>
      </c>
      <c r="L1168" s="1">
        <v>311</v>
      </c>
      <c r="M1168" s="18">
        <v>40</v>
      </c>
      <c r="N1168" s="1">
        <v>40</v>
      </c>
      <c r="O1168" s="1">
        <v>0</v>
      </c>
      <c r="P1168" s="1">
        <v>0</v>
      </c>
      <c r="Q1168" s="1">
        <v>0</v>
      </c>
    </row>
    <row r="1169" spans="7:17" ht="15.45" x14ac:dyDescent="0.4">
      <c r="G1169" s="1">
        <v>644</v>
      </c>
      <c r="H1169" s="1">
        <v>9190.5602088837095</v>
      </c>
      <c r="I1169" s="1">
        <v>-1</v>
      </c>
      <c r="J1169" s="1">
        <v>4746.6376599320138</v>
      </c>
      <c r="K1169" s="1">
        <v>1</v>
      </c>
      <c r="L1169" s="1">
        <v>312</v>
      </c>
      <c r="M1169" s="18">
        <v>40</v>
      </c>
      <c r="N1169" s="1">
        <v>40</v>
      </c>
      <c r="O1169" s="1">
        <v>1</v>
      </c>
      <c r="P1169" s="1">
        <v>478</v>
      </c>
      <c r="Q1169" s="1">
        <v>0</v>
      </c>
    </row>
    <row r="1170" spans="7:17" ht="15.45" x14ac:dyDescent="0.4">
      <c r="G1170" s="1">
        <v>645</v>
      </c>
      <c r="H1170" s="1">
        <v>3096.8549966315172</v>
      </c>
      <c r="I1170" s="1">
        <v>1</v>
      </c>
      <c r="J1170" s="1">
        <v>4764.2852828538917</v>
      </c>
      <c r="K1170" s="1">
        <v>1</v>
      </c>
      <c r="L1170" s="1">
        <v>313</v>
      </c>
      <c r="M1170" s="18">
        <v>40</v>
      </c>
      <c r="N1170" s="1">
        <v>40</v>
      </c>
      <c r="O1170" s="1">
        <v>1</v>
      </c>
      <c r="P1170" s="1">
        <v>479</v>
      </c>
      <c r="Q1170" s="1">
        <v>0</v>
      </c>
    </row>
    <row r="1171" spans="7:17" ht="15.45" x14ac:dyDescent="0.4">
      <c r="G1171" s="1">
        <v>646</v>
      </c>
      <c r="H1171" s="1">
        <v>9215.6349405142555</v>
      </c>
      <c r="I1171" s="1">
        <v>-1</v>
      </c>
      <c r="J1171" s="1">
        <v>4765.5238557286648</v>
      </c>
      <c r="K1171" s="1">
        <v>1</v>
      </c>
      <c r="L1171" s="1">
        <v>314</v>
      </c>
      <c r="M1171" s="18">
        <v>40</v>
      </c>
      <c r="N1171" s="1">
        <v>40</v>
      </c>
      <c r="O1171" s="1">
        <v>1</v>
      </c>
      <c r="P1171" s="1">
        <v>480</v>
      </c>
      <c r="Q1171" s="1">
        <v>0</v>
      </c>
    </row>
    <row r="1172" spans="7:17" ht="15.45" x14ac:dyDescent="0.4">
      <c r="G1172" s="1">
        <v>647</v>
      </c>
      <c r="H1172" s="1">
        <v>3121.5694040908406</v>
      </c>
      <c r="I1172" s="1">
        <v>1</v>
      </c>
      <c r="J1172" s="1">
        <v>4767.2065932224959</v>
      </c>
      <c r="K1172" s="1">
        <v>-1</v>
      </c>
      <c r="L1172" s="1">
        <v>313</v>
      </c>
      <c r="M1172" s="18">
        <v>40</v>
      </c>
      <c r="N1172" s="1">
        <v>40</v>
      </c>
      <c r="O1172" s="1">
        <v>0</v>
      </c>
      <c r="P1172" s="1">
        <v>0</v>
      </c>
      <c r="Q1172" s="1">
        <v>0</v>
      </c>
    </row>
    <row r="1173" spans="7:17" ht="15.45" x14ac:dyDescent="0.4">
      <c r="G1173" s="1">
        <v>648</v>
      </c>
      <c r="H1173" s="1">
        <v>9294.6576755266233</v>
      </c>
      <c r="I1173" s="1">
        <v>-1</v>
      </c>
      <c r="J1173" s="1">
        <v>4767.6775937995944</v>
      </c>
      <c r="K1173" s="1">
        <v>1</v>
      </c>
      <c r="L1173" s="1">
        <v>314</v>
      </c>
      <c r="M1173" s="18">
        <v>40</v>
      </c>
      <c r="N1173" s="1">
        <v>40</v>
      </c>
      <c r="O1173" s="1">
        <v>1</v>
      </c>
      <c r="P1173" s="1">
        <v>481</v>
      </c>
      <c r="Q1173" s="1">
        <v>0</v>
      </c>
    </row>
    <row r="1174" spans="7:17" ht="15.45" x14ac:dyDescent="0.4">
      <c r="G1174" s="1">
        <v>649</v>
      </c>
      <c r="H1174" s="1">
        <v>3140.4443584842047</v>
      </c>
      <c r="I1174" s="1">
        <v>1</v>
      </c>
      <c r="J1174" s="1">
        <v>4770.5760786100345</v>
      </c>
      <c r="K1174" s="1">
        <v>1</v>
      </c>
      <c r="L1174" s="1">
        <v>315</v>
      </c>
      <c r="M1174" s="18">
        <v>40</v>
      </c>
      <c r="N1174" s="1">
        <v>40</v>
      </c>
      <c r="O1174" s="1">
        <v>1</v>
      </c>
      <c r="P1174" s="1">
        <v>482</v>
      </c>
      <c r="Q1174" s="1">
        <v>0</v>
      </c>
    </row>
    <row r="1175" spans="7:17" ht="15.45" x14ac:dyDescent="0.4">
      <c r="G1175" s="1">
        <v>650</v>
      </c>
      <c r="H1175" s="1">
        <v>9318.2547729015278</v>
      </c>
      <c r="I1175" s="1">
        <v>-1</v>
      </c>
      <c r="J1175" s="1">
        <v>4771.3751820094203</v>
      </c>
      <c r="K1175" s="1">
        <v>1</v>
      </c>
      <c r="L1175" s="1">
        <v>316</v>
      </c>
      <c r="M1175" s="18">
        <v>40</v>
      </c>
      <c r="N1175" s="1">
        <v>40</v>
      </c>
      <c r="O1175" s="1">
        <v>1</v>
      </c>
      <c r="P1175" s="1">
        <v>483</v>
      </c>
      <c r="Q1175" s="1">
        <v>0</v>
      </c>
    </row>
    <row r="1176" spans="7:17" ht="15.45" x14ac:dyDescent="0.4">
      <c r="G1176" s="1">
        <v>651</v>
      </c>
      <c r="H1176" s="1">
        <v>3140.9140957938575</v>
      </c>
      <c r="I1176" s="1">
        <v>1</v>
      </c>
      <c r="J1176" s="1">
        <v>4780.2488217629116</v>
      </c>
      <c r="K1176" s="1">
        <v>1</v>
      </c>
      <c r="L1176" s="1">
        <v>317</v>
      </c>
      <c r="M1176" s="18">
        <v>40</v>
      </c>
      <c r="N1176" s="1">
        <v>40</v>
      </c>
      <c r="O1176" s="1">
        <v>1</v>
      </c>
      <c r="P1176" s="1">
        <v>484</v>
      </c>
      <c r="Q1176" s="1">
        <v>0</v>
      </c>
    </row>
    <row r="1177" spans="7:17" ht="15.45" x14ac:dyDescent="0.4">
      <c r="G1177" s="1">
        <v>652</v>
      </c>
      <c r="H1177" s="1">
        <v>9435.8940534625199</v>
      </c>
      <c r="I1177" s="1">
        <v>-1</v>
      </c>
      <c r="J1177" s="1">
        <v>4791.8152534758783</v>
      </c>
      <c r="K1177" s="1">
        <v>-1</v>
      </c>
      <c r="L1177" s="1">
        <v>316</v>
      </c>
      <c r="M1177" s="18">
        <v>40</v>
      </c>
      <c r="N1177" s="1">
        <v>40</v>
      </c>
      <c r="O1177" s="1">
        <v>0</v>
      </c>
      <c r="P1177" s="1">
        <v>0</v>
      </c>
      <c r="Q1177" s="1">
        <v>0</v>
      </c>
    </row>
    <row r="1178" spans="7:17" ht="15.45" x14ac:dyDescent="0.4">
      <c r="G1178" s="1">
        <v>653</v>
      </c>
      <c r="H1178" s="1">
        <v>3146.0208950485098</v>
      </c>
      <c r="I1178" s="1">
        <v>1</v>
      </c>
      <c r="J1178" s="1">
        <v>4800.7854686277387</v>
      </c>
      <c r="K1178" s="1">
        <v>1</v>
      </c>
      <c r="L1178" s="1">
        <v>317</v>
      </c>
      <c r="M1178" s="18">
        <v>40</v>
      </c>
      <c r="N1178" s="1">
        <v>40</v>
      </c>
      <c r="O1178" s="1">
        <v>1</v>
      </c>
      <c r="P1178" s="1">
        <v>485</v>
      </c>
      <c r="Q1178" s="1">
        <v>0</v>
      </c>
    </row>
    <row r="1179" spans="7:17" ht="15.45" x14ac:dyDescent="0.4">
      <c r="G1179" s="1">
        <v>654</v>
      </c>
      <c r="H1179" s="1">
        <v>9448.508414394817</v>
      </c>
      <c r="I1179" s="1">
        <v>-1</v>
      </c>
      <c r="J1179" s="1">
        <v>4814.1478648897555</v>
      </c>
      <c r="K1179" s="1">
        <v>1</v>
      </c>
      <c r="L1179" s="1">
        <v>318</v>
      </c>
      <c r="M1179" s="18">
        <v>40</v>
      </c>
      <c r="N1179" s="1">
        <v>40</v>
      </c>
      <c r="O1179" s="1">
        <v>1</v>
      </c>
      <c r="P1179" s="1">
        <v>486</v>
      </c>
      <c r="Q1179" s="1">
        <v>0</v>
      </c>
    </row>
    <row r="1180" spans="7:17" ht="15.45" x14ac:dyDescent="0.4">
      <c r="G1180" s="1">
        <v>655</v>
      </c>
      <c r="H1180" s="1">
        <v>3151.462969066456</v>
      </c>
      <c r="I1180" s="1">
        <v>1</v>
      </c>
      <c r="J1180" s="1">
        <v>4819.7109299474996</v>
      </c>
      <c r="K1180" s="1">
        <v>1</v>
      </c>
      <c r="L1180" s="1">
        <v>319</v>
      </c>
      <c r="M1180" s="18">
        <v>40</v>
      </c>
      <c r="N1180" s="1">
        <v>40</v>
      </c>
      <c r="O1180" s="1">
        <v>1</v>
      </c>
      <c r="P1180" s="1">
        <v>487</v>
      </c>
      <c r="Q1180" s="1">
        <v>0</v>
      </c>
    </row>
    <row r="1181" spans="7:17" ht="15.45" x14ac:dyDescent="0.4">
      <c r="G1181" s="1">
        <v>656</v>
      </c>
      <c r="H1181" s="1">
        <v>9474.9379313417958</v>
      </c>
      <c r="I1181" s="1">
        <v>-1</v>
      </c>
      <c r="J1181" s="1">
        <v>4820.2276539822869</v>
      </c>
      <c r="K1181" s="1">
        <v>1</v>
      </c>
      <c r="L1181" s="1">
        <v>320</v>
      </c>
      <c r="M1181" s="18">
        <v>40</v>
      </c>
      <c r="N1181" s="1">
        <v>40</v>
      </c>
      <c r="O1181" s="1">
        <v>1</v>
      </c>
      <c r="P1181" s="1">
        <v>488</v>
      </c>
      <c r="Q1181" s="1">
        <v>0</v>
      </c>
    </row>
    <row r="1182" spans="7:17" ht="15.45" x14ac:dyDescent="0.4">
      <c r="G1182" s="1">
        <v>657</v>
      </c>
      <c r="H1182" s="1">
        <v>3169.3328259475675</v>
      </c>
      <c r="I1182" s="1">
        <v>1</v>
      </c>
      <c r="J1182" s="1">
        <v>4821.2847932691466</v>
      </c>
      <c r="K1182" s="1">
        <v>1</v>
      </c>
      <c r="L1182" s="1">
        <v>321</v>
      </c>
      <c r="M1182" s="18">
        <v>40</v>
      </c>
      <c r="N1182" s="1">
        <v>40</v>
      </c>
      <c r="O1182" s="1">
        <v>1</v>
      </c>
      <c r="P1182" s="1">
        <v>489</v>
      </c>
      <c r="Q1182" s="1">
        <v>0</v>
      </c>
    </row>
    <row r="1183" spans="7:17" ht="15.45" x14ac:dyDescent="0.4">
      <c r="G1183" s="1">
        <v>658</v>
      </c>
      <c r="H1183" s="1">
        <v>9487.749739118759</v>
      </c>
      <c r="I1183" s="1">
        <v>-1</v>
      </c>
      <c r="J1183" s="1">
        <v>4827.8651471832854</v>
      </c>
      <c r="K1183" s="1">
        <v>-1</v>
      </c>
      <c r="L1183" s="1">
        <v>320</v>
      </c>
      <c r="M1183" s="18">
        <v>40</v>
      </c>
      <c r="N1183" s="1">
        <v>39</v>
      </c>
      <c r="O1183" s="1">
        <v>0</v>
      </c>
      <c r="P1183" s="1">
        <v>0</v>
      </c>
      <c r="Q1183" s="1">
        <v>0</v>
      </c>
    </row>
    <row r="1184" spans="7:17" ht="15.45" x14ac:dyDescent="0.4">
      <c r="G1184" s="1">
        <v>659</v>
      </c>
      <c r="H1184" s="1">
        <v>3188.876338539209</v>
      </c>
      <c r="I1184" s="1">
        <v>1</v>
      </c>
      <c r="J1184" s="1">
        <v>4828.6788580936736</v>
      </c>
      <c r="K1184" s="1">
        <v>1</v>
      </c>
      <c r="L1184" s="1">
        <v>321</v>
      </c>
      <c r="M1184" s="18">
        <v>40</v>
      </c>
      <c r="N1184" s="1">
        <v>40</v>
      </c>
      <c r="O1184" s="1">
        <v>0</v>
      </c>
      <c r="P1184" s="1">
        <v>0</v>
      </c>
      <c r="Q1184" s="1">
        <v>0</v>
      </c>
    </row>
    <row r="1185" spans="7:17" ht="15.45" x14ac:dyDescent="0.4">
      <c r="G1185" s="1">
        <v>660</v>
      </c>
      <c r="H1185" s="1">
        <v>9498.2286058684585</v>
      </c>
      <c r="I1185" s="1">
        <v>-1</v>
      </c>
      <c r="J1185" s="1">
        <v>4829.0719402895038</v>
      </c>
      <c r="K1185" s="1">
        <v>1</v>
      </c>
      <c r="L1185" s="1">
        <v>322</v>
      </c>
      <c r="M1185" s="18">
        <v>40</v>
      </c>
      <c r="N1185" s="1">
        <v>40</v>
      </c>
      <c r="O1185" s="1">
        <v>1</v>
      </c>
      <c r="P1185" s="1">
        <v>491</v>
      </c>
      <c r="Q1185" s="1">
        <v>0</v>
      </c>
    </row>
    <row r="1186" spans="7:17" ht="15.45" x14ac:dyDescent="0.4">
      <c r="G1186" s="1">
        <v>661</v>
      </c>
      <c r="H1186" s="1">
        <v>3188.9807295947148</v>
      </c>
      <c r="I1186" s="1">
        <v>1</v>
      </c>
      <c r="J1186" s="1">
        <v>4830.5277295620908</v>
      </c>
      <c r="K1186" s="1">
        <v>1</v>
      </c>
      <c r="L1186" s="1">
        <v>323</v>
      </c>
      <c r="M1186" s="18">
        <v>40</v>
      </c>
      <c r="N1186" s="1">
        <v>40</v>
      </c>
      <c r="O1186" s="1">
        <v>1</v>
      </c>
      <c r="P1186" s="1">
        <v>492</v>
      </c>
      <c r="Q1186" s="1">
        <v>0</v>
      </c>
    </row>
    <row r="1187" spans="7:17" ht="15.45" x14ac:dyDescent="0.4">
      <c r="G1187" s="1">
        <v>662</v>
      </c>
      <c r="H1187" s="1">
        <v>9503.7343985796524</v>
      </c>
      <c r="I1187" s="1">
        <v>-1</v>
      </c>
      <c r="J1187" s="1">
        <v>4836.0168875553927</v>
      </c>
      <c r="K1187" s="1">
        <v>1</v>
      </c>
      <c r="L1187" s="1">
        <v>324</v>
      </c>
      <c r="M1187" s="18">
        <v>40</v>
      </c>
      <c r="N1187" s="1">
        <v>40</v>
      </c>
      <c r="O1187" s="1">
        <v>1</v>
      </c>
      <c r="P1187" s="1">
        <v>493</v>
      </c>
      <c r="Q1187" s="1">
        <v>0</v>
      </c>
    </row>
    <row r="1188" spans="7:17" ht="15.45" x14ac:dyDescent="0.4">
      <c r="G1188" s="1">
        <v>663</v>
      </c>
      <c r="H1188" s="1">
        <v>3195.9223661374726</v>
      </c>
      <c r="I1188" s="1">
        <v>1</v>
      </c>
      <c r="J1188" s="1">
        <v>4837.2039599456793</v>
      </c>
      <c r="K1188" s="1">
        <v>-1</v>
      </c>
      <c r="L1188" s="1">
        <v>323</v>
      </c>
      <c r="M1188" s="18">
        <v>40</v>
      </c>
      <c r="N1188" s="1">
        <v>40</v>
      </c>
      <c r="O1188" s="1">
        <v>0</v>
      </c>
      <c r="P1188" s="1">
        <v>0</v>
      </c>
      <c r="Q1188" s="1">
        <v>0</v>
      </c>
    </row>
    <row r="1189" spans="7:17" ht="15.45" x14ac:dyDescent="0.4">
      <c r="G1189" s="1">
        <v>664</v>
      </c>
      <c r="H1189" s="1">
        <v>9527.1566462414394</v>
      </c>
      <c r="I1189" s="1">
        <v>-1</v>
      </c>
      <c r="J1189" s="1">
        <v>4840.353697302171</v>
      </c>
      <c r="K1189" s="1">
        <v>1</v>
      </c>
      <c r="L1189" s="1">
        <v>324</v>
      </c>
      <c r="M1189" s="18">
        <v>40</v>
      </c>
      <c r="N1189" s="1">
        <v>40</v>
      </c>
      <c r="O1189" s="1">
        <v>1</v>
      </c>
      <c r="P1189" s="1">
        <v>494</v>
      </c>
      <c r="Q1189" s="1">
        <v>0</v>
      </c>
    </row>
    <row r="1190" spans="7:17" ht="15.45" x14ac:dyDescent="0.4">
      <c r="G1190" s="1">
        <v>665</v>
      </c>
      <c r="H1190" s="1">
        <v>3197.0788130611199</v>
      </c>
      <c r="I1190" s="1">
        <v>1</v>
      </c>
      <c r="J1190" s="1">
        <v>4859.9149510153129</v>
      </c>
      <c r="K1190" s="1">
        <v>-1</v>
      </c>
      <c r="L1190" s="1">
        <v>323</v>
      </c>
      <c r="M1190" s="18">
        <v>40</v>
      </c>
      <c r="N1190" s="1">
        <v>40</v>
      </c>
      <c r="O1190" s="1">
        <v>0</v>
      </c>
      <c r="P1190" s="1">
        <v>0</v>
      </c>
      <c r="Q1190" s="1">
        <v>0</v>
      </c>
    </row>
    <row r="1191" spans="7:17" ht="15.45" x14ac:dyDescent="0.4">
      <c r="G1191" s="1">
        <v>666</v>
      </c>
      <c r="H1191" s="1">
        <v>9546.9204519807208</v>
      </c>
      <c r="I1191" s="1">
        <v>-1</v>
      </c>
      <c r="J1191" s="1">
        <v>4881.6695647333736</v>
      </c>
      <c r="K1191" s="1">
        <v>-1</v>
      </c>
      <c r="L1191" s="1">
        <v>322</v>
      </c>
      <c r="M1191" s="18">
        <v>40</v>
      </c>
      <c r="N1191" s="1">
        <v>40</v>
      </c>
      <c r="O1191" s="1">
        <v>0</v>
      </c>
      <c r="P1191" s="1">
        <v>0</v>
      </c>
      <c r="Q1191" s="1">
        <v>0</v>
      </c>
    </row>
    <row r="1192" spans="7:17" ht="15.45" x14ac:dyDescent="0.4">
      <c r="G1192" s="1">
        <v>667</v>
      </c>
      <c r="H1192" s="1">
        <v>3209.2287902756789</v>
      </c>
      <c r="I1192" s="1">
        <v>1</v>
      </c>
      <c r="J1192" s="1">
        <v>4894.0484770511584</v>
      </c>
      <c r="K1192" s="1">
        <v>1</v>
      </c>
      <c r="L1192" s="1">
        <v>323</v>
      </c>
      <c r="M1192" s="18">
        <v>40</v>
      </c>
      <c r="N1192" s="1">
        <v>40</v>
      </c>
      <c r="O1192" s="1">
        <v>1</v>
      </c>
      <c r="P1192" s="1">
        <v>495</v>
      </c>
      <c r="Q1192" s="1">
        <v>0</v>
      </c>
    </row>
    <row r="1193" spans="7:17" ht="15.45" x14ac:dyDescent="0.4">
      <c r="G1193" s="1">
        <v>668</v>
      </c>
      <c r="H1193" s="1">
        <v>9619.0784889477618</v>
      </c>
      <c r="I1193" s="1">
        <v>-1</v>
      </c>
      <c r="J1193" s="1">
        <v>4897.2594233186073</v>
      </c>
      <c r="K1193" s="1">
        <v>1</v>
      </c>
      <c r="L1193" s="1">
        <v>324</v>
      </c>
      <c r="M1193" s="18">
        <v>40</v>
      </c>
      <c r="N1193" s="1">
        <v>40</v>
      </c>
      <c r="O1193" s="1">
        <v>1</v>
      </c>
      <c r="P1193" s="1">
        <v>496</v>
      </c>
      <c r="Q1193" s="1">
        <v>0</v>
      </c>
    </row>
    <row r="1194" spans="7:17" ht="15.45" x14ac:dyDescent="0.4">
      <c r="G1194" s="1">
        <v>669</v>
      </c>
      <c r="H1194" s="1">
        <v>3247.0062815441115</v>
      </c>
      <c r="I1194" s="1">
        <v>1</v>
      </c>
      <c r="J1194" s="1">
        <v>4912.2152410668814</v>
      </c>
      <c r="K1194" s="1">
        <v>1</v>
      </c>
      <c r="L1194" s="1">
        <v>325</v>
      </c>
      <c r="M1194" s="18">
        <v>40</v>
      </c>
      <c r="N1194" s="1">
        <v>40</v>
      </c>
      <c r="O1194" s="1">
        <v>1</v>
      </c>
      <c r="P1194" s="1">
        <v>497</v>
      </c>
      <c r="Q1194" s="1">
        <v>0</v>
      </c>
    </row>
    <row r="1195" spans="7:17" ht="15.45" x14ac:dyDescent="0.4">
      <c r="G1195" s="1">
        <v>670</v>
      </c>
      <c r="H1195" s="1">
        <v>9647.3208199798828</v>
      </c>
      <c r="I1195" s="1">
        <v>-1</v>
      </c>
      <c r="J1195" s="1">
        <v>4927.2822262272484</v>
      </c>
      <c r="K1195" s="1">
        <v>1</v>
      </c>
      <c r="L1195" s="1">
        <v>326</v>
      </c>
      <c r="M1195" s="18">
        <v>40</v>
      </c>
      <c r="N1195" s="1">
        <v>40</v>
      </c>
      <c r="O1195" s="1">
        <v>1</v>
      </c>
      <c r="P1195" s="1">
        <v>498</v>
      </c>
      <c r="Q1195" s="1">
        <v>0</v>
      </c>
    </row>
    <row r="1196" spans="7:17" ht="15.45" x14ac:dyDescent="0.4">
      <c r="G1196" s="1">
        <v>671</v>
      </c>
      <c r="H1196" s="1">
        <v>3256.9885034984504</v>
      </c>
      <c r="I1196" s="1">
        <v>1</v>
      </c>
      <c r="J1196" s="1">
        <v>4930.7138028741128</v>
      </c>
      <c r="K1196" s="1">
        <v>1</v>
      </c>
      <c r="L1196" s="1">
        <v>327</v>
      </c>
      <c r="M1196" s="18">
        <v>40</v>
      </c>
      <c r="N1196" s="1">
        <v>40</v>
      </c>
      <c r="O1196" s="1">
        <v>1</v>
      </c>
      <c r="P1196" s="1">
        <v>499</v>
      </c>
      <c r="Q1196" s="1">
        <v>0</v>
      </c>
    </row>
    <row r="1197" spans="7:17" ht="15.45" x14ac:dyDescent="0.4">
      <c r="G1197" s="1">
        <v>672</v>
      </c>
      <c r="H1197" s="1">
        <v>9697.5512565331919</v>
      </c>
      <c r="I1197" s="1">
        <v>-1</v>
      </c>
      <c r="J1197" s="1">
        <v>4933.5467650109904</v>
      </c>
      <c r="K1197" s="1">
        <v>-1</v>
      </c>
      <c r="L1197" s="1">
        <v>326</v>
      </c>
      <c r="M1197" s="18">
        <v>40</v>
      </c>
      <c r="N1197" s="1">
        <v>40</v>
      </c>
      <c r="O1197" s="1">
        <v>0</v>
      </c>
      <c r="P1197" s="1">
        <v>0</v>
      </c>
      <c r="Q1197" s="1">
        <v>0</v>
      </c>
    </row>
    <row r="1198" spans="7:17" ht="15.45" x14ac:dyDescent="0.4">
      <c r="G1198" s="1">
        <v>673</v>
      </c>
      <c r="H1198" s="1">
        <v>3270.9093885045872</v>
      </c>
      <c r="I1198" s="1">
        <v>1</v>
      </c>
      <c r="J1198" s="1">
        <v>4936.9589494145794</v>
      </c>
      <c r="K1198" s="1">
        <v>1</v>
      </c>
      <c r="L1198" s="1">
        <v>327</v>
      </c>
      <c r="M1198" s="18">
        <v>40</v>
      </c>
      <c r="N1198" s="1">
        <v>40</v>
      </c>
      <c r="O1198" s="1">
        <v>1</v>
      </c>
      <c r="P1198" s="1">
        <v>500</v>
      </c>
      <c r="Q1198" s="1">
        <v>0</v>
      </c>
    </row>
    <row r="1199" spans="7:17" ht="15.45" x14ac:dyDescent="0.4">
      <c r="G1199" s="1">
        <v>674</v>
      </c>
      <c r="H1199" s="1">
        <v>9771.6944789111622</v>
      </c>
      <c r="I1199" s="1">
        <v>-1</v>
      </c>
      <c r="J1199" s="1">
        <v>4999.0392607487374</v>
      </c>
      <c r="K1199" s="1">
        <v>-1</v>
      </c>
      <c r="L1199" s="1">
        <v>326</v>
      </c>
      <c r="M1199" s="18">
        <v>40</v>
      </c>
      <c r="N1199" s="1">
        <v>40</v>
      </c>
      <c r="O1199" s="1">
        <v>0</v>
      </c>
      <c r="P1199" s="1">
        <v>0</v>
      </c>
      <c r="Q1199" s="1">
        <v>0</v>
      </c>
    </row>
    <row r="1200" spans="7:17" ht="15.45" x14ac:dyDescent="0.4">
      <c r="G1200" s="1">
        <v>675</v>
      </c>
      <c r="H1200" s="1">
        <v>3271.8857272485693</v>
      </c>
      <c r="I1200" s="1">
        <v>1</v>
      </c>
      <c r="J1200" s="1">
        <v>5080.5182611328401</v>
      </c>
      <c r="K1200" s="1">
        <v>-1</v>
      </c>
      <c r="L1200" s="1">
        <v>325</v>
      </c>
      <c r="M1200" s="18">
        <v>40</v>
      </c>
      <c r="N1200" s="1">
        <v>40</v>
      </c>
      <c r="O1200" s="1">
        <v>0</v>
      </c>
      <c r="P1200" s="1">
        <v>0</v>
      </c>
      <c r="Q1200" s="1">
        <v>0</v>
      </c>
    </row>
    <row r="1201" spans="7:17" ht="15.45" x14ac:dyDescent="0.4">
      <c r="G1201" s="1">
        <v>676</v>
      </c>
      <c r="H1201" s="1">
        <v>9828.3193420912539</v>
      </c>
      <c r="I1201" s="1">
        <v>-1</v>
      </c>
      <c r="J1201" s="1">
        <v>5127.1303907556512</v>
      </c>
      <c r="K1201" s="1">
        <v>-1</v>
      </c>
      <c r="L1201" s="1">
        <v>324</v>
      </c>
      <c r="M1201" s="18">
        <v>40</v>
      </c>
      <c r="N1201" s="1">
        <v>39</v>
      </c>
      <c r="O1201" s="1">
        <v>0</v>
      </c>
      <c r="P1201" s="1">
        <v>0</v>
      </c>
      <c r="Q1201" s="1">
        <v>0</v>
      </c>
    </row>
    <row r="1202" spans="7:17" ht="15.45" x14ac:dyDescent="0.4">
      <c r="G1202" s="1">
        <v>677</v>
      </c>
      <c r="H1202" s="1">
        <v>3274.9393441506541</v>
      </c>
      <c r="I1202" s="1">
        <v>1</v>
      </c>
      <c r="J1202" s="1">
        <v>5136.0013332566132</v>
      </c>
      <c r="K1202" s="1">
        <v>-1</v>
      </c>
      <c r="L1202" s="1">
        <v>323</v>
      </c>
      <c r="M1202" s="18">
        <v>40</v>
      </c>
      <c r="N1202" s="1">
        <v>38</v>
      </c>
      <c r="O1202" s="1">
        <v>0</v>
      </c>
      <c r="P1202" s="1">
        <v>0</v>
      </c>
      <c r="Q1202" s="1">
        <v>0</v>
      </c>
    </row>
    <row r="1203" spans="7:17" ht="15.45" x14ac:dyDescent="0.4">
      <c r="G1203" s="1">
        <v>678</v>
      </c>
      <c r="H1203" s="1">
        <v>9829.728554020212</v>
      </c>
      <c r="I1203" s="1">
        <v>-1</v>
      </c>
      <c r="J1203" s="1">
        <v>5160.8933139496066</v>
      </c>
      <c r="K1203" s="1">
        <v>-1</v>
      </c>
      <c r="L1203" s="1">
        <v>322</v>
      </c>
      <c r="M1203" s="18">
        <v>40</v>
      </c>
      <c r="N1203" s="1">
        <v>38</v>
      </c>
      <c r="O1203" s="1">
        <v>0</v>
      </c>
      <c r="P1203" s="1">
        <v>0</v>
      </c>
      <c r="Q1203" s="1">
        <v>0</v>
      </c>
    </row>
    <row r="1204" spans="7:17" ht="15.45" x14ac:dyDescent="0.4">
      <c r="G1204" s="1">
        <v>679</v>
      </c>
      <c r="H1204" s="1">
        <v>3275.3622930241063</v>
      </c>
      <c r="I1204" s="1">
        <v>1</v>
      </c>
      <c r="J1204" s="1">
        <v>5177.0002102474618</v>
      </c>
      <c r="K1204" s="1">
        <v>-1</v>
      </c>
      <c r="L1204" s="1">
        <v>321</v>
      </c>
      <c r="M1204" s="18">
        <v>40</v>
      </c>
      <c r="N1204" s="1">
        <v>38</v>
      </c>
      <c r="O1204" s="1">
        <v>0</v>
      </c>
      <c r="P1204" s="1">
        <v>0</v>
      </c>
      <c r="Q1204" s="1">
        <v>0</v>
      </c>
    </row>
    <row r="1205" spans="7:17" ht="15.45" x14ac:dyDescent="0.4">
      <c r="G1205" s="1">
        <v>680</v>
      </c>
      <c r="H1205" s="1">
        <v>9845.0489517841688</v>
      </c>
      <c r="I1205" s="1">
        <v>-1</v>
      </c>
      <c r="J1205" s="1">
        <v>5179.6885721437229</v>
      </c>
      <c r="K1205" s="1">
        <v>-1</v>
      </c>
      <c r="L1205" s="1">
        <v>320</v>
      </c>
      <c r="M1205" s="18">
        <v>40</v>
      </c>
      <c r="N1205" s="1">
        <v>38</v>
      </c>
      <c r="O1205" s="1">
        <v>0</v>
      </c>
      <c r="P1205" s="1">
        <v>0</v>
      </c>
      <c r="Q1205" s="1">
        <v>0</v>
      </c>
    </row>
    <row r="1206" spans="7:17" ht="15.45" x14ac:dyDescent="0.4">
      <c r="G1206" s="1">
        <v>681</v>
      </c>
      <c r="H1206" s="1">
        <v>3286.9065569717109</v>
      </c>
      <c r="I1206" s="1">
        <v>1</v>
      </c>
      <c r="J1206" s="1">
        <v>5223.2153854569915</v>
      </c>
      <c r="K1206" s="1">
        <v>-1</v>
      </c>
      <c r="L1206" s="1">
        <v>319</v>
      </c>
      <c r="M1206" s="18">
        <v>40</v>
      </c>
      <c r="N1206" s="1">
        <v>38</v>
      </c>
      <c r="O1206" s="1">
        <v>0</v>
      </c>
      <c r="P1206" s="1">
        <v>0</v>
      </c>
      <c r="Q1206" s="1">
        <v>0</v>
      </c>
    </row>
    <row r="1207" spans="7:17" ht="15.45" x14ac:dyDescent="0.4">
      <c r="G1207" s="1">
        <v>682</v>
      </c>
      <c r="H1207" s="1">
        <v>9861.375173838007</v>
      </c>
      <c r="I1207" s="1">
        <v>-1</v>
      </c>
      <c r="J1207" s="1">
        <v>5272.8428156007658</v>
      </c>
      <c r="K1207" s="1">
        <v>-1</v>
      </c>
      <c r="L1207" s="1">
        <v>318</v>
      </c>
      <c r="M1207" s="18">
        <v>40</v>
      </c>
      <c r="N1207" s="1">
        <v>38</v>
      </c>
      <c r="O1207" s="1">
        <v>0</v>
      </c>
      <c r="P1207" s="1">
        <v>0</v>
      </c>
      <c r="Q1207" s="1">
        <v>0</v>
      </c>
    </row>
    <row r="1208" spans="7:17" ht="15.45" x14ac:dyDescent="0.4">
      <c r="G1208" s="1">
        <v>683</v>
      </c>
      <c r="H1208" s="1">
        <v>3295.8805407002369</v>
      </c>
      <c r="I1208" s="1">
        <v>1</v>
      </c>
      <c r="J1208" s="1">
        <v>5279.0365821198538</v>
      </c>
      <c r="K1208" s="1">
        <v>-1</v>
      </c>
      <c r="L1208" s="1">
        <v>317</v>
      </c>
      <c r="M1208" s="18">
        <v>40</v>
      </c>
      <c r="N1208" s="1">
        <v>38</v>
      </c>
      <c r="O1208" s="1">
        <v>0</v>
      </c>
      <c r="P1208" s="1">
        <v>0</v>
      </c>
      <c r="Q1208" s="1">
        <v>0</v>
      </c>
    </row>
    <row r="1209" spans="7:17" ht="15.45" x14ac:dyDescent="0.4">
      <c r="G1209" s="1">
        <v>684</v>
      </c>
      <c r="H1209" s="1">
        <v>9914.9847444813404</v>
      </c>
      <c r="I1209" s="1">
        <v>-1</v>
      </c>
      <c r="J1209" s="1">
        <v>5321.2745973014089</v>
      </c>
      <c r="K1209" s="1">
        <v>-1</v>
      </c>
      <c r="L1209" s="1">
        <v>316</v>
      </c>
      <c r="M1209" s="18">
        <v>40</v>
      </c>
      <c r="N1209" s="1">
        <v>38</v>
      </c>
      <c r="O1209" s="1">
        <v>0</v>
      </c>
      <c r="P1209" s="1">
        <v>0</v>
      </c>
      <c r="Q1209" s="1">
        <v>0</v>
      </c>
    </row>
    <row r="1210" spans="7:17" ht="15.45" x14ac:dyDescent="0.4">
      <c r="G1210" s="1">
        <v>685</v>
      </c>
      <c r="H1210" s="1">
        <v>3305.1239245289521</v>
      </c>
      <c r="I1210" s="1">
        <v>1</v>
      </c>
      <c r="J1210" s="1">
        <v>5376.0076505039387</v>
      </c>
      <c r="K1210" s="1">
        <v>-1</v>
      </c>
      <c r="L1210" s="1">
        <v>315</v>
      </c>
      <c r="M1210" s="18">
        <v>40</v>
      </c>
      <c r="N1210" s="1">
        <v>37</v>
      </c>
      <c r="O1210" s="1">
        <v>0</v>
      </c>
      <c r="P1210" s="1">
        <v>0</v>
      </c>
      <c r="Q1210" s="1">
        <v>0</v>
      </c>
    </row>
    <row r="1211" spans="7:17" ht="15.45" x14ac:dyDescent="0.4">
      <c r="G1211" s="1">
        <v>686</v>
      </c>
      <c r="H1211" s="1">
        <v>9973.6152822562653</v>
      </c>
      <c r="I1211" s="1">
        <v>-1</v>
      </c>
      <c r="J1211" s="1">
        <v>5378.5501709493929</v>
      </c>
      <c r="K1211" s="1">
        <v>-1</v>
      </c>
      <c r="L1211" s="1">
        <v>314</v>
      </c>
      <c r="M1211" s="18">
        <v>40</v>
      </c>
      <c r="N1211" s="1">
        <v>37</v>
      </c>
      <c r="O1211" s="1">
        <v>0</v>
      </c>
      <c r="P1211" s="1">
        <v>0</v>
      </c>
      <c r="Q1211" s="1">
        <v>0</v>
      </c>
    </row>
    <row r="1212" spans="7:17" ht="15.45" x14ac:dyDescent="0.4">
      <c r="G1212" s="1">
        <v>687</v>
      </c>
      <c r="H1212" s="1">
        <v>3313.5779445798889</v>
      </c>
      <c r="I1212" s="1">
        <v>1</v>
      </c>
      <c r="J1212" s="1">
        <v>5389.147520450234</v>
      </c>
      <c r="K1212" s="1">
        <v>-1</v>
      </c>
      <c r="L1212" s="1">
        <v>313</v>
      </c>
      <c r="M1212" s="18">
        <v>40</v>
      </c>
      <c r="N1212" s="1">
        <v>37</v>
      </c>
      <c r="O1212" s="1">
        <v>0</v>
      </c>
      <c r="P1212" s="1">
        <v>0</v>
      </c>
      <c r="Q1212" s="1">
        <v>0</v>
      </c>
    </row>
    <row r="1213" spans="7:17" ht="15.45" x14ac:dyDescent="0.4">
      <c r="G1213" s="1">
        <v>688</v>
      </c>
      <c r="H1213" s="1">
        <v>9973.9284554227834</v>
      </c>
      <c r="I1213" s="1">
        <v>-1</v>
      </c>
      <c r="J1213" s="1">
        <v>5426.6774443707873</v>
      </c>
      <c r="K1213" s="1">
        <v>-1</v>
      </c>
      <c r="L1213" s="1">
        <v>312</v>
      </c>
      <c r="M1213" s="18">
        <v>40</v>
      </c>
      <c r="N1213" s="1">
        <v>37</v>
      </c>
      <c r="O1213" s="1">
        <v>0</v>
      </c>
      <c r="P1213" s="1">
        <v>0</v>
      </c>
      <c r="Q1213" s="1">
        <v>0</v>
      </c>
    </row>
    <row r="1214" spans="7:17" ht="15.45" x14ac:dyDescent="0.4">
      <c r="G1214" s="1">
        <v>689</v>
      </c>
      <c r="H1214" s="1">
        <v>3324.5912621143602</v>
      </c>
      <c r="I1214" s="1">
        <v>1</v>
      </c>
      <c r="J1214" s="1">
        <v>5517.5759751233154</v>
      </c>
      <c r="K1214" s="1">
        <v>-1</v>
      </c>
      <c r="L1214" s="1">
        <v>311</v>
      </c>
      <c r="M1214" s="18">
        <v>40</v>
      </c>
      <c r="N1214" s="1">
        <v>36</v>
      </c>
      <c r="O1214" s="1">
        <v>0</v>
      </c>
      <c r="P1214" s="1">
        <v>0</v>
      </c>
      <c r="Q1214" s="1">
        <v>0</v>
      </c>
    </row>
    <row r="1215" spans="7:17" ht="15.45" x14ac:dyDescent="0.4">
      <c r="G1215" s="1">
        <v>690</v>
      </c>
      <c r="H1215" s="1">
        <v>9994.7533650510577</v>
      </c>
      <c r="I1215" s="1">
        <v>-1</v>
      </c>
      <c r="J1215" s="1">
        <v>5556.4985442969473</v>
      </c>
      <c r="K1215" s="1">
        <v>-1</v>
      </c>
      <c r="L1215" s="1">
        <v>310</v>
      </c>
      <c r="M1215" s="18">
        <v>40</v>
      </c>
      <c r="N1215" s="1">
        <v>36</v>
      </c>
      <c r="O1215" s="1">
        <v>0</v>
      </c>
      <c r="P1215" s="1">
        <v>0</v>
      </c>
      <c r="Q1215" s="1">
        <v>0</v>
      </c>
    </row>
    <row r="1216" spans="7:17" ht="15.45" x14ac:dyDescent="0.4">
      <c r="G1216" s="1">
        <v>691</v>
      </c>
      <c r="H1216" s="1">
        <v>3329.2160570293486</v>
      </c>
      <c r="I1216" s="1">
        <v>1</v>
      </c>
      <c r="J1216" s="1">
        <v>5574.998274935776</v>
      </c>
      <c r="K1216" s="1">
        <v>-1</v>
      </c>
      <c r="L1216" s="1">
        <v>309</v>
      </c>
      <c r="M1216" s="18">
        <v>40</v>
      </c>
      <c r="N1216" s="1">
        <v>36</v>
      </c>
      <c r="O1216" s="1">
        <v>0</v>
      </c>
      <c r="P1216" s="1">
        <v>0</v>
      </c>
      <c r="Q1216" s="1">
        <v>0</v>
      </c>
    </row>
    <row r="1217" spans="7:17" ht="15.45" x14ac:dyDescent="0.4">
      <c r="G1217" s="1">
        <v>692</v>
      </c>
      <c r="H1217" s="1">
        <v>9998.2227058219996</v>
      </c>
      <c r="I1217" s="1">
        <v>-1</v>
      </c>
      <c r="J1217" s="1">
        <v>5674.3980691774468</v>
      </c>
      <c r="K1217" s="1">
        <v>-1</v>
      </c>
      <c r="L1217" s="1">
        <v>308</v>
      </c>
      <c r="M1217" s="18">
        <v>40</v>
      </c>
      <c r="N1217" s="1">
        <v>36</v>
      </c>
      <c r="O1217" s="1">
        <v>0</v>
      </c>
      <c r="P1217" s="1">
        <v>0</v>
      </c>
      <c r="Q1217" s="1">
        <v>0</v>
      </c>
    </row>
    <row r="1218" spans="7:17" ht="15.45" x14ac:dyDescent="0.4">
      <c r="G1218" s="1">
        <v>693</v>
      </c>
      <c r="H1218" s="1">
        <v>3331.7743241647199</v>
      </c>
      <c r="I1218" s="1">
        <v>1</v>
      </c>
      <c r="J1218" s="1">
        <v>5690.2870711199184</v>
      </c>
      <c r="K1218" s="1">
        <v>-1</v>
      </c>
      <c r="L1218" s="1">
        <v>307</v>
      </c>
      <c r="M1218" s="18">
        <v>40</v>
      </c>
      <c r="N1218" s="1">
        <v>36</v>
      </c>
      <c r="O1218" s="1">
        <v>0</v>
      </c>
      <c r="P1218" s="1">
        <v>0</v>
      </c>
      <c r="Q1218" s="1">
        <v>0</v>
      </c>
    </row>
    <row r="1219" spans="7:17" ht="15.45" x14ac:dyDescent="0.4">
      <c r="G1219" s="1">
        <v>694</v>
      </c>
      <c r="H1219" s="1">
        <v>10034.672637465676</v>
      </c>
      <c r="I1219" s="1">
        <v>-1</v>
      </c>
      <c r="J1219" s="1">
        <v>5704.9141848784102</v>
      </c>
      <c r="K1219" s="1">
        <v>-1</v>
      </c>
      <c r="L1219" s="1">
        <v>306</v>
      </c>
      <c r="M1219" s="18">
        <v>40</v>
      </c>
      <c r="N1219" s="1">
        <v>35</v>
      </c>
      <c r="O1219" s="1">
        <v>0</v>
      </c>
      <c r="P1219" s="1">
        <v>0</v>
      </c>
      <c r="Q1219" s="1">
        <v>0</v>
      </c>
    </row>
    <row r="1220" spans="7:17" ht="15.45" x14ac:dyDescent="0.4">
      <c r="G1220" s="1">
        <v>695</v>
      </c>
      <c r="H1220" s="1">
        <v>3336.4674779405755</v>
      </c>
      <c r="I1220" s="1">
        <v>1</v>
      </c>
      <c r="J1220" s="1">
        <v>5780.3281671422392</v>
      </c>
      <c r="K1220" s="1">
        <v>-1</v>
      </c>
      <c r="L1220" s="1">
        <v>305</v>
      </c>
      <c r="M1220" s="18">
        <v>40</v>
      </c>
      <c r="N1220" s="1">
        <v>35</v>
      </c>
      <c r="O1220" s="1">
        <v>0</v>
      </c>
      <c r="P1220" s="1">
        <v>0</v>
      </c>
      <c r="Q1220" s="1">
        <v>0</v>
      </c>
    </row>
    <row r="1221" spans="7:17" ht="15.45" x14ac:dyDescent="0.4">
      <c r="G1221" s="1">
        <v>696</v>
      </c>
      <c r="H1221" s="1">
        <v>10148.005111270973</v>
      </c>
      <c r="I1221" s="1">
        <v>-1</v>
      </c>
      <c r="J1221" s="1">
        <v>5806.1670277638732</v>
      </c>
      <c r="K1221" s="1">
        <v>-1</v>
      </c>
      <c r="L1221" s="1">
        <v>304</v>
      </c>
      <c r="M1221" s="18">
        <v>40</v>
      </c>
      <c r="N1221" s="1">
        <v>35</v>
      </c>
      <c r="O1221" s="1">
        <v>0</v>
      </c>
      <c r="P1221" s="1">
        <v>0</v>
      </c>
      <c r="Q1221" s="1">
        <v>0</v>
      </c>
    </row>
    <row r="1222" spans="7:17" ht="15.45" x14ac:dyDescent="0.4">
      <c r="G1222" s="1">
        <v>697</v>
      </c>
      <c r="H1222" s="1">
        <v>3365.6934212813476</v>
      </c>
      <c r="I1222" s="1">
        <v>1</v>
      </c>
      <c r="J1222" s="1">
        <v>5875.3590426447836</v>
      </c>
      <c r="K1222" s="1">
        <v>-1</v>
      </c>
      <c r="L1222" s="1">
        <v>303</v>
      </c>
      <c r="M1222" s="18">
        <v>40</v>
      </c>
      <c r="N1222" s="1">
        <v>35</v>
      </c>
      <c r="O1222" s="1">
        <v>0</v>
      </c>
      <c r="P1222" s="1">
        <v>0</v>
      </c>
      <c r="Q1222" s="1">
        <v>0</v>
      </c>
    </row>
    <row r="1223" spans="7:17" ht="15.45" x14ac:dyDescent="0.4">
      <c r="G1223" s="1">
        <v>698</v>
      </c>
      <c r="H1223" s="1">
        <v>10177.951777133991</v>
      </c>
      <c r="I1223" s="1">
        <v>-1</v>
      </c>
      <c r="J1223" s="1">
        <v>5906.1917074698722</v>
      </c>
      <c r="K1223" s="1">
        <v>-1</v>
      </c>
      <c r="L1223" s="1">
        <v>302</v>
      </c>
      <c r="M1223" s="18">
        <v>40</v>
      </c>
      <c r="N1223" s="1">
        <v>35</v>
      </c>
      <c r="O1223" s="1">
        <v>0</v>
      </c>
      <c r="P1223" s="1">
        <v>0</v>
      </c>
      <c r="Q1223" s="1">
        <v>0</v>
      </c>
    </row>
    <row r="1224" spans="7:17" ht="15.45" x14ac:dyDescent="0.4">
      <c r="G1224" s="1">
        <v>699</v>
      </c>
      <c r="H1224" s="1">
        <v>3372.2003343059091</v>
      </c>
      <c r="I1224" s="1">
        <v>1</v>
      </c>
      <c r="J1224" s="1">
        <v>5944.410682821037</v>
      </c>
      <c r="K1224" s="1">
        <v>-1</v>
      </c>
      <c r="L1224" s="1">
        <v>301</v>
      </c>
      <c r="M1224" s="18">
        <v>40</v>
      </c>
      <c r="N1224" s="1">
        <v>35</v>
      </c>
      <c r="O1224" s="1">
        <v>0</v>
      </c>
      <c r="P1224" s="1">
        <v>0</v>
      </c>
      <c r="Q1224" s="1">
        <v>0</v>
      </c>
    </row>
    <row r="1225" spans="7:17" ht="15.45" x14ac:dyDescent="0.4">
      <c r="G1225" s="1">
        <v>700</v>
      </c>
      <c r="H1225" s="1">
        <v>10219.714432152401</v>
      </c>
      <c r="I1225" s="1">
        <v>-1</v>
      </c>
      <c r="J1225" s="1">
        <v>5951.0359805036333</v>
      </c>
      <c r="K1225" s="1">
        <v>-1</v>
      </c>
      <c r="L1225" s="1">
        <v>300</v>
      </c>
      <c r="M1225" s="18">
        <v>40</v>
      </c>
      <c r="N1225" s="1">
        <v>35</v>
      </c>
      <c r="O1225" s="1">
        <v>0</v>
      </c>
      <c r="P1225" s="1">
        <v>0</v>
      </c>
      <c r="Q1225" s="1">
        <v>0</v>
      </c>
    </row>
    <row r="1226" spans="7:17" ht="15.45" x14ac:dyDescent="0.4">
      <c r="G1226" s="1">
        <v>701</v>
      </c>
      <c r="H1226" s="1">
        <v>3374.1764843082351</v>
      </c>
      <c r="I1226" s="1">
        <v>1</v>
      </c>
      <c r="J1226" s="1">
        <v>5989.6820648889416</v>
      </c>
      <c r="K1226" s="1">
        <v>-1</v>
      </c>
      <c r="L1226" s="1">
        <v>299</v>
      </c>
      <c r="M1226" s="18">
        <v>40</v>
      </c>
      <c r="N1226" s="1">
        <v>35</v>
      </c>
      <c r="O1226" s="1">
        <v>0</v>
      </c>
      <c r="P1226" s="1">
        <v>0</v>
      </c>
      <c r="Q1226" s="1">
        <v>0</v>
      </c>
    </row>
    <row r="1227" spans="7:17" ht="15.45" x14ac:dyDescent="0.4">
      <c r="G1227" s="1">
        <v>702</v>
      </c>
      <c r="H1227" s="1">
        <v>10222.643448384348</v>
      </c>
      <c r="I1227" s="1">
        <v>-1</v>
      </c>
      <c r="J1227" s="1">
        <v>6067.2917825155755</v>
      </c>
      <c r="K1227" s="1">
        <v>-1</v>
      </c>
      <c r="L1227" s="1">
        <v>298</v>
      </c>
      <c r="M1227" s="18">
        <v>40</v>
      </c>
      <c r="N1227" s="1">
        <v>35</v>
      </c>
      <c r="O1227" s="1">
        <v>0</v>
      </c>
      <c r="P1227" s="1">
        <v>0</v>
      </c>
      <c r="Q1227" s="1">
        <v>0</v>
      </c>
    </row>
    <row r="1228" spans="7:17" ht="15.45" x14ac:dyDescent="0.4">
      <c r="G1228" s="1">
        <v>703</v>
      </c>
      <c r="H1228" s="1">
        <v>3381.2873002083948</v>
      </c>
      <c r="I1228" s="1">
        <v>1</v>
      </c>
      <c r="J1228" s="1">
        <v>6118.5357271519269</v>
      </c>
      <c r="K1228" s="1">
        <v>-1</v>
      </c>
      <c r="L1228" s="1">
        <v>297</v>
      </c>
      <c r="M1228" s="18">
        <v>40</v>
      </c>
      <c r="N1228" s="1">
        <v>35</v>
      </c>
      <c r="O1228" s="1">
        <v>0</v>
      </c>
      <c r="P1228" s="1">
        <v>0</v>
      </c>
      <c r="Q1228" s="1">
        <v>0</v>
      </c>
    </row>
    <row r="1229" spans="7:17" ht="15.45" x14ac:dyDescent="0.4">
      <c r="G1229" s="1">
        <v>704</v>
      </c>
      <c r="H1229" s="1">
        <v>10231.804299090601</v>
      </c>
      <c r="I1229" s="1">
        <v>-1</v>
      </c>
      <c r="J1229" s="1">
        <v>6123.4674492161503</v>
      </c>
      <c r="K1229" s="1">
        <v>-1</v>
      </c>
      <c r="L1229" s="1">
        <v>296</v>
      </c>
      <c r="M1229" s="18">
        <v>40</v>
      </c>
      <c r="N1229" s="1">
        <v>35</v>
      </c>
      <c r="O1229" s="1">
        <v>0</v>
      </c>
      <c r="P1229" s="1">
        <v>0</v>
      </c>
      <c r="Q1229" s="1">
        <v>0</v>
      </c>
    </row>
    <row r="1230" spans="7:17" ht="15.45" x14ac:dyDescent="0.4">
      <c r="G1230" s="1">
        <v>705</v>
      </c>
      <c r="H1230" s="1">
        <v>3389.9982599161463</v>
      </c>
      <c r="I1230" s="1">
        <v>1</v>
      </c>
      <c r="J1230" s="1">
        <v>6126.2495662796027</v>
      </c>
      <c r="K1230" s="1">
        <v>-1</v>
      </c>
      <c r="L1230" s="1">
        <v>295</v>
      </c>
      <c r="M1230" s="18">
        <v>40</v>
      </c>
      <c r="N1230" s="1">
        <v>34</v>
      </c>
      <c r="O1230" s="1">
        <v>0</v>
      </c>
      <c r="P1230" s="1">
        <v>0</v>
      </c>
      <c r="Q1230" s="1">
        <v>0</v>
      </c>
    </row>
    <row r="1231" spans="7:17" ht="15.45" x14ac:dyDescent="0.4">
      <c r="G1231" s="1">
        <v>706</v>
      </c>
      <c r="H1231" s="1">
        <v>10233.073145710958</v>
      </c>
      <c r="I1231" s="1">
        <v>-1</v>
      </c>
      <c r="J1231" s="1">
        <v>6150.577292623273</v>
      </c>
      <c r="K1231" s="1">
        <v>-1</v>
      </c>
      <c r="L1231" s="1">
        <v>294</v>
      </c>
      <c r="M1231" s="18">
        <v>40</v>
      </c>
      <c r="N1231" s="1">
        <v>34</v>
      </c>
      <c r="O1231" s="1">
        <v>0</v>
      </c>
      <c r="P1231" s="1">
        <v>0</v>
      </c>
      <c r="Q1231" s="1">
        <v>0</v>
      </c>
    </row>
    <row r="1232" spans="7:17" ht="15.45" x14ac:dyDescent="0.4">
      <c r="G1232" s="1">
        <v>707</v>
      </c>
      <c r="H1232" s="1">
        <v>3400.091404992992</v>
      </c>
      <c r="I1232" s="1">
        <v>1</v>
      </c>
      <c r="J1232" s="1">
        <v>6243.6034723379726</v>
      </c>
      <c r="K1232" s="1">
        <v>-1</v>
      </c>
      <c r="L1232" s="1">
        <v>293</v>
      </c>
      <c r="M1232" s="18">
        <v>40</v>
      </c>
      <c r="N1232" s="1">
        <v>34</v>
      </c>
      <c r="O1232" s="1">
        <v>0</v>
      </c>
      <c r="P1232" s="1">
        <v>0</v>
      </c>
      <c r="Q1232" s="1">
        <v>0</v>
      </c>
    </row>
    <row r="1233" spans="7:17" ht="15.45" x14ac:dyDescent="0.4">
      <c r="G1233" s="1">
        <v>708</v>
      </c>
      <c r="H1233" s="1">
        <v>10267.705937553772</v>
      </c>
      <c r="I1233" s="1">
        <v>-1</v>
      </c>
      <c r="J1233" s="1">
        <v>6261.2589053214797</v>
      </c>
      <c r="K1233" s="1">
        <v>-1</v>
      </c>
      <c r="L1233" s="1">
        <v>292</v>
      </c>
      <c r="M1233" s="18">
        <v>40</v>
      </c>
      <c r="N1233" s="1">
        <v>33</v>
      </c>
      <c r="O1233" s="1">
        <v>0</v>
      </c>
      <c r="P1233" s="1">
        <v>0</v>
      </c>
      <c r="Q1233" s="1">
        <v>0</v>
      </c>
    </row>
    <row r="1234" spans="7:17" ht="15.45" x14ac:dyDescent="0.4">
      <c r="G1234" s="1">
        <v>709</v>
      </c>
      <c r="H1234" s="1">
        <v>3406.4666636198917</v>
      </c>
      <c r="I1234" s="1">
        <v>1</v>
      </c>
      <c r="J1234" s="1">
        <v>6271.2537374904477</v>
      </c>
      <c r="K1234" s="1">
        <v>-1</v>
      </c>
      <c r="L1234" s="1">
        <v>291</v>
      </c>
      <c r="M1234" s="18">
        <v>40</v>
      </c>
      <c r="N1234" s="1">
        <v>33</v>
      </c>
      <c r="O1234" s="1">
        <v>0</v>
      </c>
      <c r="P1234" s="1">
        <v>0</v>
      </c>
      <c r="Q1234" s="1">
        <v>0</v>
      </c>
    </row>
    <row r="1235" spans="7:17" ht="15.45" x14ac:dyDescent="0.4">
      <c r="G1235" s="1">
        <v>710</v>
      </c>
      <c r="H1235" s="1">
        <v>10294.627888739351</v>
      </c>
      <c r="I1235" s="1">
        <v>-1</v>
      </c>
      <c r="J1235" s="1">
        <v>6278.0439291075709</v>
      </c>
      <c r="K1235" s="1">
        <v>-1</v>
      </c>
      <c r="L1235" s="1">
        <v>290</v>
      </c>
      <c r="M1235" s="18">
        <v>40</v>
      </c>
      <c r="N1235" s="1">
        <v>33</v>
      </c>
      <c r="O1235" s="1">
        <v>0</v>
      </c>
      <c r="P1235" s="1">
        <v>0</v>
      </c>
      <c r="Q1235" s="1">
        <v>0</v>
      </c>
    </row>
    <row r="1236" spans="7:17" ht="15.45" x14ac:dyDescent="0.4">
      <c r="G1236" s="1">
        <v>711</v>
      </c>
      <c r="H1236" s="1">
        <v>3434.1567148002641</v>
      </c>
      <c r="I1236" s="1">
        <v>1</v>
      </c>
      <c r="J1236" s="1">
        <v>6295.5529998489319</v>
      </c>
      <c r="K1236" s="1">
        <v>-1</v>
      </c>
      <c r="L1236" s="1">
        <v>289</v>
      </c>
      <c r="M1236" s="18">
        <v>40</v>
      </c>
      <c r="N1236" s="1">
        <v>33</v>
      </c>
      <c r="O1236" s="1">
        <v>0</v>
      </c>
      <c r="P1236" s="1">
        <v>0</v>
      </c>
      <c r="Q1236" s="1">
        <v>0</v>
      </c>
    </row>
    <row r="1237" spans="7:17" ht="15.45" x14ac:dyDescent="0.4">
      <c r="G1237" s="1">
        <v>712</v>
      </c>
      <c r="H1237" s="1">
        <v>10322.358040225497</v>
      </c>
      <c r="I1237" s="1">
        <v>-1</v>
      </c>
      <c r="J1237" s="1">
        <v>6339.9063761039934</v>
      </c>
      <c r="K1237" s="1">
        <v>-1</v>
      </c>
      <c r="L1237" s="1">
        <v>288</v>
      </c>
      <c r="M1237" s="18">
        <v>40</v>
      </c>
      <c r="N1237" s="1">
        <v>32</v>
      </c>
      <c r="O1237" s="1">
        <v>0</v>
      </c>
      <c r="P1237" s="1">
        <v>0</v>
      </c>
      <c r="Q1237" s="1">
        <v>0</v>
      </c>
    </row>
    <row r="1238" spans="7:17" ht="15.45" x14ac:dyDescent="0.4">
      <c r="G1238" s="1">
        <v>713</v>
      </c>
      <c r="H1238" s="1">
        <v>3441.3222632223851</v>
      </c>
      <c r="I1238" s="1">
        <v>1</v>
      </c>
      <c r="J1238" s="1">
        <v>6340.5809052893328</v>
      </c>
      <c r="K1238" s="1">
        <v>-1</v>
      </c>
      <c r="L1238" s="1">
        <v>287</v>
      </c>
      <c r="M1238" s="18">
        <v>40</v>
      </c>
      <c r="N1238" s="1">
        <v>32</v>
      </c>
      <c r="O1238" s="1">
        <v>0</v>
      </c>
      <c r="P1238" s="1">
        <v>0</v>
      </c>
      <c r="Q1238" s="1">
        <v>0</v>
      </c>
    </row>
    <row r="1239" spans="7:17" ht="15.45" x14ac:dyDescent="0.4">
      <c r="G1239" s="1">
        <v>714</v>
      </c>
      <c r="H1239" s="1">
        <v>10347.720100378308</v>
      </c>
      <c r="I1239" s="1">
        <v>-1</v>
      </c>
      <c r="J1239" s="1">
        <v>6359.4682065635916</v>
      </c>
      <c r="K1239" s="1">
        <v>-1</v>
      </c>
      <c r="L1239" s="1">
        <v>286</v>
      </c>
      <c r="M1239" s="18">
        <v>40</v>
      </c>
      <c r="N1239" s="1">
        <v>32</v>
      </c>
      <c r="O1239" s="1">
        <v>0</v>
      </c>
      <c r="P1239" s="1">
        <v>0</v>
      </c>
      <c r="Q1239" s="1">
        <v>0</v>
      </c>
    </row>
    <row r="1240" spans="7:17" ht="15.45" x14ac:dyDescent="0.4">
      <c r="G1240" s="1">
        <v>715</v>
      </c>
      <c r="H1240" s="1">
        <v>3442.0904734006463</v>
      </c>
      <c r="I1240" s="1">
        <v>1</v>
      </c>
      <c r="J1240" s="1">
        <v>6366.6977696900021</v>
      </c>
      <c r="K1240" s="1">
        <v>-1</v>
      </c>
      <c r="L1240" s="1">
        <v>285</v>
      </c>
      <c r="M1240" s="18">
        <v>40</v>
      </c>
      <c r="N1240" s="1">
        <v>32</v>
      </c>
      <c r="O1240" s="1">
        <v>0</v>
      </c>
      <c r="P1240" s="1">
        <v>0</v>
      </c>
      <c r="Q1240" s="1">
        <v>0</v>
      </c>
    </row>
    <row r="1241" spans="7:17" ht="15.45" x14ac:dyDescent="0.4">
      <c r="G1241" s="1">
        <v>716</v>
      </c>
      <c r="H1241" s="1">
        <v>10380.760052981721</v>
      </c>
      <c r="I1241" s="1">
        <v>-1</v>
      </c>
      <c r="J1241" s="1">
        <v>6382.4479471230316</v>
      </c>
      <c r="K1241" s="1">
        <v>-1</v>
      </c>
      <c r="L1241" s="1">
        <v>284</v>
      </c>
      <c r="M1241" s="18">
        <v>40</v>
      </c>
      <c r="N1241" s="1">
        <v>32</v>
      </c>
      <c r="O1241" s="1">
        <v>0</v>
      </c>
      <c r="P1241" s="1">
        <v>0</v>
      </c>
      <c r="Q1241" s="1">
        <v>0</v>
      </c>
    </row>
    <row r="1242" spans="7:17" ht="15.45" x14ac:dyDescent="0.4">
      <c r="G1242" s="1">
        <v>717</v>
      </c>
      <c r="H1242" s="1">
        <v>3457.997876810517</v>
      </c>
      <c r="I1242" s="1">
        <v>1</v>
      </c>
      <c r="J1242" s="1">
        <v>6441.8707129170562</v>
      </c>
      <c r="K1242" s="1">
        <v>-1</v>
      </c>
      <c r="L1242" s="1">
        <v>283</v>
      </c>
      <c r="M1242" s="18">
        <v>40</v>
      </c>
      <c r="N1242" s="1">
        <v>32</v>
      </c>
      <c r="O1242" s="1">
        <v>0</v>
      </c>
      <c r="P1242" s="1">
        <v>0</v>
      </c>
      <c r="Q1242" s="1">
        <v>0</v>
      </c>
    </row>
    <row r="1243" spans="7:17" ht="15.45" x14ac:dyDescent="0.4">
      <c r="G1243" s="1">
        <v>718</v>
      </c>
      <c r="H1243" s="1">
        <v>10394.634437726687</v>
      </c>
      <c r="I1243" s="1">
        <v>-1</v>
      </c>
      <c r="J1243" s="1">
        <v>6485.7178182920834</v>
      </c>
      <c r="K1243" s="1">
        <v>-1</v>
      </c>
      <c r="L1243" s="1">
        <v>282</v>
      </c>
      <c r="M1243" s="18">
        <v>40</v>
      </c>
      <c r="N1243" s="1">
        <v>32</v>
      </c>
      <c r="O1243" s="1">
        <v>0</v>
      </c>
      <c r="P1243" s="1">
        <v>0</v>
      </c>
      <c r="Q1243" s="1">
        <v>0</v>
      </c>
    </row>
    <row r="1244" spans="7:17" ht="15.45" x14ac:dyDescent="0.4">
      <c r="G1244" s="1">
        <v>719</v>
      </c>
      <c r="H1244" s="1">
        <v>3470.5969665272605</v>
      </c>
      <c r="I1244" s="1">
        <v>1</v>
      </c>
      <c r="J1244" s="1">
        <v>6497.4998752945448</v>
      </c>
      <c r="K1244" s="1">
        <v>-1</v>
      </c>
      <c r="L1244" s="1">
        <v>281</v>
      </c>
      <c r="M1244" s="18">
        <v>40</v>
      </c>
      <c r="N1244" s="1">
        <v>32</v>
      </c>
      <c r="O1244" s="1">
        <v>0</v>
      </c>
      <c r="P1244" s="1">
        <v>0</v>
      </c>
      <c r="Q1244" s="1">
        <v>0</v>
      </c>
    </row>
    <row r="1245" spans="7:17" ht="15.45" x14ac:dyDescent="0.4">
      <c r="G1245" s="1">
        <v>720</v>
      </c>
      <c r="H1245" s="1">
        <v>10402.309239132801</v>
      </c>
      <c r="I1245" s="1">
        <v>-1</v>
      </c>
      <c r="J1245" s="1">
        <v>6511.0405358082808</v>
      </c>
      <c r="K1245" s="1">
        <v>-1</v>
      </c>
      <c r="L1245" s="1">
        <v>280</v>
      </c>
      <c r="M1245" s="18">
        <v>40</v>
      </c>
      <c r="N1245" s="1">
        <v>31</v>
      </c>
      <c r="O1245" s="1">
        <v>0</v>
      </c>
      <c r="P1245" s="1">
        <v>0</v>
      </c>
      <c r="Q1245" s="1">
        <v>0</v>
      </c>
    </row>
    <row r="1246" spans="7:17" ht="15.45" x14ac:dyDescent="0.4">
      <c r="G1246" s="1">
        <v>721</v>
      </c>
      <c r="H1246" s="1">
        <v>3477.4017284298184</v>
      </c>
      <c r="I1246" s="1">
        <v>1</v>
      </c>
      <c r="J1246" s="1">
        <v>6618.3277870252723</v>
      </c>
      <c r="K1246" s="1">
        <v>-1</v>
      </c>
      <c r="L1246" s="1">
        <v>279</v>
      </c>
      <c r="M1246" s="18">
        <v>40</v>
      </c>
      <c r="N1246" s="1">
        <v>31</v>
      </c>
      <c r="O1246" s="1">
        <v>0</v>
      </c>
      <c r="P1246" s="1">
        <v>0</v>
      </c>
      <c r="Q1246" s="1">
        <v>0</v>
      </c>
    </row>
    <row r="1247" spans="7:17" ht="15.45" x14ac:dyDescent="0.4">
      <c r="G1247" s="1">
        <v>722</v>
      </c>
      <c r="H1247" s="1">
        <v>10416.388700460368</v>
      </c>
      <c r="I1247" s="1">
        <v>-1</v>
      </c>
      <c r="J1247" s="1">
        <v>6632.5392716717461</v>
      </c>
      <c r="K1247" s="1">
        <v>-1</v>
      </c>
      <c r="L1247" s="1">
        <v>278</v>
      </c>
      <c r="M1247" s="18">
        <v>40</v>
      </c>
      <c r="N1247" s="1">
        <v>31</v>
      </c>
      <c r="O1247" s="1">
        <v>0</v>
      </c>
      <c r="P1247" s="1">
        <v>0</v>
      </c>
      <c r="Q1247" s="1">
        <v>0</v>
      </c>
    </row>
    <row r="1248" spans="7:17" ht="15.45" x14ac:dyDescent="0.4">
      <c r="G1248" s="1">
        <v>723</v>
      </c>
      <c r="H1248" s="1">
        <v>3498.7186518838475</v>
      </c>
      <c r="I1248" s="1">
        <v>1</v>
      </c>
      <c r="J1248" s="1">
        <v>6652.5479296762551</v>
      </c>
      <c r="K1248" s="1">
        <v>-1</v>
      </c>
      <c r="L1248" s="1">
        <v>277</v>
      </c>
      <c r="M1248" s="18">
        <v>40</v>
      </c>
      <c r="N1248" s="1">
        <v>31</v>
      </c>
      <c r="O1248" s="1">
        <v>0</v>
      </c>
      <c r="P1248" s="1">
        <v>0</v>
      </c>
      <c r="Q1248" s="1">
        <v>0</v>
      </c>
    </row>
    <row r="1249" spans="7:17" ht="15.45" x14ac:dyDescent="0.4">
      <c r="G1249" s="1">
        <v>724</v>
      </c>
      <c r="H1249" s="1">
        <v>10504.066530482683</v>
      </c>
      <c r="I1249" s="1">
        <v>-1</v>
      </c>
      <c r="J1249" s="1">
        <v>6683.7223748403758</v>
      </c>
      <c r="K1249" s="1">
        <v>-1</v>
      </c>
      <c r="L1249" s="1">
        <v>276</v>
      </c>
      <c r="M1249" s="18">
        <v>40</v>
      </c>
      <c r="N1249" s="1">
        <v>31</v>
      </c>
      <c r="O1249" s="1">
        <v>0</v>
      </c>
      <c r="P1249" s="1">
        <v>0</v>
      </c>
      <c r="Q1249" s="1">
        <v>0</v>
      </c>
    </row>
    <row r="1250" spans="7:17" ht="15.45" x14ac:dyDescent="0.4">
      <c r="G1250" s="1">
        <v>725</v>
      </c>
      <c r="H1250" s="1">
        <v>3510.9548916644121</v>
      </c>
      <c r="I1250" s="1">
        <v>1</v>
      </c>
      <c r="J1250" s="1">
        <v>6701.0042207610604</v>
      </c>
      <c r="K1250" s="1">
        <v>-1</v>
      </c>
      <c r="L1250" s="1">
        <v>275</v>
      </c>
      <c r="M1250" s="18">
        <v>40</v>
      </c>
      <c r="N1250" s="1">
        <v>31</v>
      </c>
      <c r="O1250" s="1">
        <v>0</v>
      </c>
      <c r="P1250" s="1">
        <v>0</v>
      </c>
      <c r="Q1250" s="1">
        <v>0</v>
      </c>
    </row>
    <row r="1251" spans="7:17" ht="15.45" x14ac:dyDescent="0.4">
      <c r="G1251" s="1">
        <v>726</v>
      </c>
      <c r="H1251" s="1">
        <v>10523.587269556368</v>
      </c>
      <c r="I1251" s="1">
        <v>-1</v>
      </c>
      <c r="J1251" s="1">
        <v>6701.4537813980178</v>
      </c>
      <c r="K1251" s="1">
        <v>-1</v>
      </c>
      <c r="L1251" s="1">
        <v>274</v>
      </c>
      <c r="M1251" s="18">
        <v>40</v>
      </c>
      <c r="N1251" s="1">
        <v>31</v>
      </c>
      <c r="O1251" s="1">
        <v>0</v>
      </c>
      <c r="P1251" s="1">
        <v>0</v>
      </c>
      <c r="Q1251" s="1">
        <v>0</v>
      </c>
    </row>
    <row r="1252" spans="7:17" ht="15.45" x14ac:dyDescent="0.4">
      <c r="G1252" s="1">
        <v>727</v>
      </c>
      <c r="H1252" s="1">
        <v>3518.4367396583129</v>
      </c>
      <c r="I1252" s="1">
        <v>1</v>
      </c>
      <c r="J1252" s="1">
        <v>6708.3500250988127</v>
      </c>
      <c r="K1252" s="1">
        <v>-1</v>
      </c>
      <c r="L1252" s="1">
        <v>273</v>
      </c>
      <c r="M1252" s="18">
        <v>40</v>
      </c>
      <c r="N1252" s="1">
        <v>31</v>
      </c>
      <c r="O1252" s="1">
        <v>0</v>
      </c>
      <c r="P1252" s="1">
        <v>0</v>
      </c>
      <c r="Q1252" s="1">
        <v>0</v>
      </c>
    </row>
    <row r="1253" spans="7:17" ht="15.45" x14ac:dyDescent="0.4">
      <c r="G1253" s="1">
        <v>728</v>
      </c>
      <c r="H1253" s="1">
        <v>10529.515719563347</v>
      </c>
      <c r="I1253" s="1">
        <v>-1</v>
      </c>
      <c r="J1253" s="1">
        <v>6715.687047076116</v>
      </c>
      <c r="K1253" s="1">
        <v>-1</v>
      </c>
      <c r="L1253" s="1">
        <v>272</v>
      </c>
      <c r="M1253" s="18">
        <v>40</v>
      </c>
      <c r="N1253" s="1">
        <v>31</v>
      </c>
      <c r="O1253" s="1">
        <v>0</v>
      </c>
      <c r="P1253" s="1">
        <v>0</v>
      </c>
      <c r="Q1253" s="1">
        <v>0</v>
      </c>
    </row>
    <row r="1254" spans="7:17" ht="15.45" x14ac:dyDescent="0.4">
      <c r="G1254" s="1">
        <v>729</v>
      </c>
      <c r="H1254" s="1">
        <v>3534.1575887211611</v>
      </c>
      <c r="I1254" s="1">
        <v>1</v>
      </c>
      <c r="J1254" s="1">
        <v>6721.7188380192001</v>
      </c>
      <c r="K1254" s="1">
        <v>-1</v>
      </c>
      <c r="L1254" s="1">
        <v>271</v>
      </c>
      <c r="M1254" s="18">
        <v>40</v>
      </c>
      <c r="N1254" s="1">
        <v>30</v>
      </c>
      <c r="O1254" s="1">
        <v>0</v>
      </c>
      <c r="P1254" s="1">
        <v>0</v>
      </c>
      <c r="Q1254" s="1">
        <v>0</v>
      </c>
    </row>
    <row r="1255" spans="7:17" ht="15.45" x14ac:dyDescent="0.4">
      <c r="G1255" s="1">
        <v>730</v>
      </c>
      <c r="H1255" s="1">
        <v>10550.848167263826</v>
      </c>
      <c r="I1255" s="1">
        <v>-1</v>
      </c>
      <c r="J1255" s="1">
        <v>6731.8304445007443</v>
      </c>
      <c r="K1255" s="1">
        <v>-1</v>
      </c>
      <c r="L1255" s="1">
        <v>270</v>
      </c>
      <c r="M1255" s="18">
        <v>40</v>
      </c>
      <c r="N1255" s="1">
        <v>30</v>
      </c>
      <c r="O1255" s="1">
        <v>0</v>
      </c>
      <c r="P1255" s="1">
        <v>0</v>
      </c>
      <c r="Q1255" s="1">
        <v>0</v>
      </c>
    </row>
    <row r="1256" spans="7:17" ht="15.45" x14ac:dyDescent="0.4">
      <c r="G1256" s="1">
        <v>731</v>
      </c>
      <c r="H1256" s="1">
        <v>3568.8498772921921</v>
      </c>
      <c r="I1256" s="1">
        <v>1</v>
      </c>
      <c r="J1256" s="1">
        <v>6772.8276412326686</v>
      </c>
      <c r="K1256" s="1">
        <v>-1</v>
      </c>
      <c r="L1256" s="1">
        <v>269</v>
      </c>
      <c r="M1256" s="18">
        <v>40</v>
      </c>
      <c r="N1256" s="1">
        <v>30</v>
      </c>
      <c r="O1256" s="1">
        <v>0</v>
      </c>
      <c r="P1256" s="1">
        <v>0</v>
      </c>
      <c r="Q1256" s="1">
        <v>0</v>
      </c>
    </row>
    <row r="1257" spans="7:17" ht="15.45" x14ac:dyDescent="0.4">
      <c r="G1257" s="1">
        <v>732</v>
      </c>
      <c r="H1257" s="1">
        <v>10576.981046387082</v>
      </c>
      <c r="I1257" s="1">
        <v>-1</v>
      </c>
      <c r="J1257" s="1">
        <v>6833.5923062005713</v>
      </c>
      <c r="K1257" s="1">
        <v>-1</v>
      </c>
      <c r="L1257" s="1">
        <v>268</v>
      </c>
      <c r="M1257" s="18">
        <v>40</v>
      </c>
      <c r="N1257" s="1">
        <v>30</v>
      </c>
      <c r="O1257" s="1">
        <v>0</v>
      </c>
      <c r="P1257" s="1">
        <v>0</v>
      </c>
      <c r="Q1257" s="1">
        <v>0</v>
      </c>
    </row>
    <row r="1258" spans="7:17" ht="15.45" x14ac:dyDescent="0.4">
      <c r="G1258" s="1">
        <v>733</v>
      </c>
      <c r="H1258" s="1">
        <v>3579.7427449202205</v>
      </c>
      <c r="I1258" s="1">
        <v>1</v>
      </c>
      <c r="J1258" s="1">
        <v>6959.7825594577862</v>
      </c>
      <c r="K1258" s="1">
        <v>-1</v>
      </c>
      <c r="L1258" s="1">
        <v>267</v>
      </c>
      <c r="M1258" s="18">
        <v>40</v>
      </c>
      <c r="N1258" s="1">
        <v>30</v>
      </c>
      <c r="O1258" s="1">
        <v>0</v>
      </c>
      <c r="P1258" s="1">
        <v>0</v>
      </c>
      <c r="Q1258" s="1">
        <v>0</v>
      </c>
    </row>
    <row r="1259" spans="7:17" ht="15.45" x14ac:dyDescent="0.4">
      <c r="G1259" s="1">
        <v>734</v>
      </c>
      <c r="H1259" s="1">
        <v>10607.260481617619</v>
      </c>
      <c r="I1259" s="1">
        <v>-1</v>
      </c>
      <c r="J1259" s="1">
        <v>6987.2043294232444</v>
      </c>
      <c r="K1259" s="1">
        <v>-1</v>
      </c>
      <c r="L1259" s="1">
        <v>266</v>
      </c>
      <c r="M1259" s="18">
        <v>40</v>
      </c>
      <c r="N1259" s="1">
        <v>30</v>
      </c>
      <c r="O1259" s="1">
        <v>0</v>
      </c>
      <c r="P1259" s="1">
        <v>0</v>
      </c>
      <c r="Q1259" s="1">
        <v>0</v>
      </c>
    </row>
    <row r="1260" spans="7:17" ht="15.45" x14ac:dyDescent="0.4">
      <c r="G1260" s="1">
        <v>735</v>
      </c>
      <c r="H1260" s="1">
        <v>3590.4407949424317</v>
      </c>
      <c r="I1260" s="1">
        <v>1</v>
      </c>
      <c r="J1260" s="1">
        <v>7042.641258240199</v>
      </c>
      <c r="K1260" s="1">
        <v>-1</v>
      </c>
      <c r="L1260" s="1">
        <v>265</v>
      </c>
      <c r="M1260" s="18">
        <v>40</v>
      </c>
      <c r="N1260" s="1">
        <v>30</v>
      </c>
      <c r="O1260" s="1">
        <v>0</v>
      </c>
      <c r="P1260" s="1">
        <v>0</v>
      </c>
      <c r="Q1260" s="1">
        <v>0</v>
      </c>
    </row>
    <row r="1261" spans="7:17" ht="15.45" x14ac:dyDescent="0.4">
      <c r="G1261" s="1">
        <v>736</v>
      </c>
      <c r="H1261" s="1">
        <v>10626.386257498318</v>
      </c>
      <c r="I1261" s="1">
        <v>-1</v>
      </c>
      <c r="J1261" s="1">
        <v>7095.5841270058318</v>
      </c>
      <c r="K1261" s="1">
        <v>-1</v>
      </c>
      <c r="L1261" s="1">
        <v>264</v>
      </c>
      <c r="M1261" s="18">
        <v>40</v>
      </c>
      <c r="N1261" s="1">
        <v>30</v>
      </c>
      <c r="O1261" s="1">
        <v>0</v>
      </c>
      <c r="P1261" s="1">
        <v>0</v>
      </c>
      <c r="Q1261" s="1">
        <v>0</v>
      </c>
    </row>
    <row r="1262" spans="7:17" ht="15.45" x14ac:dyDescent="0.4">
      <c r="G1262" s="1">
        <v>737</v>
      </c>
      <c r="H1262" s="1">
        <v>3595.618992928823</v>
      </c>
      <c r="I1262" s="1">
        <v>1</v>
      </c>
      <c r="J1262" s="1">
        <v>7099.299845630152</v>
      </c>
      <c r="K1262" s="1">
        <v>-1</v>
      </c>
      <c r="L1262" s="1">
        <v>263</v>
      </c>
      <c r="M1262" s="18">
        <v>40</v>
      </c>
      <c r="N1262" s="1">
        <v>30</v>
      </c>
      <c r="O1262" s="1">
        <v>0</v>
      </c>
      <c r="P1262" s="1">
        <v>0</v>
      </c>
      <c r="Q1262" s="1">
        <v>0</v>
      </c>
    </row>
    <row r="1263" spans="7:17" ht="15.45" x14ac:dyDescent="0.4">
      <c r="G1263" s="1">
        <v>738</v>
      </c>
      <c r="H1263" s="1">
        <v>10709.456411039435</v>
      </c>
      <c r="I1263" s="1">
        <v>-1</v>
      </c>
      <c r="J1263" s="1">
        <v>7105.7610598429401</v>
      </c>
      <c r="K1263" s="1">
        <v>-1</v>
      </c>
      <c r="L1263" s="1">
        <v>262</v>
      </c>
      <c r="M1263" s="18">
        <v>40</v>
      </c>
      <c r="N1263" s="1">
        <v>30</v>
      </c>
      <c r="O1263" s="1">
        <v>0</v>
      </c>
      <c r="P1263" s="1">
        <v>0</v>
      </c>
      <c r="Q1263" s="1">
        <v>0</v>
      </c>
    </row>
    <row r="1264" spans="7:17" ht="15.45" x14ac:dyDescent="0.4">
      <c r="G1264" s="1">
        <v>739</v>
      </c>
      <c r="H1264" s="1">
        <v>3596.9079252731594</v>
      </c>
      <c r="I1264" s="1">
        <v>1</v>
      </c>
      <c r="J1264" s="1">
        <v>7114.4565142742595</v>
      </c>
      <c r="K1264" s="1">
        <v>-1</v>
      </c>
      <c r="L1264" s="1">
        <v>261</v>
      </c>
      <c r="M1264" s="18">
        <v>40</v>
      </c>
      <c r="N1264" s="1">
        <v>30</v>
      </c>
      <c r="O1264" s="1">
        <v>0</v>
      </c>
      <c r="P1264" s="1">
        <v>0</v>
      </c>
      <c r="Q1264" s="1">
        <v>0</v>
      </c>
    </row>
    <row r="1265" spans="7:17" ht="15.45" x14ac:dyDescent="0.4">
      <c r="G1265" s="1">
        <v>740</v>
      </c>
      <c r="H1265" s="1">
        <v>10730.953056305798</v>
      </c>
      <c r="I1265" s="1">
        <v>-1</v>
      </c>
      <c r="J1265" s="1">
        <v>7116.8538244724177</v>
      </c>
      <c r="K1265" s="1">
        <v>-1</v>
      </c>
      <c r="L1265" s="1">
        <v>260</v>
      </c>
      <c r="M1265" s="18">
        <v>40</v>
      </c>
      <c r="N1265" s="1">
        <v>30</v>
      </c>
      <c r="O1265" s="1">
        <v>0</v>
      </c>
      <c r="P1265" s="1">
        <v>0</v>
      </c>
      <c r="Q1265" s="1">
        <v>0</v>
      </c>
    </row>
    <row r="1266" spans="7:17" ht="15.45" x14ac:dyDescent="0.4">
      <c r="G1266" s="1">
        <v>741</v>
      </c>
      <c r="H1266" s="1">
        <v>3608.0430122957187</v>
      </c>
      <c r="I1266" s="1">
        <v>1</v>
      </c>
      <c r="J1266" s="1">
        <v>7143.4747437328906</v>
      </c>
      <c r="K1266" s="1">
        <v>-1</v>
      </c>
      <c r="L1266" s="1">
        <v>259</v>
      </c>
      <c r="M1266" s="18">
        <v>40</v>
      </c>
      <c r="N1266" s="1">
        <v>29</v>
      </c>
      <c r="O1266" s="1">
        <v>0</v>
      </c>
      <c r="P1266" s="1">
        <v>0</v>
      </c>
      <c r="Q1266" s="1">
        <v>0</v>
      </c>
    </row>
    <row r="1267" spans="7:17" ht="15.45" x14ac:dyDescent="0.4">
      <c r="G1267" s="1">
        <v>742</v>
      </c>
      <c r="H1267" s="1">
        <v>10733.257686840581</v>
      </c>
      <c r="I1267" s="1">
        <v>-1</v>
      </c>
      <c r="J1267" s="1">
        <v>7205.0846843273721</v>
      </c>
      <c r="K1267" s="1">
        <v>-1</v>
      </c>
      <c r="L1267" s="1">
        <v>258</v>
      </c>
      <c r="M1267" s="18">
        <v>40</v>
      </c>
      <c r="N1267" s="1">
        <v>29</v>
      </c>
      <c r="O1267" s="1">
        <v>0</v>
      </c>
      <c r="P1267" s="1">
        <v>0</v>
      </c>
      <c r="Q1267" s="1">
        <v>0</v>
      </c>
    </row>
    <row r="1268" spans="7:17" ht="15.45" x14ac:dyDescent="0.4">
      <c r="G1268" s="1">
        <v>743</v>
      </c>
      <c r="H1268" s="1">
        <v>3608.7631631139848</v>
      </c>
      <c r="I1268" s="1">
        <v>1</v>
      </c>
      <c r="J1268" s="1">
        <v>7245.1718731134233</v>
      </c>
      <c r="K1268" s="1">
        <v>-1</v>
      </c>
      <c r="L1268" s="1">
        <v>257</v>
      </c>
      <c r="M1268" s="18">
        <v>40</v>
      </c>
      <c r="N1268" s="1">
        <v>29</v>
      </c>
      <c r="O1268" s="1">
        <v>0</v>
      </c>
      <c r="P1268" s="1">
        <v>0</v>
      </c>
      <c r="Q1268" s="1">
        <v>0</v>
      </c>
    </row>
    <row r="1269" spans="7:17" ht="15.45" x14ac:dyDescent="0.4">
      <c r="G1269" s="1">
        <v>744</v>
      </c>
      <c r="H1269" s="1">
        <v>10780.979897070194</v>
      </c>
      <c r="I1269" s="1">
        <v>-1</v>
      </c>
      <c r="J1269" s="1">
        <v>7261.8610682866547</v>
      </c>
      <c r="K1269" s="1">
        <v>-1</v>
      </c>
      <c r="L1269" s="1">
        <v>256</v>
      </c>
      <c r="M1269" s="18">
        <v>40</v>
      </c>
      <c r="N1269" s="1">
        <v>29</v>
      </c>
      <c r="O1269" s="1">
        <v>0</v>
      </c>
      <c r="P1269" s="1">
        <v>0</v>
      </c>
      <c r="Q1269" s="1">
        <v>0</v>
      </c>
    </row>
    <row r="1270" spans="7:17" ht="15.45" x14ac:dyDescent="0.4">
      <c r="G1270" s="1">
        <v>745</v>
      </c>
      <c r="H1270" s="1">
        <v>3612.7960139601705</v>
      </c>
      <c r="I1270" s="1">
        <v>1</v>
      </c>
      <c r="J1270" s="1">
        <v>7263.4112403910158</v>
      </c>
      <c r="K1270" s="1">
        <v>-1</v>
      </c>
      <c r="L1270" s="1">
        <v>255</v>
      </c>
      <c r="M1270" s="18">
        <v>40</v>
      </c>
      <c r="N1270" s="1">
        <v>29</v>
      </c>
      <c r="O1270" s="1">
        <v>0</v>
      </c>
      <c r="P1270" s="1">
        <v>0</v>
      </c>
      <c r="Q1270" s="1">
        <v>0</v>
      </c>
    </row>
    <row r="1271" spans="7:17" ht="15.45" x14ac:dyDescent="0.4">
      <c r="G1271" s="1">
        <v>746</v>
      </c>
      <c r="H1271" s="1">
        <v>10818.777166220423</v>
      </c>
      <c r="I1271" s="1">
        <v>-1</v>
      </c>
      <c r="J1271" s="1">
        <v>7266.5826582515929</v>
      </c>
      <c r="K1271" s="1">
        <v>-1</v>
      </c>
      <c r="L1271" s="1">
        <v>254</v>
      </c>
      <c r="M1271" s="18">
        <v>40</v>
      </c>
      <c r="N1271" s="1">
        <v>29</v>
      </c>
      <c r="O1271" s="1">
        <v>0</v>
      </c>
      <c r="P1271" s="1">
        <v>0</v>
      </c>
      <c r="Q1271" s="1">
        <v>0</v>
      </c>
    </row>
    <row r="1272" spans="7:17" ht="15.45" x14ac:dyDescent="0.4">
      <c r="G1272" s="1">
        <v>747</v>
      </c>
      <c r="H1272" s="1">
        <v>3622.4218715115685</v>
      </c>
      <c r="I1272" s="1">
        <v>1</v>
      </c>
      <c r="J1272" s="1">
        <v>7288.7648527251749</v>
      </c>
      <c r="K1272" s="1">
        <v>-1</v>
      </c>
      <c r="L1272" s="1">
        <v>253</v>
      </c>
      <c r="M1272" s="18">
        <v>40</v>
      </c>
      <c r="N1272" s="1">
        <v>29</v>
      </c>
      <c r="O1272" s="1">
        <v>0</v>
      </c>
      <c r="P1272" s="1">
        <v>0</v>
      </c>
      <c r="Q1272" s="1">
        <v>0</v>
      </c>
    </row>
    <row r="1273" spans="7:17" ht="15.45" x14ac:dyDescent="0.4">
      <c r="G1273" s="1">
        <v>748</v>
      </c>
      <c r="H1273" s="1">
        <v>10839.191451928096</v>
      </c>
      <c r="I1273" s="1">
        <v>-1</v>
      </c>
      <c r="J1273" s="1">
        <v>7289.9440993126645</v>
      </c>
      <c r="K1273" s="1">
        <v>-1</v>
      </c>
      <c r="L1273" s="1">
        <v>252</v>
      </c>
      <c r="M1273" s="18">
        <v>40</v>
      </c>
      <c r="N1273" s="1">
        <v>29</v>
      </c>
      <c r="O1273" s="1">
        <v>0</v>
      </c>
      <c r="P1273" s="1">
        <v>0</v>
      </c>
      <c r="Q1273" s="1">
        <v>0</v>
      </c>
    </row>
    <row r="1274" spans="7:17" ht="15.45" x14ac:dyDescent="0.4">
      <c r="G1274" s="1">
        <v>749</v>
      </c>
      <c r="H1274" s="1">
        <v>3625.2250534277455</v>
      </c>
      <c r="I1274" s="1">
        <v>1</v>
      </c>
      <c r="J1274" s="1">
        <v>7294.3114671304247</v>
      </c>
      <c r="K1274" s="1">
        <v>-1</v>
      </c>
      <c r="L1274" s="1">
        <v>251</v>
      </c>
      <c r="M1274" s="18">
        <v>40</v>
      </c>
      <c r="N1274" s="1">
        <v>29</v>
      </c>
      <c r="O1274" s="1">
        <v>0</v>
      </c>
      <c r="P1274" s="1">
        <v>0</v>
      </c>
      <c r="Q1274" s="1">
        <v>0</v>
      </c>
    </row>
    <row r="1275" spans="7:17" ht="15.45" x14ac:dyDescent="0.4">
      <c r="G1275" s="1">
        <v>750</v>
      </c>
      <c r="H1275" s="1">
        <v>10903.142222290184</v>
      </c>
      <c r="I1275" s="1">
        <v>-1</v>
      </c>
      <c r="J1275" s="1">
        <v>7310.7789411103313</v>
      </c>
      <c r="K1275" s="1">
        <v>-1</v>
      </c>
      <c r="L1275" s="1">
        <v>250</v>
      </c>
      <c r="M1275" s="18">
        <v>40</v>
      </c>
      <c r="N1275" s="1">
        <v>29</v>
      </c>
      <c r="O1275" s="1">
        <v>0</v>
      </c>
      <c r="P1275" s="1">
        <v>0</v>
      </c>
      <c r="Q1275" s="1">
        <v>0</v>
      </c>
    </row>
    <row r="1276" spans="7:17" ht="15.45" x14ac:dyDescent="0.4">
      <c r="G1276" s="1">
        <v>751</v>
      </c>
      <c r="H1276" s="1">
        <v>3634.3002951434614</v>
      </c>
      <c r="I1276" s="1">
        <v>1</v>
      </c>
      <c r="J1276" s="1">
        <v>7323.7893703506652</v>
      </c>
      <c r="K1276" s="1">
        <v>-1</v>
      </c>
      <c r="L1276" s="1">
        <v>249</v>
      </c>
      <c r="M1276" s="18">
        <v>40</v>
      </c>
      <c r="N1276" s="1">
        <v>29</v>
      </c>
      <c r="O1276" s="1">
        <v>0</v>
      </c>
      <c r="P1276" s="1">
        <v>0</v>
      </c>
      <c r="Q1276" s="1">
        <v>0</v>
      </c>
    </row>
    <row r="1277" spans="7:17" ht="15.45" x14ac:dyDescent="0.4">
      <c r="G1277" s="1">
        <v>752</v>
      </c>
      <c r="H1277" s="1">
        <v>10939.850941631878</v>
      </c>
      <c r="I1277" s="1">
        <v>-1</v>
      </c>
      <c r="J1277" s="1">
        <v>7484.8737095976267</v>
      </c>
      <c r="K1277" s="1">
        <v>-1</v>
      </c>
      <c r="L1277" s="1">
        <v>248</v>
      </c>
      <c r="M1277" s="18">
        <v>40</v>
      </c>
      <c r="N1277" s="1">
        <v>29</v>
      </c>
      <c r="O1277" s="1">
        <v>0</v>
      </c>
      <c r="P1277" s="1">
        <v>0</v>
      </c>
      <c r="Q1277" s="1">
        <v>0</v>
      </c>
    </row>
    <row r="1278" spans="7:17" ht="15.45" x14ac:dyDescent="0.4">
      <c r="G1278" s="1">
        <v>753</v>
      </c>
      <c r="H1278" s="1">
        <v>3638.0599195126224</v>
      </c>
      <c r="I1278" s="1">
        <v>1</v>
      </c>
      <c r="J1278" s="1">
        <v>7494.5065483999751</v>
      </c>
      <c r="K1278" s="1">
        <v>-1</v>
      </c>
      <c r="L1278" s="1">
        <v>247</v>
      </c>
      <c r="M1278" s="18">
        <v>40</v>
      </c>
      <c r="N1278" s="1">
        <v>29</v>
      </c>
      <c r="O1278" s="1">
        <v>0</v>
      </c>
      <c r="P1278" s="1">
        <v>0</v>
      </c>
      <c r="Q1278" s="1">
        <v>0</v>
      </c>
    </row>
    <row r="1279" spans="7:17" ht="15.45" x14ac:dyDescent="0.4">
      <c r="G1279" s="1">
        <v>754</v>
      </c>
      <c r="H1279" s="1">
        <v>10962.296485613579</v>
      </c>
      <c r="I1279" s="1">
        <v>-1</v>
      </c>
      <c r="J1279" s="1">
        <v>7539.3740016447964</v>
      </c>
      <c r="K1279" s="1">
        <v>-1</v>
      </c>
      <c r="L1279" s="1">
        <v>246</v>
      </c>
      <c r="M1279" s="18">
        <v>40</v>
      </c>
      <c r="N1279" s="1">
        <v>29</v>
      </c>
      <c r="O1279" s="1">
        <v>0</v>
      </c>
      <c r="P1279" s="1">
        <v>0</v>
      </c>
      <c r="Q1279" s="1">
        <v>0</v>
      </c>
    </row>
    <row r="1280" spans="7:17" ht="15.45" x14ac:dyDescent="0.4">
      <c r="G1280" s="1">
        <v>755</v>
      </c>
      <c r="H1280" s="1">
        <v>3643.1212244343296</v>
      </c>
      <c r="I1280" s="1">
        <v>1</v>
      </c>
      <c r="J1280" s="1">
        <v>7584.5749571258984</v>
      </c>
      <c r="K1280" s="1">
        <v>-1</v>
      </c>
      <c r="L1280" s="1">
        <v>245</v>
      </c>
      <c r="M1280" s="18">
        <v>40</v>
      </c>
      <c r="N1280" s="1">
        <v>29</v>
      </c>
      <c r="O1280" s="1">
        <v>0</v>
      </c>
      <c r="P1280" s="1">
        <v>0</v>
      </c>
      <c r="Q1280" s="1">
        <v>0</v>
      </c>
    </row>
    <row r="1281" spans="7:17" ht="15.45" x14ac:dyDescent="0.4">
      <c r="G1281" s="1">
        <v>756</v>
      </c>
      <c r="H1281" s="1">
        <v>11009.459032802124</v>
      </c>
      <c r="I1281" s="1">
        <v>-1</v>
      </c>
      <c r="J1281" s="1">
        <v>7594.8696870664899</v>
      </c>
      <c r="K1281" s="1">
        <v>-1</v>
      </c>
      <c r="L1281" s="1">
        <v>244</v>
      </c>
      <c r="M1281" s="18">
        <v>40</v>
      </c>
      <c r="N1281" s="1">
        <v>29</v>
      </c>
      <c r="O1281" s="1">
        <v>0</v>
      </c>
      <c r="P1281" s="1">
        <v>0</v>
      </c>
      <c r="Q1281" s="1">
        <v>0</v>
      </c>
    </row>
    <row r="1282" spans="7:17" ht="15.45" x14ac:dyDescent="0.4">
      <c r="G1282" s="1">
        <v>757</v>
      </c>
      <c r="H1282" s="1">
        <v>3665.2773856858994</v>
      </c>
      <c r="I1282" s="1">
        <v>1</v>
      </c>
      <c r="J1282" s="1">
        <v>7613.6051266878903</v>
      </c>
      <c r="K1282" s="1">
        <v>-1</v>
      </c>
      <c r="L1282" s="1">
        <v>243</v>
      </c>
      <c r="M1282" s="18">
        <v>40</v>
      </c>
      <c r="N1282" s="1">
        <v>29</v>
      </c>
      <c r="O1282" s="1">
        <v>0</v>
      </c>
      <c r="P1282" s="1">
        <v>0</v>
      </c>
      <c r="Q1282" s="1">
        <v>0</v>
      </c>
    </row>
    <row r="1283" spans="7:17" ht="15.45" x14ac:dyDescent="0.4">
      <c r="G1283" s="1">
        <v>758</v>
      </c>
      <c r="H1283" s="1">
        <v>11113.535898515218</v>
      </c>
      <c r="I1283" s="1">
        <v>-1</v>
      </c>
      <c r="J1283" s="1">
        <v>7650.7219207963326</v>
      </c>
      <c r="K1283" s="1">
        <v>-1</v>
      </c>
      <c r="L1283" s="1">
        <v>242</v>
      </c>
      <c r="M1283" s="18">
        <v>40</v>
      </c>
      <c r="N1283" s="1">
        <v>29</v>
      </c>
      <c r="O1283" s="1">
        <v>0</v>
      </c>
      <c r="P1283" s="1">
        <v>0</v>
      </c>
      <c r="Q1283" s="1">
        <v>0</v>
      </c>
    </row>
    <row r="1284" spans="7:17" ht="15.45" x14ac:dyDescent="0.4">
      <c r="G1284" s="1">
        <v>759</v>
      </c>
      <c r="H1284" s="1">
        <v>3676.4911783609036</v>
      </c>
      <c r="I1284" s="1">
        <v>1</v>
      </c>
      <c r="J1284" s="1">
        <v>7658.6763696267253</v>
      </c>
      <c r="K1284" s="1">
        <v>-1</v>
      </c>
      <c r="L1284" s="1">
        <v>241</v>
      </c>
      <c r="M1284" s="18">
        <v>40</v>
      </c>
      <c r="N1284" s="1">
        <v>29</v>
      </c>
      <c r="O1284" s="1">
        <v>0</v>
      </c>
      <c r="P1284" s="1">
        <v>0</v>
      </c>
      <c r="Q1284" s="1">
        <v>0</v>
      </c>
    </row>
    <row r="1285" spans="7:17" ht="15.45" x14ac:dyDescent="0.4">
      <c r="G1285" s="1">
        <v>760</v>
      </c>
      <c r="H1285" s="1">
        <v>11146.214501399303</v>
      </c>
      <c r="I1285" s="1">
        <v>-1</v>
      </c>
      <c r="J1285" s="1">
        <v>7688.4116121199359</v>
      </c>
      <c r="K1285" s="1">
        <v>-1</v>
      </c>
      <c r="L1285" s="1">
        <v>240</v>
      </c>
      <c r="M1285" s="18">
        <v>40</v>
      </c>
      <c r="N1285" s="1">
        <v>29</v>
      </c>
      <c r="O1285" s="1">
        <v>0</v>
      </c>
      <c r="P1285" s="1">
        <v>0</v>
      </c>
      <c r="Q1285" s="1">
        <v>0</v>
      </c>
    </row>
    <row r="1286" spans="7:17" ht="15.45" x14ac:dyDescent="0.4">
      <c r="G1286" s="1">
        <v>761</v>
      </c>
      <c r="H1286" s="1">
        <v>3686.2937894934321</v>
      </c>
      <c r="I1286" s="1">
        <v>1</v>
      </c>
      <c r="J1286" s="1">
        <v>7695.474096289714</v>
      </c>
      <c r="K1286" s="1">
        <v>-1</v>
      </c>
      <c r="L1286" s="1">
        <v>239</v>
      </c>
      <c r="M1286" s="18">
        <v>40</v>
      </c>
      <c r="N1286" s="1">
        <v>29</v>
      </c>
      <c r="O1286" s="1">
        <v>0</v>
      </c>
      <c r="P1286" s="1">
        <v>0</v>
      </c>
      <c r="Q1286" s="1">
        <v>0</v>
      </c>
    </row>
    <row r="1287" spans="7:17" ht="15.45" x14ac:dyDescent="0.4">
      <c r="G1287" s="1">
        <v>762</v>
      </c>
      <c r="H1287" s="1">
        <v>11178.308651465937</v>
      </c>
      <c r="I1287" s="1">
        <v>-1</v>
      </c>
      <c r="J1287" s="1">
        <v>7730.8779314274243</v>
      </c>
      <c r="K1287" s="1">
        <v>-1</v>
      </c>
      <c r="L1287" s="1">
        <v>238</v>
      </c>
      <c r="M1287" s="18">
        <v>40</v>
      </c>
      <c r="N1287" s="1">
        <v>28</v>
      </c>
      <c r="O1287" s="1">
        <v>0</v>
      </c>
      <c r="P1287" s="1">
        <v>0</v>
      </c>
      <c r="Q1287" s="1">
        <v>0</v>
      </c>
    </row>
    <row r="1288" spans="7:17" ht="15.45" x14ac:dyDescent="0.4">
      <c r="G1288" s="1">
        <v>763</v>
      </c>
      <c r="H1288" s="1">
        <v>3693.3196940985194</v>
      </c>
      <c r="I1288" s="1">
        <v>1</v>
      </c>
      <c r="J1288" s="1">
        <v>7951.6270366399822</v>
      </c>
      <c r="K1288" s="1">
        <v>-1</v>
      </c>
      <c r="L1288" s="1">
        <v>237</v>
      </c>
      <c r="M1288" s="18">
        <v>40</v>
      </c>
      <c r="N1288" s="1">
        <v>28</v>
      </c>
      <c r="O1288" s="1">
        <v>0</v>
      </c>
      <c r="P1288" s="1">
        <v>0</v>
      </c>
      <c r="Q1288" s="1">
        <v>0</v>
      </c>
    </row>
    <row r="1289" spans="7:17" ht="15.45" x14ac:dyDescent="0.4">
      <c r="G1289" s="1">
        <v>764</v>
      </c>
      <c r="H1289" s="1">
        <v>11193.843245425112</v>
      </c>
      <c r="I1289" s="1">
        <v>-1</v>
      </c>
      <c r="J1289" s="1">
        <v>7974.5091746151447</v>
      </c>
      <c r="K1289" s="1">
        <v>-1</v>
      </c>
      <c r="L1289" s="1">
        <v>236</v>
      </c>
      <c r="M1289" s="18">
        <v>40</v>
      </c>
      <c r="N1289" s="1">
        <v>28</v>
      </c>
      <c r="O1289" s="1">
        <v>0</v>
      </c>
      <c r="P1289" s="1">
        <v>0</v>
      </c>
      <c r="Q1289" s="1">
        <v>0</v>
      </c>
    </row>
    <row r="1290" spans="7:17" ht="15.45" x14ac:dyDescent="0.4">
      <c r="G1290" s="1">
        <v>765</v>
      </c>
      <c r="H1290" s="1">
        <v>3712.4431298839581</v>
      </c>
      <c r="I1290" s="1">
        <v>1</v>
      </c>
      <c r="J1290" s="1">
        <v>7974.5997974009424</v>
      </c>
      <c r="K1290" s="1">
        <v>-1</v>
      </c>
      <c r="L1290" s="1">
        <v>235</v>
      </c>
      <c r="M1290" s="18">
        <v>40</v>
      </c>
      <c r="N1290" s="1">
        <v>28</v>
      </c>
      <c r="O1290" s="1">
        <v>0</v>
      </c>
      <c r="P1290" s="1">
        <v>0</v>
      </c>
      <c r="Q1290" s="1">
        <v>0</v>
      </c>
    </row>
    <row r="1291" spans="7:17" ht="15.45" x14ac:dyDescent="0.4">
      <c r="G1291" s="1">
        <v>766</v>
      </c>
      <c r="H1291" s="1">
        <v>11197.710042458122</v>
      </c>
      <c r="I1291" s="1">
        <v>-1</v>
      </c>
      <c r="J1291" s="1">
        <v>7982.8362632827466</v>
      </c>
      <c r="K1291" s="1">
        <v>-1</v>
      </c>
      <c r="L1291" s="1">
        <v>234</v>
      </c>
      <c r="M1291" s="18">
        <v>40</v>
      </c>
      <c r="N1291" s="1">
        <v>28</v>
      </c>
      <c r="O1291" s="1">
        <v>0</v>
      </c>
      <c r="P1291" s="1">
        <v>0</v>
      </c>
      <c r="Q1291" s="1">
        <v>0</v>
      </c>
    </row>
    <row r="1292" spans="7:17" ht="15.45" x14ac:dyDescent="0.4">
      <c r="G1292" s="1">
        <v>767</v>
      </c>
      <c r="H1292" s="1">
        <v>3728.471695289471</v>
      </c>
      <c r="I1292" s="1">
        <v>1</v>
      </c>
      <c r="J1292" s="1">
        <v>7986.4015831932593</v>
      </c>
      <c r="K1292" s="1">
        <v>-1</v>
      </c>
      <c r="L1292" s="1">
        <v>233</v>
      </c>
      <c r="M1292" s="18">
        <v>40</v>
      </c>
      <c r="N1292" s="1">
        <v>28</v>
      </c>
      <c r="O1292" s="1">
        <v>0</v>
      </c>
      <c r="P1292" s="1">
        <v>0</v>
      </c>
      <c r="Q1292" s="1">
        <v>0</v>
      </c>
    </row>
    <row r="1293" spans="7:17" ht="15.45" x14ac:dyDescent="0.4">
      <c r="G1293" s="1">
        <v>768</v>
      </c>
      <c r="H1293" s="1">
        <v>11231.115303525799</v>
      </c>
      <c r="I1293" s="1">
        <v>-1</v>
      </c>
      <c r="J1293" s="1">
        <v>8006.5680308518486</v>
      </c>
      <c r="K1293" s="1">
        <v>-1</v>
      </c>
      <c r="L1293" s="1">
        <v>232</v>
      </c>
      <c r="M1293" s="18">
        <v>40</v>
      </c>
      <c r="N1293" s="1">
        <v>28</v>
      </c>
      <c r="O1293" s="1">
        <v>0</v>
      </c>
      <c r="P1293" s="1">
        <v>0</v>
      </c>
      <c r="Q1293" s="1">
        <v>0</v>
      </c>
    </row>
    <row r="1294" spans="7:17" ht="15.45" x14ac:dyDescent="0.4">
      <c r="G1294" s="1">
        <v>769</v>
      </c>
      <c r="H1294" s="1">
        <v>3730.973523479176</v>
      </c>
      <c r="I1294" s="1">
        <v>1</v>
      </c>
      <c r="J1294" s="1">
        <v>8011.2442548331346</v>
      </c>
      <c r="K1294" s="1">
        <v>-1</v>
      </c>
      <c r="L1294" s="1">
        <v>231</v>
      </c>
      <c r="M1294" s="18">
        <v>40</v>
      </c>
      <c r="N1294" s="1">
        <v>28</v>
      </c>
      <c r="O1294" s="1">
        <v>0</v>
      </c>
      <c r="P1294" s="1">
        <v>0</v>
      </c>
      <c r="Q1294" s="1">
        <v>0</v>
      </c>
    </row>
    <row r="1295" spans="7:17" ht="15.45" x14ac:dyDescent="0.4">
      <c r="G1295" s="1">
        <v>770</v>
      </c>
      <c r="H1295" s="1">
        <v>11233.275755980598</v>
      </c>
      <c r="I1295" s="1">
        <v>-1</v>
      </c>
      <c r="J1295" s="1">
        <v>8039.285670313353</v>
      </c>
      <c r="K1295" s="1">
        <v>-1</v>
      </c>
      <c r="L1295" s="1">
        <v>230</v>
      </c>
      <c r="M1295" s="18">
        <v>40</v>
      </c>
      <c r="N1295" s="1">
        <v>28</v>
      </c>
      <c r="O1295" s="1">
        <v>0</v>
      </c>
      <c r="P1295" s="1">
        <v>0</v>
      </c>
      <c r="Q1295" s="1">
        <v>0</v>
      </c>
    </row>
    <row r="1296" spans="7:17" ht="15.45" x14ac:dyDescent="0.4">
      <c r="G1296" s="1">
        <v>771</v>
      </c>
      <c r="H1296" s="1">
        <v>3741.7899189084428</v>
      </c>
      <c r="I1296" s="1">
        <v>1</v>
      </c>
      <c r="J1296" s="1">
        <v>8049.099014395978</v>
      </c>
      <c r="K1296" s="1">
        <v>-1</v>
      </c>
      <c r="L1296" s="1">
        <v>229</v>
      </c>
      <c r="M1296" s="18">
        <v>40</v>
      </c>
      <c r="N1296" s="1">
        <v>28</v>
      </c>
      <c r="O1296" s="1">
        <v>0</v>
      </c>
      <c r="P1296" s="1">
        <v>0</v>
      </c>
      <c r="Q1296" s="1">
        <v>0</v>
      </c>
    </row>
    <row r="1297" spans="7:17" ht="15.45" x14ac:dyDescent="0.4">
      <c r="G1297" s="1">
        <v>772</v>
      </c>
      <c r="H1297" s="1">
        <v>11245.374308519155</v>
      </c>
      <c r="I1297" s="1">
        <v>-1</v>
      </c>
      <c r="J1297" s="1">
        <v>8069.7629968926303</v>
      </c>
      <c r="K1297" s="1">
        <v>-1</v>
      </c>
      <c r="L1297" s="1">
        <v>228</v>
      </c>
      <c r="M1297" s="18">
        <v>40</v>
      </c>
      <c r="N1297" s="1">
        <v>28</v>
      </c>
      <c r="O1297" s="1">
        <v>0</v>
      </c>
      <c r="P1297" s="1">
        <v>0</v>
      </c>
      <c r="Q1297" s="1">
        <v>0</v>
      </c>
    </row>
    <row r="1298" spans="7:17" ht="15.45" x14ac:dyDescent="0.4">
      <c r="G1298" s="1">
        <v>773</v>
      </c>
      <c r="H1298" s="1">
        <v>3742.8966011521675</v>
      </c>
      <c r="I1298" s="1">
        <v>1</v>
      </c>
      <c r="J1298" s="1">
        <v>8098.3214339955666</v>
      </c>
      <c r="K1298" s="1">
        <v>-1</v>
      </c>
      <c r="L1298" s="1">
        <v>227</v>
      </c>
      <c r="M1298" s="18">
        <v>40</v>
      </c>
      <c r="N1298" s="1">
        <v>28</v>
      </c>
      <c r="O1298" s="1">
        <v>0</v>
      </c>
      <c r="P1298" s="1">
        <v>0</v>
      </c>
      <c r="Q1298" s="1">
        <v>0</v>
      </c>
    </row>
    <row r="1299" spans="7:17" ht="15.45" x14ac:dyDescent="0.4">
      <c r="G1299" s="1">
        <v>774</v>
      </c>
      <c r="H1299" s="1">
        <v>11274.251881173348</v>
      </c>
      <c r="I1299" s="1">
        <v>-1</v>
      </c>
      <c r="J1299" s="1">
        <v>8121.4725333808792</v>
      </c>
      <c r="K1299" s="1">
        <v>-1</v>
      </c>
      <c r="L1299" s="1">
        <v>226</v>
      </c>
      <c r="M1299" s="18">
        <v>40</v>
      </c>
      <c r="N1299" s="1">
        <v>28</v>
      </c>
      <c r="O1299" s="1">
        <v>0</v>
      </c>
      <c r="P1299" s="1">
        <v>0</v>
      </c>
      <c r="Q1299" s="1">
        <v>0</v>
      </c>
    </row>
    <row r="1300" spans="7:17" ht="15.45" x14ac:dyDescent="0.4">
      <c r="G1300" s="1">
        <v>775</v>
      </c>
      <c r="H1300" s="1">
        <v>3745.4911709052853</v>
      </c>
      <c r="I1300" s="1">
        <v>1</v>
      </c>
      <c r="J1300" s="1">
        <v>8164.5053863136854</v>
      </c>
      <c r="K1300" s="1">
        <v>-1</v>
      </c>
      <c r="L1300" s="1">
        <v>225</v>
      </c>
      <c r="M1300" s="18">
        <v>40</v>
      </c>
      <c r="N1300" s="1">
        <v>28</v>
      </c>
      <c r="O1300" s="1">
        <v>0</v>
      </c>
      <c r="P1300" s="1">
        <v>0</v>
      </c>
      <c r="Q1300" s="1">
        <v>0</v>
      </c>
    </row>
    <row r="1301" spans="7:17" ht="15.45" x14ac:dyDescent="0.4">
      <c r="G1301" s="1">
        <v>776</v>
      </c>
      <c r="H1301" s="1">
        <v>11282.661426921879</v>
      </c>
      <c r="I1301" s="1">
        <v>-1</v>
      </c>
      <c r="J1301" s="1">
        <v>8166.2881031900451</v>
      </c>
      <c r="K1301" s="1">
        <v>-1</v>
      </c>
      <c r="L1301" s="1">
        <v>224</v>
      </c>
      <c r="M1301" s="18">
        <v>40</v>
      </c>
      <c r="N1301" s="1">
        <v>28</v>
      </c>
      <c r="O1301" s="1">
        <v>0</v>
      </c>
      <c r="P1301" s="1">
        <v>0</v>
      </c>
      <c r="Q1301" s="1">
        <v>0</v>
      </c>
    </row>
    <row r="1302" spans="7:17" ht="15.45" x14ac:dyDescent="0.4">
      <c r="G1302" s="1">
        <v>777</v>
      </c>
      <c r="H1302" s="1">
        <v>3747.0830867577088</v>
      </c>
      <c r="I1302" s="1">
        <v>1</v>
      </c>
      <c r="J1302" s="1">
        <v>8179.9586679967269</v>
      </c>
      <c r="K1302" s="1">
        <v>-1</v>
      </c>
      <c r="L1302" s="1">
        <v>223</v>
      </c>
      <c r="M1302" s="18">
        <v>40</v>
      </c>
      <c r="N1302" s="1">
        <v>28</v>
      </c>
      <c r="O1302" s="1">
        <v>0</v>
      </c>
      <c r="P1302" s="1">
        <v>0</v>
      </c>
      <c r="Q1302" s="1">
        <v>0</v>
      </c>
    </row>
    <row r="1303" spans="7:17" ht="15.45" x14ac:dyDescent="0.4">
      <c r="G1303" s="1">
        <v>778</v>
      </c>
      <c r="H1303" s="1">
        <v>11309.887152069028</v>
      </c>
      <c r="I1303" s="1">
        <v>-1</v>
      </c>
      <c r="J1303" s="1">
        <v>8201.9732621548428</v>
      </c>
      <c r="K1303" s="1">
        <v>-1</v>
      </c>
      <c r="L1303" s="1">
        <v>222</v>
      </c>
      <c r="M1303" s="18">
        <v>40</v>
      </c>
      <c r="N1303" s="1">
        <v>27</v>
      </c>
      <c r="O1303" s="1">
        <v>0</v>
      </c>
      <c r="P1303" s="1">
        <v>0</v>
      </c>
      <c r="Q1303" s="1">
        <v>0</v>
      </c>
    </row>
    <row r="1304" spans="7:17" ht="15.45" x14ac:dyDescent="0.4">
      <c r="G1304" s="1">
        <v>779</v>
      </c>
      <c r="H1304" s="1">
        <v>3752.0035304193225</v>
      </c>
      <c r="I1304" s="1">
        <v>1</v>
      </c>
      <c r="J1304" s="1">
        <v>8225.8451770349893</v>
      </c>
      <c r="K1304" s="1">
        <v>-1</v>
      </c>
      <c r="L1304" s="1">
        <v>221</v>
      </c>
      <c r="M1304" s="18">
        <v>40</v>
      </c>
      <c r="N1304" s="1">
        <v>27</v>
      </c>
      <c r="O1304" s="1">
        <v>0</v>
      </c>
      <c r="P1304" s="1">
        <v>0</v>
      </c>
      <c r="Q1304" s="1">
        <v>0</v>
      </c>
    </row>
    <row r="1305" spans="7:17" ht="15.45" x14ac:dyDescent="0.4">
      <c r="G1305" s="1">
        <v>780</v>
      </c>
      <c r="H1305" s="1">
        <v>11321.166025176512</v>
      </c>
      <c r="I1305" s="1">
        <v>-1</v>
      </c>
      <c r="J1305" s="1">
        <v>8265.2040253621999</v>
      </c>
      <c r="K1305" s="1">
        <v>-1</v>
      </c>
      <c r="L1305" s="1">
        <v>220</v>
      </c>
      <c r="M1305" s="18">
        <v>40</v>
      </c>
      <c r="N1305" s="1">
        <v>27</v>
      </c>
      <c r="O1305" s="1">
        <v>0</v>
      </c>
      <c r="P1305" s="1">
        <v>0</v>
      </c>
      <c r="Q1305" s="1">
        <v>0</v>
      </c>
    </row>
    <row r="1306" spans="7:17" ht="15.45" x14ac:dyDescent="0.4">
      <c r="G1306" s="1">
        <v>781</v>
      </c>
      <c r="H1306" s="1">
        <v>3758.0424021207937</v>
      </c>
      <c r="I1306" s="1">
        <v>1</v>
      </c>
      <c r="J1306" s="1">
        <v>8270.5511418023671</v>
      </c>
      <c r="K1306" s="1">
        <v>-1</v>
      </c>
      <c r="L1306" s="1">
        <v>219</v>
      </c>
      <c r="M1306" s="18">
        <v>40</v>
      </c>
      <c r="N1306" s="1">
        <v>27</v>
      </c>
      <c r="O1306" s="1">
        <v>0</v>
      </c>
      <c r="P1306" s="1">
        <v>0</v>
      </c>
      <c r="Q1306" s="1">
        <v>0</v>
      </c>
    </row>
    <row r="1307" spans="7:17" ht="15.45" x14ac:dyDescent="0.4">
      <c r="G1307" s="1">
        <v>782</v>
      </c>
      <c r="H1307" s="1">
        <v>11336.349939941632</v>
      </c>
      <c r="I1307" s="1">
        <v>-1</v>
      </c>
      <c r="J1307" s="1">
        <v>8272.1919173214483</v>
      </c>
      <c r="K1307" s="1">
        <v>-1</v>
      </c>
      <c r="L1307" s="1">
        <v>218</v>
      </c>
      <c r="M1307" s="18">
        <v>40</v>
      </c>
      <c r="N1307" s="1">
        <v>27</v>
      </c>
      <c r="O1307" s="1">
        <v>0</v>
      </c>
      <c r="P1307" s="1">
        <v>0</v>
      </c>
      <c r="Q1307" s="1">
        <v>0</v>
      </c>
    </row>
    <row r="1308" spans="7:17" ht="15.45" x14ac:dyDescent="0.4">
      <c r="G1308" s="1">
        <v>783</v>
      </c>
      <c r="H1308" s="1">
        <v>3771.5554313901121</v>
      </c>
      <c r="I1308" s="1">
        <v>1</v>
      </c>
      <c r="J1308" s="1">
        <v>8303.9347748714572</v>
      </c>
      <c r="K1308" s="1">
        <v>-1</v>
      </c>
      <c r="L1308" s="1">
        <v>217</v>
      </c>
      <c r="M1308" s="18">
        <v>40</v>
      </c>
      <c r="N1308" s="1">
        <v>27</v>
      </c>
      <c r="O1308" s="1">
        <v>0</v>
      </c>
      <c r="P1308" s="1">
        <v>0</v>
      </c>
      <c r="Q1308" s="1">
        <v>0</v>
      </c>
    </row>
    <row r="1309" spans="7:17" ht="15.45" x14ac:dyDescent="0.4">
      <c r="G1309" s="1">
        <v>784</v>
      </c>
      <c r="H1309" s="1">
        <v>11402.818423696343</v>
      </c>
      <c r="I1309" s="1">
        <v>-1</v>
      </c>
      <c r="J1309" s="1">
        <v>8338.9508579636131</v>
      </c>
      <c r="K1309" s="1">
        <v>-1</v>
      </c>
      <c r="L1309" s="1">
        <v>216</v>
      </c>
      <c r="M1309" s="18">
        <v>40</v>
      </c>
      <c r="N1309" s="1">
        <v>27</v>
      </c>
      <c r="O1309" s="1">
        <v>0</v>
      </c>
      <c r="P1309" s="1">
        <v>0</v>
      </c>
      <c r="Q1309" s="1">
        <v>0</v>
      </c>
    </row>
    <row r="1310" spans="7:17" ht="15.45" x14ac:dyDescent="0.4">
      <c r="G1310" s="1">
        <v>785</v>
      </c>
      <c r="H1310" s="1">
        <v>3772.9274796974951</v>
      </c>
      <c r="I1310" s="1">
        <v>1</v>
      </c>
      <c r="J1310" s="1">
        <v>8349.7340260541096</v>
      </c>
      <c r="K1310" s="1">
        <v>-1</v>
      </c>
      <c r="L1310" s="1">
        <v>215</v>
      </c>
      <c r="M1310" s="18">
        <v>40</v>
      </c>
      <c r="N1310" s="1">
        <v>27</v>
      </c>
      <c r="O1310" s="1">
        <v>0</v>
      </c>
      <c r="P1310" s="1">
        <v>0</v>
      </c>
      <c r="Q1310" s="1">
        <v>0</v>
      </c>
    </row>
    <row r="1311" spans="7:17" ht="15.45" x14ac:dyDescent="0.4">
      <c r="G1311" s="1">
        <v>786</v>
      </c>
      <c r="H1311" s="1">
        <v>11436.459801721356</v>
      </c>
      <c r="I1311" s="1">
        <v>-1</v>
      </c>
      <c r="J1311" s="1">
        <v>8366.6464249610144</v>
      </c>
      <c r="K1311" s="1">
        <v>-1</v>
      </c>
      <c r="L1311" s="1">
        <v>214</v>
      </c>
      <c r="M1311" s="18">
        <v>40</v>
      </c>
      <c r="N1311" s="1">
        <v>27</v>
      </c>
      <c r="O1311" s="1">
        <v>0</v>
      </c>
      <c r="P1311" s="1">
        <v>0</v>
      </c>
      <c r="Q1311" s="1">
        <v>0</v>
      </c>
    </row>
    <row r="1312" spans="7:17" ht="15.45" x14ac:dyDescent="0.4">
      <c r="G1312" s="1">
        <v>787</v>
      </c>
      <c r="H1312" s="1">
        <v>3774.6572100957414</v>
      </c>
      <c r="I1312" s="1">
        <v>1</v>
      </c>
      <c r="J1312" s="1">
        <v>8415.3076367863505</v>
      </c>
      <c r="K1312" s="1">
        <v>-1</v>
      </c>
      <c r="L1312" s="1">
        <v>213</v>
      </c>
      <c r="M1312" s="18">
        <v>40</v>
      </c>
      <c r="N1312" s="1">
        <v>27</v>
      </c>
      <c r="O1312" s="1">
        <v>0</v>
      </c>
      <c r="P1312" s="1">
        <v>0</v>
      </c>
      <c r="Q1312" s="1">
        <v>0</v>
      </c>
    </row>
    <row r="1313" spans="7:17" ht="15.45" x14ac:dyDescent="0.4">
      <c r="G1313" s="1">
        <v>788</v>
      </c>
      <c r="H1313" s="1">
        <v>11465.867635118941</v>
      </c>
      <c r="I1313" s="1">
        <v>-1</v>
      </c>
      <c r="J1313" s="1">
        <v>8501.164775614161</v>
      </c>
      <c r="K1313" s="1">
        <v>-1</v>
      </c>
      <c r="L1313" s="1">
        <v>212</v>
      </c>
      <c r="M1313" s="18">
        <v>40</v>
      </c>
      <c r="N1313" s="1">
        <v>27</v>
      </c>
      <c r="O1313" s="1">
        <v>0</v>
      </c>
      <c r="P1313" s="1">
        <v>0</v>
      </c>
      <c r="Q1313" s="1">
        <v>0</v>
      </c>
    </row>
    <row r="1314" spans="7:17" ht="15.45" x14ac:dyDescent="0.4">
      <c r="G1314" s="1">
        <v>789</v>
      </c>
      <c r="H1314" s="1">
        <v>3779.0366362619652</v>
      </c>
      <c r="I1314" s="1">
        <v>1</v>
      </c>
      <c r="J1314" s="1">
        <v>8543.7108799291564</v>
      </c>
      <c r="K1314" s="1">
        <v>-1</v>
      </c>
      <c r="L1314" s="1">
        <v>211</v>
      </c>
      <c r="M1314" s="18">
        <v>40</v>
      </c>
      <c r="N1314" s="1">
        <v>27</v>
      </c>
      <c r="O1314" s="1">
        <v>0</v>
      </c>
      <c r="P1314" s="1">
        <v>0</v>
      </c>
      <c r="Q1314" s="1">
        <v>0</v>
      </c>
    </row>
    <row r="1315" spans="7:17" ht="15.45" x14ac:dyDescent="0.4">
      <c r="G1315" s="1">
        <v>790</v>
      </c>
      <c r="H1315" s="1">
        <v>11486.945348934201</v>
      </c>
      <c r="I1315" s="1">
        <v>-1</v>
      </c>
      <c r="J1315" s="1">
        <v>8557.0497408836582</v>
      </c>
      <c r="K1315" s="1">
        <v>-1</v>
      </c>
      <c r="L1315" s="1">
        <v>210</v>
      </c>
      <c r="M1315" s="18">
        <v>40</v>
      </c>
      <c r="N1315" s="1">
        <v>27</v>
      </c>
      <c r="O1315" s="1">
        <v>0</v>
      </c>
      <c r="P1315" s="1">
        <v>0</v>
      </c>
      <c r="Q1315" s="1">
        <v>0</v>
      </c>
    </row>
    <row r="1316" spans="7:17" ht="15.45" x14ac:dyDescent="0.4">
      <c r="G1316" s="1">
        <v>791</v>
      </c>
      <c r="H1316" s="1">
        <v>3787.0863077176637</v>
      </c>
      <c r="I1316" s="1">
        <v>1</v>
      </c>
      <c r="J1316" s="1">
        <v>8566.0970971762563</v>
      </c>
      <c r="K1316" s="1">
        <v>-1</v>
      </c>
      <c r="L1316" s="1">
        <v>209</v>
      </c>
      <c r="M1316" s="18">
        <v>40</v>
      </c>
      <c r="N1316" s="1">
        <v>27</v>
      </c>
      <c r="O1316" s="1">
        <v>0</v>
      </c>
      <c r="P1316" s="1">
        <v>0</v>
      </c>
      <c r="Q1316" s="1">
        <v>0</v>
      </c>
    </row>
    <row r="1317" spans="7:17" ht="15.45" x14ac:dyDescent="0.4">
      <c r="G1317" s="1">
        <v>792</v>
      </c>
      <c r="H1317" s="1">
        <v>11544.315656290517</v>
      </c>
      <c r="I1317" s="1">
        <v>-1</v>
      </c>
      <c r="J1317" s="1">
        <v>8575.614826485109</v>
      </c>
      <c r="K1317" s="1">
        <v>-1</v>
      </c>
      <c r="L1317" s="1">
        <v>208</v>
      </c>
      <c r="M1317" s="18">
        <v>40</v>
      </c>
      <c r="N1317" s="1">
        <v>27</v>
      </c>
      <c r="O1317" s="1">
        <v>0</v>
      </c>
      <c r="P1317" s="1">
        <v>0</v>
      </c>
      <c r="Q1317" s="1">
        <v>0</v>
      </c>
    </row>
    <row r="1318" spans="7:17" ht="15.45" x14ac:dyDescent="0.4">
      <c r="G1318" s="1">
        <v>793</v>
      </c>
      <c r="H1318" s="1">
        <v>3793.0480502695618</v>
      </c>
      <c r="I1318" s="1">
        <v>1</v>
      </c>
      <c r="J1318" s="1">
        <v>8583.7408948834563</v>
      </c>
      <c r="K1318" s="1">
        <v>-1</v>
      </c>
      <c r="L1318" s="1">
        <v>207</v>
      </c>
      <c r="M1318" s="18">
        <v>40</v>
      </c>
      <c r="N1318" s="1">
        <v>27</v>
      </c>
      <c r="O1318" s="1">
        <v>0</v>
      </c>
      <c r="P1318" s="1">
        <v>0</v>
      </c>
      <c r="Q1318" s="1">
        <v>0</v>
      </c>
    </row>
    <row r="1319" spans="7:17" ht="15.45" x14ac:dyDescent="0.4">
      <c r="G1319" s="1">
        <v>794</v>
      </c>
      <c r="H1319" s="1">
        <v>11592.401352507057</v>
      </c>
      <c r="I1319" s="1">
        <v>-1</v>
      </c>
      <c r="J1319" s="1">
        <v>8596.2293962488184</v>
      </c>
      <c r="K1319" s="1">
        <v>-1</v>
      </c>
      <c r="L1319" s="1">
        <v>206</v>
      </c>
      <c r="M1319" s="18">
        <v>40</v>
      </c>
      <c r="N1319" s="1">
        <v>27</v>
      </c>
      <c r="O1319" s="1">
        <v>0</v>
      </c>
      <c r="P1319" s="1">
        <v>0</v>
      </c>
      <c r="Q1319" s="1">
        <v>0</v>
      </c>
    </row>
    <row r="1320" spans="7:17" ht="15.45" x14ac:dyDescent="0.4">
      <c r="G1320" s="1">
        <v>795</v>
      </c>
      <c r="H1320" s="1">
        <v>3837.2928726567784</v>
      </c>
      <c r="I1320" s="1">
        <v>1</v>
      </c>
      <c r="J1320" s="1">
        <v>8597.0418043491172</v>
      </c>
      <c r="K1320" s="1">
        <v>-1</v>
      </c>
      <c r="L1320" s="1">
        <v>205</v>
      </c>
      <c r="M1320" s="18">
        <v>40</v>
      </c>
      <c r="N1320" s="1">
        <v>27</v>
      </c>
      <c r="O1320" s="1">
        <v>0</v>
      </c>
      <c r="P1320" s="1">
        <v>0</v>
      </c>
      <c r="Q1320" s="1">
        <v>0</v>
      </c>
    </row>
    <row r="1321" spans="7:17" ht="15.45" x14ac:dyDescent="0.4">
      <c r="G1321" s="1">
        <v>796</v>
      </c>
      <c r="H1321" s="1">
        <v>11599.906837076171</v>
      </c>
      <c r="I1321" s="1">
        <v>-1</v>
      </c>
      <c r="J1321" s="1">
        <v>8602.6496351986025</v>
      </c>
      <c r="K1321" s="1">
        <v>-1</v>
      </c>
      <c r="L1321" s="1">
        <v>204</v>
      </c>
      <c r="M1321" s="18">
        <v>40</v>
      </c>
      <c r="N1321" s="1">
        <v>27</v>
      </c>
      <c r="O1321" s="1">
        <v>0</v>
      </c>
      <c r="P1321" s="1">
        <v>0</v>
      </c>
      <c r="Q1321" s="1">
        <v>0</v>
      </c>
    </row>
    <row r="1322" spans="7:17" ht="15.45" x14ac:dyDescent="0.4">
      <c r="G1322" s="1">
        <v>797</v>
      </c>
      <c r="H1322" s="1">
        <v>3840.9896311452826</v>
      </c>
      <c r="I1322" s="1">
        <v>1</v>
      </c>
      <c r="J1322" s="1">
        <v>8614.2402367952091</v>
      </c>
      <c r="K1322" s="1">
        <v>-1</v>
      </c>
      <c r="L1322" s="1">
        <v>203</v>
      </c>
      <c r="M1322" s="18">
        <v>40</v>
      </c>
      <c r="N1322" s="1">
        <v>27</v>
      </c>
      <c r="O1322" s="1">
        <v>0</v>
      </c>
      <c r="P1322" s="1">
        <v>0</v>
      </c>
      <c r="Q1322" s="1">
        <v>0</v>
      </c>
    </row>
    <row r="1323" spans="7:17" ht="15.45" x14ac:dyDescent="0.4">
      <c r="G1323" s="1">
        <v>798</v>
      </c>
      <c r="H1323" s="1">
        <v>11632.356023363971</v>
      </c>
      <c r="I1323" s="1">
        <v>-1</v>
      </c>
      <c r="J1323" s="1">
        <v>8645.7600050007131</v>
      </c>
      <c r="K1323" s="1">
        <v>-1</v>
      </c>
      <c r="L1323" s="1">
        <v>202</v>
      </c>
      <c r="M1323" s="18">
        <v>40</v>
      </c>
      <c r="N1323" s="1">
        <v>26</v>
      </c>
      <c r="O1323" s="1">
        <v>0</v>
      </c>
      <c r="P1323" s="1">
        <v>0</v>
      </c>
      <c r="Q1323" s="1">
        <v>0</v>
      </c>
    </row>
    <row r="1324" spans="7:17" ht="15.45" x14ac:dyDescent="0.4">
      <c r="G1324" s="1">
        <v>799</v>
      </c>
      <c r="H1324" s="1">
        <v>3852.4528218109617</v>
      </c>
      <c r="I1324" s="1">
        <v>1</v>
      </c>
      <c r="J1324" s="1">
        <v>8650.281442154117</v>
      </c>
      <c r="K1324" s="1">
        <v>-1</v>
      </c>
      <c r="L1324" s="1">
        <v>201</v>
      </c>
      <c r="M1324" s="18">
        <v>40</v>
      </c>
      <c r="N1324" s="1">
        <v>26</v>
      </c>
      <c r="O1324" s="1">
        <v>0</v>
      </c>
      <c r="P1324" s="1">
        <v>0</v>
      </c>
      <c r="Q1324" s="1">
        <v>0</v>
      </c>
    </row>
    <row r="1325" spans="7:17" ht="15.45" x14ac:dyDescent="0.4">
      <c r="G1325" s="1">
        <v>800</v>
      </c>
      <c r="H1325" s="1">
        <v>11635.676070095145</v>
      </c>
      <c r="I1325" s="1">
        <v>-1</v>
      </c>
      <c r="J1325" s="1">
        <v>8654.2453756713694</v>
      </c>
      <c r="K1325" s="1">
        <v>-1</v>
      </c>
      <c r="L1325" s="1">
        <v>200</v>
      </c>
      <c r="M1325" s="18">
        <v>40</v>
      </c>
      <c r="N1325" s="1">
        <v>26</v>
      </c>
      <c r="O1325" s="1">
        <v>0</v>
      </c>
      <c r="P1325" s="1">
        <v>0</v>
      </c>
      <c r="Q1325" s="1">
        <v>0</v>
      </c>
    </row>
    <row r="1326" spans="7:17" ht="15.45" x14ac:dyDescent="0.4">
      <c r="G1326" s="1">
        <v>801</v>
      </c>
      <c r="H1326" s="1">
        <v>3852.7994380624418</v>
      </c>
      <c r="I1326" s="1">
        <v>1</v>
      </c>
      <c r="J1326" s="1">
        <v>8672.5110521660063</v>
      </c>
      <c r="K1326" s="1">
        <v>-1</v>
      </c>
      <c r="L1326" s="1">
        <v>199</v>
      </c>
      <c r="M1326" s="18">
        <v>40</v>
      </c>
      <c r="N1326" s="1">
        <v>26</v>
      </c>
      <c r="O1326" s="1">
        <v>0</v>
      </c>
      <c r="P1326" s="1">
        <v>0</v>
      </c>
      <c r="Q1326" s="1">
        <v>0</v>
      </c>
    </row>
    <row r="1327" spans="7:17" ht="15.45" x14ac:dyDescent="0.4">
      <c r="G1327" s="1">
        <v>802</v>
      </c>
      <c r="H1327" s="1">
        <v>11643.4597793545</v>
      </c>
      <c r="I1327" s="1">
        <v>-1</v>
      </c>
      <c r="J1327" s="1">
        <v>8681.0945836903284</v>
      </c>
      <c r="K1327" s="1">
        <v>-1</v>
      </c>
      <c r="L1327" s="1">
        <v>198</v>
      </c>
      <c r="M1327" s="18">
        <v>40</v>
      </c>
      <c r="N1327" s="1">
        <v>26</v>
      </c>
      <c r="O1327" s="1">
        <v>0</v>
      </c>
      <c r="P1327" s="1">
        <v>0</v>
      </c>
      <c r="Q1327" s="1">
        <v>0</v>
      </c>
    </row>
    <row r="1328" spans="7:17" ht="15.45" x14ac:dyDescent="0.4">
      <c r="G1328" s="1">
        <v>803</v>
      </c>
      <c r="H1328" s="1">
        <v>3858.4848250074424</v>
      </c>
      <c r="I1328" s="1">
        <v>1</v>
      </c>
      <c r="J1328" s="1">
        <v>8692.0646133223418</v>
      </c>
      <c r="K1328" s="1">
        <v>-1</v>
      </c>
      <c r="L1328" s="1">
        <v>197</v>
      </c>
      <c r="M1328" s="18">
        <v>40</v>
      </c>
      <c r="N1328" s="1">
        <v>26</v>
      </c>
      <c r="O1328" s="1">
        <v>0</v>
      </c>
      <c r="P1328" s="1">
        <v>0</v>
      </c>
      <c r="Q1328" s="1">
        <v>0</v>
      </c>
    </row>
    <row r="1329" spans="7:17" ht="15.45" x14ac:dyDescent="0.4">
      <c r="G1329" s="1">
        <v>804</v>
      </c>
      <c r="H1329" s="1">
        <v>11648.235526911771</v>
      </c>
      <c r="I1329" s="1">
        <v>-1</v>
      </c>
      <c r="J1329" s="1">
        <v>8696.3336656884203</v>
      </c>
      <c r="K1329" s="1">
        <v>-1</v>
      </c>
      <c r="L1329" s="1">
        <v>196</v>
      </c>
      <c r="M1329" s="18">
        <v>40</v>
      </c>
      <c r="N1329" s="1">
        <v>26</v>
      </c>
      <c r="O1329" s="1">
        <v>0</v>
      </c>
      <c r="P1329" s="1">
        <v>0</v>
      </c>
      <c r="Q1329" s="1">
        <v>0</v>
      </c>
    </row>
    <row r="1330" spans="7:17" ht="15.45" x14ac:dyDescent="0.4">
      <c r="G1330" s="1">
        <v>805</v>
      </c>
      <c r="H1330" s="1">
        <v>3862.3076723802023</v>
      </c>
      <c r="I1330" s="1">
        <v>1</v>
      </c>
      <c r="J1330" s="1">
        <v>8726.9492302161561</v>
      </c>
      <c r="K1330" s="1">
        <v>-1</v>
      </c>
      <c r="L1330" s="1">
        <v>195</v>
      </c>
      <c r="M1330" s="18">
        <v>40</v>
      </c>
      <c r="N1330" s="1">
        <v>26</v>
      </c>
      <c r="O1330" s="1">
        <v>0</v>
      </c>
      <c r="P1330" s="1">
        <v>0</v>
      </c>
      <c r="Q1330" s="1">
        <v>0</v>
      </c>
    </row>
    <row r="1331" spans="7:17" ht="15.45" x14ac:dyDescent="0.4">
      <c r="G1331" s="1">
        <v>806</v>
      </c>
      <c r="H1331" s="1">
        <v>11662.996857896611</v>
      </c>
      <c r="I1331" s="1">
        <v>-1</v>
      </c>
      <c r="J1331" s="1">
        <v>8732.7169840745264</v>
      </c>
      <c r="K1331" s="1">
        <v>-1</v>
      </c>
      <c r="L1331" s="1">
        <v>194</v>
      </c>
      <c r="M1331" s="18">
        <v>40</v>
      </c>
      <c r="N1331" s="1">
        <v>26</v>
      </c>
      <c r="O1331" s="1">
        <v>0</v>
      </c>
      <c r="P1331" s="1">
        <v>0</v>
      </c>
      <c r="Q1331" s="1">
        <v>0</v>
      </c>
    </row>
    <row r="1332" spans="7:17" ht="15.45" x14ac:dyDescent="0.4">
      <c r="G1332" s="1">
        <v>807</v>
      </c>
      <c r="H1332" s="1">
        <v>3863.333193848071</v>
      </c>
      <c r="I1332" s="1">
        <v>1</v>
      </c>
      <c r="J1332" s="1">
        <v>8778.9812620240446</v>
      </c>
      <c r="K1332" s="1">
        <v>-1</v>
      </c>
      <c r="L1332" s="1">
        <v>193</v>
      </c>
      <c r="M1332" s="18">
        <v>40</v>
      </c>
      <c r="N1332" s="1">
        <v>26</v>
      </c>
      <c r="O1332" s="1">
        <v>0</v>
      </c>
      <c r="P1332" s="1">
        <v>0</v>
      </c>
      <c r="Q1332" s="1">
        <v>0</v>
      </c>
    </row>
    <row r="1333" spans="7:17" ht="15.45" x14ac:dyDescent="0.4">
      <c r="G1333" s="1">
        <v>808</v>
      </c>
      <c r="H1333" s="1">
        <v>11681.113473001024</v>
      </c>
      <c r="I1333" s="1">
        <v>-1</v>
      </c>
      <c r="J1333" s="1">
        <v>8820.2752397580607</v>
      </c>
      <c r="K1333" s="1">
        <v>-1</v>
      </c>
      <c r="L1333" s="1">
        <v>192</v>
      </c>
      <c r="M1333" s="18">
        <v>40</v>
      </c>
      <c r="N1333" s="1">
        <v>26</v>
      </c>
      <c r="O1333" s="1">
        <v>0</v>
      </c>
      <c r="P1333" s="1">
        <v>0</v>
      </c>
      <c r="Q1333" s="1">
        <v>0</v>
      </c>
    </row>
    <row r="1334" spans="7:17" ht="15.45" x14ac:dyDescent="0.4">
      <c r="G1334" s="1">
        <v>809</v>
      </c>
      <c r="H1334" s="1">
        <v>3876.6001660389379</v>
      </c>
      <c r="I1334" s="1">
        <v>1</v>
      </c>
      <c r="J1334" s="1">
        <v>8835.247192128285</v>
      </c>
      <c r="K1334" s="1">
        <v>-1</v>
      </c>
      <c r="L1334" s="1">
        <v>191</v>
      </c>
      <c r="M1334" s="18">
        <v>40</v>
      </c>
      <c r="N1334" s="1">
        <v>25</v>
      </c>
      <c r="O1334" s="1">
        <v>0</v>
      </c>
      <c r="P1334" s="1">
        <v>0</v>
      </c>
      <c r="Q1334" s="1">
        <v>0</v>
      </c>
    </row>
    <row r="1335" spans="7:17" ht="15.45" x14ac:dyDescent="0.4">
      <c r="G1335" s="1">
        <v>810</v>
      </c>
      <c r="H1335" s="1">
        <v>11721.652560808978</v>
      </c>
      <c r="I1335" s="1">
        <v>-1</v>
      </c>
      <c r="J1335" s="1">
        <v>8840.3356188211692</v>
      </c>
      <c r="K1335" s="1">
        <v>-1</v>
      </c>
      <c r="L1335" s="1">
        <v>190</v>
      </c>
      <c r="M1335" s="18">
        <v>40</v>
      </c>
      <c r="N1335" s="1">
        <v>24</v>
      </c>
      <c r="O1335" s="1">
        <v>0</v>
      </c>
      <c r="P1335" s="1">
        <v>0</v>
      </c>
      <c r="Q1335" s="1">
        <v>0</v>
      </c>
    </row>
    <row r="1336" spans="7:17" ht="15.45" x14ac:dyDescent="0.4">
      <c r="G1336" s="1">
        <v>811</v>
      </c>
      <c r="H1336" s="1">
        <v>3899.31157963038</v>
      </c>
      <c r="I1336" s="1">
        <v>1</v>
      </c>
      <c r="J1336" s="1">
        <v>8865.9875036733392</v>
      </c>
      <c r="K1336" s="1">
        <v>-1</v>
      </c>
      <c r="L1336" s="1">
        <v>189</v>
      </c>
      <c r="M1336" s="18">
        <v>40</v>
      </c>
      <c r="N1336" s="1">
        <v>23</v>
      </c>
      <c r="O1336" s="1">
        <v>0</v>
      </c>
      <c r="P1336" s="1">
        <v>0</v>
      </c>
      <c r="Q1336" s="1">
        <v>0</v>
      </c>
    </row>
    <row r="1337" spans="7:17" ht="15.45" x14ac:dyDescent="0.4">
      <c r="G1337" s="1">
        <v>812</v>
      </c>
      <c r="H1337" s="1">
        <v>11725.768705731127</v>
      </c>
      <c r="I1337" s="1">
        <v>-1</v>
      </c>
      <c r="J1337" s="1">
        <v>8880.4061564019703</v>
      </c>
      <c r="K1337" s="1">
        <v>-1</v>
      </c>
      <c r="L1337" s="1">
        <v>188</v>
      </c>
      <c r="M1337" s="18">
        <v>40</v>
      </c>
      <c r="N1337" s="1">
        <v>22</v>
      </c>
      <c r="O1337" s="1">
        <v>0</v>
      </c>
      <c r="P1337" s="1">
        <v>0</v>
      </c>
      <c r="Q1337" s="1">
        <v>0</v>
      </c>
    </row>
    <row r="1338" spans="7:17" ht="15.45" x14ac:dyDescent="0.4">
      <c r="G1338" s="1">
        <v>813</v>
      </c>
      <c r="H1338" s="1">
        <v>3922.9794168528742</v>
      </c>
      <c r="I1338" s="1">
        <v>1</v>
      </c>
      <c r="J1338" s="1">
        <v>8886.7626914582106</v>
      </c>
      <c r="K1338" s="1">
        <v>-1</v>
      </c>
      <c r="L1338" s="1">
        <v>187</v>
      </c>
      <c r="M1338" s="18">
        <v>40</v>
      </c>
      <c r="N1338" s="1">
        <v>21</v>
      </c>
      <c r="O1338" s="1">
        <v>0</v>
      </c>
      <c r="P1338" s="1">
        <v>0</v>
      </c>
      <c r="Q1338" s="1">
        <v>0</v>
      </c>
    </row>
    <row r="1339" spans="7:17" ht="15.45" x14ac:dyDescent="0.4">
      <c r="G1339" s="1">
        <v>814</v>
      </c>
      <c r="H1339" s="1">
        <v>11730.957896925865</v>
      </c>
      <c r="I1339" s="1">
        <v>-1</v>
      </c>
      <c r="J1339" s="1">
        <v>8906.128662132176</v>
      </c>
      <c r="K1339" s="1">
        <v>-1</v>
      </c>
      <c r="L1339" s="1">
        <v>186</v>
      </c>
      <c r="M1339" s="18">
        <v>40</v>
      </c>
      <c r="N1339" s="1">
        <v>20</v>
      </c>
      <c r="O1339" s="1">
        <v>0</v>
      </c>
      <c r="P1339" s="1">
        <v>0</v>
      </c>
      <c r="Q1339" s="1">
        <v>0</v>
      </c>
    </row>
    <row r="1340" spans="7:17" ht="15.45" x14ac:dyDescent="0.4">
      <c r="G1340" s="1">
        <v>815</v>
      </c>
      <c r="H1340" s="1">
        <v>3943.9943597937358</v>
      </c>
      <c r="I1340" s="1">
        <v>1</v>
      </c>
      <c r="J1340" s="1">
        <v>8940.1420370862324</v>
      </c>
      <c r="K1340" s="1">
        <v>-1</v>
      </c>
      <c r="L1340" s="1">
        <v>185</v>
      </c>
      <c r="M1340" s="18">
        <v>40</v>
      </c>
      <c r="N1340" s="1">
        <v>19</v>
      </c>
      <c r="O1340" s="1">
        <v>0</v>
      </c>
      <c r="P1340" s="1">
        <v>0</v>
      </c>
      <c r="Q1340" s="1">
        <v>0</v>
      </c>
    </row>
    <row r="1341" spans="7:17" ht="15.45" x14ac:dyDescent="0.4">
      <c r="G1341" s="1">
        <v>816</v>
      </c>
      <c r="H1341" s="1">
        <v>11744.096175424536</v>
      </c>
      <c r="I1341" s="1">
        <v>-1</v>
      </c>
      <c r="J1341" s="1">
        <v>8952.4349924615417</v>
      </c>
      <c r="K1341" s="1">
        <v>-1</v>
      </c>
      <c r="L1341" s="1">
        <v>184</v>
      </c>
      <c r="M1341" s="18">
        <v>40</v>
      </c>
      <c r="N1341" s="1">
        <v>19</v>
      </c>
      <c r="O1341" s="1">
        <v>0</v>
      </c>
      <c r="P1341" s="1">
        <v>0</v>
      </c>
      <c r="Q1341" s="1">
        <v>0</v>
      </c>
    </row>
    <row r="1342" spans="7:17" ht="15.45" x14ac:dyDescent="0.4">
      <c r="G1342" s="1">
        <v>817</v>
      </c>
      <c r="H1342" s="1">
        <v>3976.2745726542612</v>
      </c>
      <c r="I1342" s="1">
        <v>1</v>
      </c>
      <c r="J1342" s="1">
        <v>8964.4096116859819</v>
      </c>
      <c r="K1342" s="1">
        <v>-1</v>
      </c>
      <c r="L1342" s="1">
        <v>183</v>
      </c>
      <c r="M1342" s="18">
        <v>40</v>
      </c>
      <c r="N1342" s="1">
        <v>19</v>
      </c>
      <c r="O1342" s="1">
        <v>0</v>
      </c>
      <c r="P1342" s="1">
        <v>0</v>
      </c>
      <c r="Q1342" s="1">
        <v>0</v>
      </c>
    </row>
    <row r="1343" spans="7:17" ht="15.45" x14ac:dyDescent="0.4">
      <c r="G1343" s="1">
        <v>818</v>
      </c>
      <c r="H1343" s="1">
        <v>11768.245189791631</v>
      </c>
      <c r="I1343" s="1">
        <v>-1</v>
      </c>
      <c r="J1343" s="1">
        <v>8966.3348795383572</v>
      </c>
      <c r="K1343" s="1">
        <v>-1</v>
      </c>
      <c r="L1343" s="1">
        <v>182</v>
      </c>
      <c r="M1343" s="18">
        <v>40</v>
      </c>
      <c r="N1343" s="1">
        <v>19</v>
      </c>
      <c r="O1343" s="1">
        <v>0</v>
      </c>
      <c r="P1343" s="1">
        <v>0</v>
      </c>
      <c r="Q1343" s="1">
        <v>0</v>
      </c>
    </row>
    <row r="1344" spans="7:17" ht="15.45" x14ac:dyDescent="0.4">
      <c r="G1344" s="1">
        <v>819</v>
      </c>
      <c r="H1344" s="1">
        <v>3988.1594382594462</v>
      </c>
      <c r="I1344" s="1">
        <v>1</v>
      </c>
      <c r="J1344" s="1">
        <v>8968.3517768803413</v>
      </c>
      <c r="K1344" s="1">
        <v>-1</v>
      </c>
      <c r="L1344" s="1">
        <v>181</v>
      </c>
      <c r="M1344" s="18">
        <v>40</v>
      </c>
      <c r="N1344" s="1">
        <v>19</v>
      </c>
      <c r="O1344" s="1">
        <v>0</v>
      </c>
      <c r="P1344" s="1">
        <v>0</v>
      </c>
      <c r="Q1344" s="1">
        <v>0</v>
      </c>
    </row>
    <row r="1345" spans="7:17" ht="15.45" x14ac:dyDescent="0.4">
      <c r="G1345" s="1">
        <v>820</v>
      </c>
      <c r="H1345" s="1">
        <v>11786.130417447326</v>
      </c>
      <c r="I1345" s="1">
        <v>-1</v>
      </c>
      <c r="J1345" s="1">
        <v>8997.4353837918134</v>
      </c>
      <c r="K1345" s="1">
        <v>-1</v>
      </c>
      <c r="L1345" s="1">
        <v>180</v>
      </c>
      <c r="M1345" s="18">
        <v>40</v>
      </c>
      <c r="N1345" s="1">
        <v>19</v>
      </c>
      <c r="O1345" s="1">
        <v>0</v>
      </c>
      <c r="P1345" s="1">
        <v>0</v>
      </c>
      <c r="Q1345" s="1">
        <v>0</v>
      </c>
    </row>
    <row r="1346" spans="7:17" ht="15.45" x14ac:dyDescent="0.4">
      <c r="G1346" s="1">
        <v>821</v>
      </c>
      <c r="H1346" s="1">
        <v>3996.3623250105738</v>
      </c>
      <c r="I1346" s="1">
        <v>1</v>
      </c>
      <c r="J1346" s="1">
        <v>9043.1637622117469</v>
      </c>
      <c r="K1346" s="1">
        <v>-1</v>
      </c>
      <c r="L1346" s="1">
        <v>179</v>
      </c>
      <c r="M1346" s="18">
        <v>40</v>
      </c>
      <c r="N1346" s="1">
        <v>19</v>
      </c>
      <c r="O1346" s="1">
        <v>0</v>
      </c>
      <c r="P1346" s="1">
        <v>0</v>
      </c>
      <c r="Q1346" s="1">
        <v>0</v>
      </c>
    </row>
    <row r="1347" spans="7:17" ht="15.45" x14ac:dyDescent="0.4">
      <c r="G1347" s="1">
        <v>822</v>
      </c>
      <c r="H1347" s="1">
        <v>11918.864884608976</v>
      </c>
      <c r="I1347" s="1">
        <v>-1</v>
      </c>
      <c r="J1347" s="1">
        <v>9190.5602088837095</v>
      </c>
      <c r="K1347" s="1">
        <v>-1</v>
      </c>
      <c r="L1347" s="1">
        <v>178</v>
      </c>
      <c r="M1347" s="18">
        <v>40</v>
      </c>
      <c r="N1347" s="1">
        <v>19</v>
      </c>
      <c r="O1347" s="1">
        <v>0</v>
      </c>
      <c r="P1347" s="1">
        <v>0</v>
      </c>
      <c r="Q1347" s="1">
        <v>0</v>
      </c>
    </row>
    <row r="1348" spans="7:17" ht="15.45" x14ac:dyDescent="0.4">
      <c r="G1348" s="1">
        <v>823</v>
      </c>
      <c r="H1348" s="1">
        <v>4008.3789562463762</v>
      </c>
      <c r="I1348" s="1">
        <v>1</v>
      </c>
      <c r="J1348" s="1">
        <v>9215.6349405142555</v>
      </c>
      <c r="K1348" s="1">
        <v>-1</v>
      </c>
      <c r="L1348" s="1">
        <v>177</v>
      </c>
      <c r="M1348" s="18">
        <v>40</v>
      </c>
      <c r="N1348" s="1">
        <v>19</v>
      </c>
      <c r="O1348" s="1">
        <v>0</v>
      </c>
      <c r="P1348" s="1">
        <v>0</v>
      </c>
      <c r="Q1348" s="1">
        <v>0</v>
      </c>
    </row>
    <row r="1349" spans="7:17" ht="15.45" x14ac:dyDescent="0.4">
      <c r="G1349" s="1">
        <v>824</v>
      </c>
      <c r="H1349" s="1">
        <v>11929.955160074489</v>
      </c>
      <c r="I1349" s="1">
        <v>-1</v>
      </c>
      <c r="J1349" s="1">
        <v>9294.6576755266233</v>
      </c>
      <c r="K1349" s="1">
        <v>-1</v>
      </c>
      <c r="L1349" s="1">
        <v>176</v>
      </c>
      <c r="M1349" s="18">
        <v>40</v>
      </c>
      <c r="N1349" s="1">
        <v>18</v>
      </c>
      <c r="O1349" s="1">
        <v>0</v>
      </c>
      <c r="P1349" s="1">
        <v>0</v>
      </c>
      <c r="Q1349" s="1">
        <v>0</v>
      </c>
    </row>
    <row r="1350" spans="7:17" ht="15.45" x14ac:dyDescent="0.4">
      <c r="G1350" s="1">
        <v>825</v>
      </c>
      <c r="H1350" s="1">
        <v>4011.491893833841</v>
      </c>
      <c r="I1350" s="1">
        <v>1</v>
      </c>
      <c r="J1350" s="1">
        <v>9318.2547729015278</v>
      </c>
      <c r="K1350" s="1">
        <v>-1</v>
      </c>
      <c r="L1350" s="1">
        <v>175</v>
      </c>
      <c r="M1350" s="18">
        <v>40</v>
      </c>
      <c r="N1350" s="1">
        <v>17</v>
      </c>
      <c r="O1350" s="1">
        <v>0</v>
      </c>
      <c r="P1350" s="1">
        <v>0</v>
      </c>
      <c r="Q1350" s="1">
        <v>0</v>
      </c>
    </row>
    <row r="1351" spans="7:17" ht="15.45" x14ac:dyDescent="0.4">
      <c r="G1351" s="1">
        <v>826</v>
      </c>
      <c r="H1351" s="1">
        <v>11964.344732071526</v>
      </c>
      <c r="I1351" s="1">
        <v>-1</v>
      </c>
      <c r="J1351" s="1">
        <v>9435.8940534625199</v>
      </c>
      <c r="K1351" s="1">
        <v>-1</v>
      </c>
      <c r="L1351" s="1">
        <v>174</v>
      </c>
      <c r="M1351" s="18">
        <v>40</v>
      </c>
      <c r="N1351" s="1">
        <v>16</v>
      </c>
      <c r="O1351" s="1">
        <v>0</v>
      </c>
      <c r="P1351" s="1">
        <v>0</v>
      </c>
      <c r="Q1351" s="1">
        <v>0</v>
      </c>
    </row>
    <row r="1352" spans="7:17" ht="15.45" x14ac:dyDescent="0.4">
      <c r="G1352" s="1">
        <v>827</v>
      </c>
      <c r="H1352" s="1">
        <v>4019.0622241903852</v>
      </c>
      <c r="I1352" s="1">
        <v>1</v>
      </c>
      <c r="J1352" s="1">
        <v>9448.508414394817</v>
      </c>
      <c r="K1352" s="1">
        <v>-1</v>
      </c>
      <c r="L1352" s="1">
        <v>173</v>
      </c>
      <c r="M1352" s="18">
        <v>40</v>
      </c>
      <c r="N1352" s="1">
        <v>16</v>
      </c>
      <c r="O1352" s="1">
        <v>0</v>
      </c>
      <c r="P1352" s="1">
        <v>0</v>
      </c>
      <c r="Q1352" s="1">
        <v>0</v>
      </c>
    </row>
    <row r="1353" spans="7:17" ht="15.45" x14ac:dyDescent="0.4">
      <c r="G1353" s="1">
        <v>828</v>
      </c>
      <c r="H1353" s="1">
        <v>11965.384580825967</v>
      </c>
      <c r="I1353" s="1">
        <v>-1</v>
      </c>
      <c r="J1353" s="1">
        <v>9474.9379313417958</v>
      </c>
      <c r="K1353" s="1">
        <v>-1</v>
      </c>
      <c r="L1353" s="1">
        <v>172</v>
      </c>
      <c r="M1353" s="18">
        <v>40</v>
      </c>
      <c r="N1353" s="1">
        <v>16</v>
      </c>
      <c r="O1353" s="1">
        <v>0</v>
      </c>
      <c r="P1353" s="1">
        <v>0</v>
      </c>
      <c r="Q1353" s="1">
        <v>0</v>
      </c>
    </row>
    <row r="1354" spans="7:17" ht="15.45" x14ac:dyDescent="0.4">
      <c r="G1354" s="1">
        <v>829</v>
      </c>
      <c r="H1354" s="1">
        <v>4026.3137620964053</v>
      </c>
      <c r="I1354" s="1">
        <v>1</v>
      </c>
      <c r="J1354" s="1">
        <v>9487.749739118759</v>
      </c>
      <c r="K1354" s="1">
        <v>-1</v>
      </c>
      <c r="L1354" s="1">
        <v>171</v>
      </c>
      <c r="M1354" s="18">
        <v>40</v>
      </c>
      <c r="N1354" s="1">
        <v>16</v>
      </c>
      <c r="O1354" s="1">
        <v>0</v>
      </c>
      <c r="P1354" s="1">
        <v>0</v>
      </c>
      <c r="Q1354" s="1">
        <v>0</v>
      </c>
    </row>
    <row r="1355" spans="7:17" ht="15.45" x14ac:dyDescent="0.4">
      <c r="G1355" s="1">
        <v>830</v>
      </c>
      <c r="H1355" s="1">
        <v>11982.440741660968</v>
      </c>
      <c r="I1355" s="1">
        <v>-1</v>
      </c>
      <c r="J1355" s="1">
        <v>9498.2286058684585</v>
      </c>
      <c r="K1355" s="1">
        <v>-1</v>
      </c>
      <c r="L1355" s="1">
        <v>170</v>
      </c>
      <c r="M1355" s="18">
        <v>40</v>
      </c>
      <c r="N1355" s="1">
        <v>15</v>
      </c>
      <c r="O1355" s="1">
        <v>0</v>
      </c>
      <c r="P1355" s="1">
        <v>0</v>
      </c>
      <c r="Q1355" s="1">
        <v>0</v>
      </c>
    </row>
    <row r="1356" spans="7:17" ht="15.45" x14ac:dyDescent="0.4">
      <c r="G1356" s="1">
        <v>831</v>
      </c>
      <c r="H1356" s="1">
        <v>4043.6061621889444</v>
      </c>
      <c r="I1356" s="1">
        <v>1</v>
      </c>
      <c r="J1356" s="1">
        <v>9503.7343985796524</v>
      </c>
      <c r="K1356" s="1">
        <v>-1</v>
      </c>
      <c r="L1356" s="1">
        <v>169</v>
      </c>
      <c r="M1356" s="18">
        <v>40</v>
      </c>
      <c r="N1356" s="1">
        <v>15</v>
      </c>
      <c r="O1356" s="1">
        <v>0</v>
      </c>
      <c r="P1356" s="1">
        <v>0</v>
      </c>
      <c r="Q1356" s="1">
        <v>0</v>
      </c>
    </row>
    <row r="1357" spans="7:17" ht="15.45" x14ac:dyDescent="0.4">
      <c r="G1357" s="1">
        <v>832</v>
      </c>
      <c r="H1357" s="1">
        <v>11993.909283779249</v>
      </c>
      <c r="I1357" s="1">
        <v>-1</v>
      </c>
      <c r="J1357" s="1">
        <v>9527.1566462414394</v>
      </c>
      <c r="K1357" s="1">
        <v>-1</v>
      </c>
      <c r="L1357" s="1">
        <v>168</v>
      </c>
      <c r="M1357" s="18">
        <v>40</v>
      </c>
      <c r="N1357" s="1">
        <v>15</v>
      </c>
      <c r="O1357" s="1">
        <v>0</v>
      </c>
      <c r="P1357" s="1">
        <v>0</v>
      </c>
      <c r="Q1357" s="1">
        <v>0</v>
      </c>
    </row>
    <row r="1358" spans="7:17" ht="15.45" x14ac:dyDescent="0.4">
      <c r="G1358" s="1">
        <v>833</v>
      </c>
      <c r="H1358" s="1">
        <v>4065.436994101527</v>
      </c>
      <c r="I1358" s="1">
        <v>1</v>
      </c>
      <c r="J1358" s="1">
        <v>9546.9204519807208</v>
      </c>
      <c r="K1358" s="1">
        <v>-1</v>
      </c>
      <c r="L1358" s="1">
        <v>167</v>
      </c>
      <c r="M1358" s="18">
        <v>40</v>
      </c>
      <c r="N1358" s="1">
        <v>15</v>
      </c>
      <c r="O1358" s="1">
        <v>0</v>
      </c>
      <c r="P1358" s="1">
        <v>0</v>
      </c>
      <c r="Q1358" s="1">
        <v>0</v>
      </c>
    </row>
    <row r="1359" spans="7:17" ht="15.45" x14ac:dyDescent="0.4">
      <c r="G1359" s="1">
        <v>834</v>
      </c>
      <c r="H1359" s="1">
        <v>11996.985848182854</v>
      </c>
      <c r="I1359" s="1">
        <v>-1</v>
      </c>
      <c r="J1359" s="1">
        <v>9619.0784889477618</v>
      </c>
      <c r="K1359" s="1">
        <v>-1</v>
      </c>
      <c r="L1359" s="1">
        <v>166</v>
      </c>
      <c r="M1359" s="18">
        <v>40</v>
      </c>
      <c r="N1359" s="1">
        <v>15</v>
      </c>
      <c r="O1359" s="1">
        <v>0</v>
      </c>
      <c r="P1359" s="1">
        <v>0</v>
      </c>
      <c r="Q1359" s="1">
        <v>0</v>
      </c>
    </row>
    <row r="1360" spans="7:17" ht="15.45" x14ac:dyDescent="0.4">
      <c r="G1360" s="1">
        <v>835</v>
      </c>
      <c r="H1360" s="1">
        <v>4092.5966608962276</v>
      </c>
      <c r="I1360" s="1">
        <v>1</v>
      </c>
      <c r="J1360" s="1">
        <v>9647.3208199798828</v>
      </c>
      <c r="K1360" s="1">
        <v>-1</v>
      </c>
      <c r="L1360" s="1">
        <v>165</v>
      </c>
      <c r="M1360" s="18">
        <v>40</v>
      </c>
      <c r="N1360" s="1">
        <v>14</v>
      </c>
      <c r="O1360" s="1">
        <v>0</v>
      </c>
      <c r="P1360" s="1">
        <v>0</v>
      </c>
      <c r="Q1360" s="1">
        <v>0</v>
      </c>
    </row>
    <row r="1361" spans="7:17" ht="15.45" x14ac:dyDescent="0.4">
      <c r="G1361" s="1">
        <v>836</v>
      </c>
      <c r="H1361" s="1">
        <v>12036.786764755456</v>
      </c>
      <c r="I1361" s="1">
        <v>-1</v>
      </c>
      <c r="J1361" s="1">
        <v>9697.5512565331919</v>
      </c>
      <c r="K1361" s="1">
        <v>-1</v>
      </c>
      <c r="L1361" s="1">
        <v>164</v>
      </c>
      <c r="M1361" s="18">
        <v>40</v>
      </c>
      <c r="N1361" s="1">
        <v>13</v>
      </c>
      <c r="O1361" s="1">
        <v>0</v>
      </c>
      <c r="P1361" s="1">
        <v>0</v>
      </c>
      <c r="Q1361" s="1">
        <v>0</v>
      </c>
    </row>
    <row r="1362" spans="7:17" ht="15.45" x14ac:dyDescent="0.4">
      <c r="G1362" s="1">
        <v>837</v>
      </c>
      <c r="H1362" s="1">
        <v>4108.1340374371648</v>
      </c>
      <c r="I1362" s="1">
        <v>1</v>
      </c>
      <c r="J1362" s="1">
        <v>9771.6944789111622</v>
      </c>
      <c r="K1362" s="1">
        <v>-1</v>
      </c>
      <c r="L1362" s="1">
        <v>163</v>
      </c>
      <c r="M1362" s="18">
        <v>40</v>
      </c>
      <c r="N1362" s="1">
        <v>13</v>
      </c>
      <c r="O1362" s="1">
        <v>0</v>
      </c>
      <c r="P1362" s="1">
        <v>0</v>
      </c>
      <c r="Q1362" s="1">
        <v>0</v>
      </c>
    </row>
    <row r="1363" spans="7:17" ht="15.45" x14ac:dyDescent="0.4">
      <c r="G1363" s="1">
        <v>838</v>
      </c>
      <c r="H1363" s="1">
        <v>12104.921005529783</v>
      </c>
      <c r="I1363" s="1">
        <v>-1</v>
      </c>
      <c r="J1363" s="1">
        <v>9828.3193420912539</v>
      </c>
      <c r="K1363" s="1">
        <v>-1</v>
      </c>
      <c r="L1363" s="1">
        <v>162</v>
      </c>
      <c r="M1363" s="18">
        <v>40</v>
      </c>
      <c r="N1363" s="1">
        <v>13</v>
      </c>
      <c r="O1363" s="1">
        <v>0</v>
      </c>
      <c r="P1363" s="1">
        <v>0</v>
      </c>
      <c r="Q1363" s="1">
        <v>0</v>
      </c>
    </row>
    <row r="1364" spans="7:17" ht="15.45" x14ac:dyDescent="0.4">
      <c r="G1364" s="1">
        <v>839</v>
      </c>
      <c r="H1364" s="1">
        <v>4111.0910182708185</v>
      </c>
      <c r="I1364" s="1">
        <v>1</v>
      </c>
      <c r="J1364" s="1">
        <v>9829.728554020212</v>
      </c>
      <c r="K1364" s="1">
        <v>-1</v>
      </c>
      <c r="L1364" s="1">
        <v>161</v>
      </c>
      <c r="M1364" s="18">
        <v>40</v>
      </c>
      <c r="N1364" s="1">
        <v>13</v>
      </c>
      <c r="O1364" s="1">
        <v>0</v>
      </c>
      <c r="P1364" s="1">
        <v>0</v>
      </c>
      <c r="Q1364" s="1">
        <v>0</v>
      </c>
    </row>
    <row r="1365" spans="7:17" ht="15.45" x14ac:dyDescent="0.4">
      <c r="G1365" s="1">
        <v>840</v>
      </c>
      <c r="H1365" s="1">
        <v>12175.924517197265</v>
      </c>
      <c r="I1365" s="1">
        <v>-1</v>
      </c>
      <c r="J1365" s="1">
        <v>9845.0489517841688</v>
      </c>
      <c r="K1365" s="1">
        <v>-1</v>
      </c>
      <c r="L1365" s="1">
        <v>160</v>
      </c>
      <c r="M1365" s="18">
        <v>40</v>
      </c>
      <c r="N1365" s="1">
        <v>13</v>
      </c>
      <c r="O1365" s="1">
        <v>0</v>
      </c>
      <c r="P1365" s="1">
        <v>0</v>
      </c>
      <c r="Q1365" s="1">
        <v>0</v>
      </c>
    </row>
    <row r="1366" spans="7:17" ht="15.45" x14ac:dyDescent="0.4">
      <c r="G1366" s="1">
        <v>841</v>
      </c>
      <c r="H1366" s="1">
        <v>4119.3883451684833</v>
      </c>
      <c r="I1366" s="1">
        <v>1</v>
      </c>
      <c r="J1366" s="1">
        <v>9861.375173838007</v>
      </c>
      <c r="K1366" s="1">
        <v>-1</v>
      </c>
      <c r="L1366" s="1">
        <v>159</v>
      </c>
      <c r="M1366" s="18">
        <v>40</v>
      </c>
      <c r="N1366" s="1">
        <v>13</v>
      </c>
      <c r="O1366" s="1">
        <v>0</v>
      </c>
      <c r="P1366" s="1">
        <v>0</v>
      </c>
      <c r="Q1366" s="1">
        <v>0</v>
      </c>
    </row>
    <row r="1367" spans="7:17" ht="15.45" x14ac:dyDescent="0.4">
      <c r="G1367" s="1">
        <v>842</v>
      </c>
      <c r="H1367" s="1">
        <v>12238.96934601985</v>
      </c>
      <c r="I1367" s="1">
        <v>-1</v>
      </c>
      <c r="J1367" s="1">
        <v>9914.9847444813404</v>
      </c>
      <c r="K1367" s="1">
        <v>-1</v>
      </c>
      <c r="L1367" s="1">
        <v>158</v>
      </c>
      <c r="M1367" s="18">
        <v>40</v>
      </c>
      <c r="N1367" s="1">
        <v>13</v>
      </c>
      <c r="O1367" s="1">
        <v>0</v>
      </c>
      <c r="P1367" s="1">
        <v>0</v>
      </c>
      <c r="Q1367" s="1">
        <v>0</v>
      </c>
    </row>
    <row r="1368" spans="7:17" ht="15.45" x14ac:dyDescent="0.4">
      <c r="G1368" s="1">
        <v>843</v>
      </c>
      <c r="H1368" s="1">
        <v>4124.7573106011014</v>
      </c>
      <c r="I1368" s="1">
        <v>1</v>
      </c>
      <c r="J1368" s="1">
        <v>9973.6152822562653</v>
      </c>
      <c r="K1368" s="1">
        <v>-1</v>
      </c>
      <c r="L1368" s="1">
        <v>157</v>
      </c>
      <c r="M1368" s="18">
        <v>40</v>
      </c>
      <c r="N1368" s="1">
        <v>13</v>
      </c>
      <c r="O1368" s="1">
        <v>0</v>
      </c>
      <c r="P1368" s="1">
        <v>0</v>
      </c>
      <c r="Q1368" s="1">
        <v>0</v>
      </c>
    </row>
    <row r="1369" spans="7:17" ht="15.45" x14ac:dyDescent="0.4">
      <c r="G1369" s="1">
        <v>844</v>
      </c>
      <c r="H1369" s="1">
        <v>12335.809984601427</v>
      </c>
      <c r="I1369" s="1">
        <v>-1</v>
      </c>
      <c r="J1369" s="1">
        <v>9973.9284554227834</v>
      </c>
      <c r="K1369" s="1">
        <v>-1</v>
      </c>
      <c r="L1369" s="1">
        <v>156</v>
      </c>
      <c r="M1369" s="18">
        <v>40</v>
      </c>
      <c r="N1369" s="1">
        <v>13</v>
      </c>
      <c r="O1369" s="1">
        <v>0</v>
      </c>
      <c r="P1369" s="1">
        <v>0</v>
      </c>
      <c r="Q1369" s="1">
        <v>0</v>
      </c>
    </row>
    <row r="1370" spans="7:17" ht="15.45" x14ac:dyDescent="0.4">
      <c r="G1370" s="1">
        <v>845</v>
      </c>
      <c r="H1370" s="1">
        <v>4125.6534312331887</v>
      </c>
      <c r="I1370" s="1">
        <v>1</v>
      </c>
      <c r="J1370" s="1">
        <v>9994.7533650510577</v>
      </c>
      <c r="K1370" s="1">
        <v>-1</v>
      </c>
      <c r="L1370" s="1">
        <v>155</v>
      </c>
      <c r="M1370" s="18">
        <v>40</v>
      </c>
      <c r="N1370" s="1">
        <v>13</v>
      </c>
      <c r="O1370" s="1">
        <v>0</v>
      </c>
      <c r="P1370" s="1">
        <v>0</v>
      </c>
      <c r="Q1370" s="1">
        <v>0</v>
      </c>
    </row>
    <row r="1371" spans="7:17" ht="15.45" x14ac:dyDescent="0.4">
      <c r="G1371" s="1">
        <v>846</v>
      </c>
      <c r="H1371" s="1">
        <v>12371.464581416982</v>
      </c>
      <c r="I1371" s="1">
        <v>-1</v>
      </c>
      <c r="J1371" s="1">
        <v>9998.2227058219996</v>
      </c>
      <c r="K1371" s="1">
        <v>-1</v>
      </c>
      <c r="L1371" s="1">
        <v>154</v>
      </c>
      <c r="M1371" s="18">
        <v>40</v>
      </c>
      <c r="N1371" s="1">
        <v>13</v>
      </c>
      <c r="O1371" s="1">
        <v>0</v>
      </c>
      <c r="P1371" s="1">
        <v>0</v>
      </c>
      <c r="Q1371" s="1">
        <v>0</v>
      </c>
    </row>
    <row r="1372" spans="7:17" ht="15.45" x14ac:dyDescent="0.4">
      <c r="G1372" s="1">
        <v>847</v>
      </c>
      <c r="H1372" s="1">
        <v>4140.1623690042779</v>
      </c>
      <c r="I1372" s="1">
        <v>1</v>
      </c>
      <c r="J1372" s="1">
        <v>10034.672637465676</v>
      </c>
      <c r="K1372" s="1">
        <v>-1</v>
      </c>
      <c r="L1372" s="1">
        <v>153</v>
      </c>
      <c r="M1372" s="18">
        <v>40</v>
      </c>
      <c r="N1372" s="1">
        <v>13</v>
      </c>
      <c r="O1372" s="1">
        <v>0</v>
      </c>
      <c r="P1372" s="1">
        <v>0</v>
      </c>
      <c r="Q1372" s="1">
        <v>0</v>
      </c>
    </row>
    <row r="1373" spans="7:17" ht="15.45" x14ac:dyDescent="0.4">
      <c r="G1373" s="1">
        <v>848</v>
      </c>
      <c r="H1373" s="1">
        <v>12396.073241670363</v>
      </c>
      <c r="I1373" s="1">
        <v>-1</v>
      </c>
      <c r="J1373" s="1">
        <v>10148.005111270973</v>
      </c>
      <c r="K1373" s="1">
        <v>-1</v>
      </c>
      <c r="L1373" s="1">
        <v>152</v>
      </c>
      <c r="M1373" s="18">
        <v>40</v>
      </c>
      <c r="N1373" s="1">
        <v>13</v>
      </c>
      <c r="O1373" s="1">
        <v>0</v>
      </c>
      <c r="P1373" s="1">
        <v>0</v>
      </c>
      <c r="Q1373" s="1">
        <v>0</v>
      </c>
    </row>
    <row r="1374" spans="7:17" ht="15.45" x14ac:dyDescent="0.4">
      <c r="G1374" s="1">
        <v>849</v>
      </c>
      <c r="H1374" s="1">
        <v>4156.7048457188694</v>
      </c>
      <c r="I1374" s="1">
        <v>1</v>
      </c>
      <c r="J1374" s="1">
        <v>10177.951777133991</v>
      </c>
      <c r="K1374" s="1">
        <v>-1</v>
      </c>
      <c r="L1374" s="1">
        <v>151</v>
      </c>
      <c r="M1374" s="18">
        <v>40</v>
      </c>
      <c r="N1374" s="1">
        <v>13</v>
      </c>
      <c r="O1374" s="1">
        <v>0</v>
      </c>
      <c r="P1374" s="1">
        <v>0</v>
      </c>
      <c r="Q1374" s="1">
        <v>0</v>
      </c>
    </row>
    <row r="1375" spans="7:17" ht="15.45" x14ac:dyDescent="0.4">
      <c r="G1375" s="1">
        <v>850</v>
      </c>
      <c r="H1375" s="1">
        <v>12432.123135377769</v>
      </c>
      <c r="I1375" s="1">
        <v>-1</v>
      </c>
      <c r="J1375" s="1">
        <v>10219.714432152401</v>
      </c>
      <c r="K1375" s="1">
        <v>-1</v>
      </c>
      <c r="L1375" s="1">
        <v>150</v>
      </c>
      <c r="M1375" s="18">
        <v>40</v>
      </c>
      <c r="N1375" s="1">
        <v>13</v>
      </c>
      <c r="O1375" s="1">
        <v>0</v>
      </c>
      <c r="P1375" s="1">
        <v>0</v>
      </c>
      <c r="Q1375" s="1">
        <v>0</v>
      </c>
    </row>
    <row r="1376" spans="7:17" ht="15.45" x14ac:dyDescent="0.4">
      <c r="G1376" s="1">
        <v>851</v>
      </c>
      <c r="H1376" s="1">
        <v>4158.7694345585651</v>
      </c>
      <c r="I1376" s="1">
        <v>1</v>
      </c>
      <c r="J1376" s="1">
        <v>10222.643448384348</v>
      </c>
      <c r="K1376" s="1">
        <v>-1</v>
      </c>
      <c r="L1376" s="1">
        <v>149</v>
      </c>
      <c r="M1376" s="18">
        <v>40</v>
      </c>
      <c r="N1376" s="1">
        <v>13</v>
      </c>
      <c r="O1376" s="1">
        <v>0</v>
      </c>
      <c r="P1376" s="1">
        <v>0</v>
      </c>
      <c r="Q1376" s="1">
        <v>0</v>
      </c>
    </row>
    <row r="1377" spans="7:17" ht="15.45" x14ac:dyDescent="0.4">
      <c r="G1377" s="1">
        <v>852</v>
      </c>
      <c r="H1377" s="1">
        <v>12441.461948140164</v>
      </c>
      <c r="I1377" s="1">
        <v>-1</v>
      </c>
      <c r="J1377" s="1">
        <v>10231.804299090601</v>
      </c>
      <c r="K1377" s="1">
        <v>-1</v>
      </c>
      <c r="L1377" s="1">
        <v>148</v>
      </c>
      <c r="M1377" s="18">
        <v>40</v>
      </c>
      <c r="N1377" s="1">
        <v>13</v>
      </c>
      <c r="O1377" s="1">
        <v>0</v>
      </c>
      <c r="P1377" s="1">
        <v>0</v>
      </c>
      <c r="Q1377" s="1">
        <v>0</v>
      </c>
    </row>
    <row r="1378" spans="7:17" ht="15.45" x14ac:dyDescent="0.4">
      <c r="G1378" s="1">
        <v>853</v>
      </c>
      <c r="H1378" s="1">
        <v>4172.8487729524168</v>
      </c>
      <c r="I1378" s="1">
        <v>1</v>
      </c>
      <c r="J1378" s="1">
        <v>10233.073145710958</v>
      </c>
      <c r="K1378" s="1">
        <v>-1</v>
      </c>
      <c r="L1378" s="1">
        <v>147</v>
      </c>
      <c r="M1378" s="18">
        <v>40</v>
      </c>
      <c r="N1378" s="1">
        <v>13</v>
      </c>
      <c r="O1378" s="1">
        <v>0</v>
      </c>
      <c r="P1378" s="1">
        <v>0</v>
      </c>
      <c r="Q1378" s="1">
        <v>0</v>
      </c>
    </row>
    <row r="1379" spans="7:17" ht="15.45" x14ac:dyDescent="0.4">
      <c r="G1379" s="1">
        <v>854</v>
      </c>
      <c r="H1379" s="1">
        <v>12464.172939209797</v>
      </c>
      <c r="I1379" s="1">
        <v>-1</v>
      </c>
      <c r="J1379" s="1">
        <v>10267.705937553772</v>
      </c>
      <c r="K1379" s="1">
        <v>-1</v>
      </c>
      <c r="L1379" s="1">
        <v>146</v>
      </c>
      <c r="M1379" s="18">
        <v>40</v>
      </c>
      <c r="N1379" s="1">
        <v>13</v>
      </c>
      <c r="O1379" s="1">
        <v>0</v>
      </c>
      <c r="P1379" s="1">
        <v>0</v>
      </c>
      <c r="Q1379" s="1">
        <v>0</v>
      </c>
    </row>
    <row r="1380" spans="7:17" ht="15.45" x14ac:dyDescent="0.4">
      <c r="G1380" s="1">
        <v>855</v>
      </c>
      <c r="H1380" s="1">
        <v>4191.093124019927</v>
      </c>
      <c r="I1380" s="1">
        <v>1</v>
      </c>
      <c r="J1380" s="1">
        <v>10294.627888739351</v>
      </c>
      <c r="K1380" s="1">
        <v>-1</v>
      </c>
      <c r="L1380" s="1">
        <v>145</v>
      </c>
      <c r="M1380" s="18">
        <v>40</v>
      </c>
      <c r="N1380" s="1">
        <v>13</v>
      </c>
      <c r="O1380" s="1">
        <v>0</v>
      </c>
      <c r="P1380" s="1">
        <v>0</v>
      </c>
      <c r="Q1380" s="1">
        <v>0</v>
      </c>
    </row>
    <row r="1381" spans="7:17" ht="15.45" x14ac:dyDescent="0.4">
      <c r="G1381" s="1">
        <v>856</v>
      </c>
      <c r="H1381" s="1">
        <v>12485.927552927857</v>
      </c>
      <c r="I1381" s="1">
        <v>-1</v>
      </c>
      <c r="J1381" s="1">
        <v>10322.358040225497</v>
      </c>
      <c r="K1381" s="1">
        <v>-1</v>
      </c>
      <c r="L1381" s="1">
        <v>144</v>
      </c>
      <c r="M1381" s="18">
        <v>40</v>
      </c>
      <c r="N1381" s="1">
        <v>13</v>
      </c>
      <c r="O1381" s="1">
        <v>0</v>
      </c>
      <c r="P1381" s="1">
        <v>0</v>
      </c>
      <c r="Q1381" s="1">
        <v>0</v>
      </c>
    </row>
    <row r="1382" spans="7:17" ht="15.45" x14ac:dyDescent="0.4">
      <c r="G1382" s="1">
        <v>857</v>
      </c>
      <c r="H1382" s="1">
        <v>4191.9406308350781</v>
      </c>
      <c r="I1382" s="1">
        <v>1</v>
      </c>
      <c r="J1382" s="1">
        <v>10347.720100378308</v>
      </c>
      <c r="K1382" s="1">
        <v>-1</v>
      </c>
      <c r="L1382" s="1">
        <v>143</v>
      </c>
      <c r="M1382" s="18">
        <v>40</v>
      </c>
      <c r="N1382" s="1">
        <v>13</v>
      </c>
      <c r="O1382" s="1">
        <v>0</v>
      </c>
      <c r="P1382" s="1">
        <v>0</v>
      </c>
      <c r="Q1382" s="1">
        <v>0</v>
      </c>
    </row>
    <row r="1383" spans="7:17" ht="15.45" x14ac:dyDescent="0.4">
      <c r="G1383" s="1">
        <v>858</v>
      </c>
      <c r="H1383" s="1">
        <v>12537.804753205473</v>
      </c>
      <c r="I1383" s="1">
        <v>-1</v>
      </c>
      <c r="J1383" s="1">
        <v>10380.760052981721</v>
      </c>
      <c r="K1383" s="1">
        <v>-1</v>
      </c>
      <c r="L1383" s="1">
        <v>142</v>
      </c>
      <c r="M1383" s="18">
        <v>40</v>
      </c>
      <c r="N1383" s="1">
        <v>13</v>
      </c>
      <c r="O1383" s="1">
        <v>0</v>
      </c>
      <c r="P1383" s="1">
        <v>0</v>
      </c>
      <c r="Q1383" s="1">
        <v>0</v>
      </c>
    </row>
    <row r="1384" spans="7:17" ht="15.45" x14ac:dyDescent="0.4">
      <c r="G1384" s="1">
        <v>859</v>
      </c>
      <c r="H1384" s="1">
        <v>4195.4730806686921</v>
      </c>
      <c r="I1384" s="1">
        <v>1</v>
      </c>
      <c r="J1384" s="1">
        <v>10394.634437726687</v>
      </c>
      <c r="K1384" s="1">
        <v>-1</v>
      </c>
      <c r="L1384" s="1">
        <v>141</v>
      </c>
      <c r="M1384" s="18">
        <v>40</v>
      </c>
      <c r="N1384" s="1">
        <v>13</v>
      </c>
      <c r="O1384" s="1">
        <v>0</v>
      </c>
      <c r="P1384" s="1">
        <v>0</v>
      </c>
      <c r="Q1384" s="1">
        <v>0</v>
      </c>
    </row>
    <row r="1385" spans="7:17" ht="15.45" x14ac:dyDescent="0.4">
      <c r="G1385" s="1">
        <v>860</v>
      </c>
      <c r="H1385" s="1">
        <v>12603.297248943221</v>
      </c>
      <c r="I1385" s="1">
        <v>-1</v>
      </c>
      <c r="J1385" s="1">
        <v>10402.309239132801</v>
      </c>
      <c r="K1385" s="1">
        <v>-1</v>
      </c>
      <c r="L1385" s="1">
        <v>140</v>
      </c>
      <c r="M1385" s="18">
        <v>40</v>
      </c>
      <c r="N1385" s="1">
        <v>13</v>
      </c>
      <c r="O1385" s="1">
        <v>0</v>
      </c>
      <c r="P1385" s="1">
        <v>0</v>
      </c>
      <c r="Q1385" s="1">
        <v>0</v>
      </c>
    </row>
    <row r="1386" spans="7:17" ht="15.45" x14ac:dyDescent="0.4">
      <c r="G1386" s="1">
        <v>861</v>
      </c>
      <c r="H1386" s="1">
        <v>4207.9830553088768</v>
      </c>
      <c r="I1386" s="1">
        <v>1</v>
      </c>
      <c r="J1386" s="1">
        <v>10416.388700460368</v>
      </c>
      <c r="K1386" s="1">
        <v>-1</v>
      </c>
      <c r="L1386" s="1">
        <v>139</v>
      </c>
      <c r="M1386" s="18">
        <v>40</v>
      </c>
      <c r="N1386" s="1">
        <v>13</v>
      </c>
      <c r="O1386" s="1">
        <v>0</v>
      </c>
      <c r="P1386" s="1">
        <v>0</v>
      </c>
      <c r="Q1386" s="1">
        <v>0</v>
      </c>
    </row>
    <row r="1387" spans="7:17" ht="15.45" x14ac:dyDescent="0.4">
      <c r="G1387" s="1">
        <v>862</v>
      </c>
      <c r="H1387" s="1">
        <v>12684.776249327322</v>
      </c>
      <c r="I1387" s="1">
        <v>-1</v>
      </c>
      <c r="J1387" s="1">
        <v>10504.066530482683</v>
      </c>
      <c r="K1387" s="1">
        <v>-1</v>
      </c>
      <c r="L1387" s="1">
        <v>138</v>
      </c>
      <c r="M1387" s="18">
        <v>40</v>
      </c>
      <c r="N1387" s="1">
        <v>13</v>
      </c>
      <c r="O1387" s="1">
        <v>0</v>
      </c>
      <c r="P1387" s="1">
        <v>0</v>
      </c>
      <c r="Q1387" s="1">
        <v>0</v>
      </c>
    </row>
    <row r="1388" spans="7:17" ht="15.45" x14ac:dyDescent="0.4">
      <c r="G1388" s="1">
        <v>863</v>
      </c>
      <c r="H1388" s="1">
        <v>4238.2825655597198</v>
      </c>
      <c r="I1388" s="1">
        <v>1</v>
      </c>
      <c r="J1388" s="1">
        <v>10523.587269556368</v>
      </c>
      <c r="K1388" s="1">
        <v>-1</v>
      </c>
      <c r="L1388" s="1">
        <v>137</v>
      </c>
      <c r="M1388" s="18">
        <v>40</v>
      </c>
      <c r="N1388" s="1">
        <v>13</v>
      </c>
      <c r="O1388" s="1">
        <v>0</v>
      </c>
      <c r="P1388" s="1">
        <v>0</v>
      </c>
      <c r="Q1388" s="1">
        <v>0</v>
      </c>
    </row>
    <row r="1389" spans="7:17" ht="15.45" x14ac:dyDescent="0.4">
      <c r="G1389" s="1">
        <v>864</v>
      </c>
      <c r="H1389" s="1">
        <v>12731.388378950134</v>
      </c>
      <c r="I1389" s="1">
        <v>-1</v>
      </c>
      <c r="J1389" s="1">
        <v>10529.515719563347</v>
      </c>
      <c r="K1389" s="1">
        <v>-1</v>
      </c>
      <c r="L1389" s="1">
        <v>136</v>
      </c>
      <c r="M1389" s="18">
        <v>40</v>
      </c>
      <c r="N1389" s="1">
        <v>13</v>
      </c>
      <c r="O1389" s="1">
        <v>0</v>
      </c>
      <c r="P1389" s="1">
        <v>0</v>
      </c>
      <c r="Q1389" s="1">
        <v>0</v>
      </c>
    </row>
    <row r="1390" spans="7:17" ht="15.45" x14ac:dyDescent="0.4">
      <c r="G1390" s="1">
        <v>865</v>
      </c>
      <c r="H1390" s="1">
        <v>4251.2567552842638</v>
      </c>
      <c r="I1390" s="1">
        <v>1</v>
      </c>
      <c r="J1390" s="1">
        <v>10550.848167263826</v>
      </c>
      <c r="K1390" s="1">
        <v>-1</v>
      </c>
      <c r="L1390" s="1">
        <v>135</v>
      </c>
      <c r="M1390" s="18">
        <v>40</v>
      </c>
      <c r="N1390" s="1">
        <v>13</v>
      </c>
      <c r="O1390" s="1">
        <v>0</v>
      </c>
      <c r="P1390" s="1">
        <v>0</v>
      </c>
      <c r="Q1390" s="1">
        <v>0</v>
      </c>
    </row>
    <row r="1391" spans="7:17" ht="15.45" x14ac:dyDescent="0.4">
      <c r="G1391" s="1">
        <v>866</v>
      </c>
      <c r="H1391" s="1">
        <v>12740.259321451096</v>
      </c>
      <c r="I1391" s="1">
        <v>-1</v>
      </c>
      <c r="J1391" s="1">
        <v>10576.981046387082</v>
      </c>
      <c r="K1391" s="1">
        <v>-1</v>
      </c>
      <c r="L1391" s="1">
        <v>134</v>
      </c>
      <c r="M1391" s="18">
        <v>40</v>
      </c>
      <c r="N1391" s="1">
        <v>13</v>
      </c>
      <c r="O1391" s="1">
        <v>0</v>
      </c>
      <c r="P1391" s="1">
        <v>0</v>
      </c>
      <c r="Q1391" s="1">
        <v>0</v>
      </c>
    </row>
    <row r="1392" spans="7:17" ht="15.45" x14ac:dyDescent="0.4">
      <c r="G1392" s="1">
        <v>867</v>
      </c>
      <c r="H1392" s="1">
        <v>4257.4233321638731</v>
      </c>
      <c r="I1392" s="1">
        <v>1</v>
      </c>
      <c r="J1392" s="1">
        <v>10607.260481617619</v>
      </c>
      <c r="K1392" s="1">
        <v>-1</v>
      </c>
      <c r="L1392" s="1">
        <v>133</v>
      </c>
      <c r="M1392" s="18">
        <v>40</v>
      </c>
      <c r="N1392" s="1">
        <v>13</v>
      </c>
      <c r="O1392" s="1">
        <v>0</v>
      </c>
      <c r="P1392" s="1">
        <v>0</v>
      </c>
      <c r="Q1392" s="1">
        <v>0</v>
      </c>
    </row>
    <row r="1393" spans="7:17" ht="15.45" x14ac:dyDescent="0.4">
      <c r="G1393" s="1">
        <v>868</v>
      </c>
      <c r="H1393" s="1">
        <v>12765.15130214409</v>
      </c>
      <c r="I1393" s="1">
        <v>-1</v>
      </c>
      <c r="J1393" s="1">
        <v>10626.386257498318</v>
      </c>
      <c r="K1393" s="1">
        <v>-1</v>
      </c>
      <c r="L1393" s="1">
        <v>132</v>
      </c>
      <c r="M1393" s="18">
        <v>40</v>
      </c>
      <c r="N1393" s="1">
        <v>13</v>
      </c>
      <c r="O1393" s="1">
        <v>0</v>
      </c>
      <c r="P1393" s="1">
        <v>0</v>
      </c>
      <c r="Q1393" s="1">
        <v>0</v>
      </c>
    </row>
    <row r="1394" spans="7:17" ht="15.45" x14ac:dyDescent="0.4">
      <c r="G1394" s="1">
        <v>869</v>
      </c>
      <c r="H1394" s="1">
        <v>4290.5565969110967</v>
      </c>
      <c r="I1394" s="1">
        <v>1</v>
      </c>
      <c r="J1394" s="1">
        <v>10709.456411039435</v>
      </c>
      <c r="K1394" s="1">
        <v>-1</v>
      </c>
      <c r="L1394" s="1">
        <v>131</v>
      </c>
      <c r="M1394" s="18">
        <v>40</v>
      </c>
      <c r="N1394" s="1">
        <v>13</v>
      </c>
      <c r="O1394" s="1">
        <v>0</v>
      </c>
      <c r="P1394" s="1">
        <v>0</v>
      </c>
      <c r="Q1394" s="1">
        <v>0</v>
      </c>
    </row>
    <row r="1395" spans="7:17" ht="15.45" x14ac:dyDescent="0.4">
      <c r="G1395" s="1">
        <v>870</v>
      </c>
      <c r="H1395" s="1">
        <v>12781.258198441945</v>
      </c>
      <c r="I1395" s="1">
        <v>-1</v>
      </c>
      <c r="J1395" s="1">
        <v>10730.953056305798</v>
      </c>
      <c r="K1395" s="1">
        <v>-1</v>
      </c>
      <c r="L1395" s="1">
        <v>130</v>
      </c>
      <c r="M1395" s="18">
        <v>40</v>
      </c>
      <c r="N1395" s="1">
        <v>13</v>
      </c>
      <c r="O1395" s="1">
        <v>0</v>
      </c>
      <c r="P1395" s="1">
        <v>0</v>
      </c>
      <c r="Q1395" s="1">
        <v>0</v>
      </c>
    </row>
    <row r="1396" spans="7:17" ht="15.45" x14ac:dyDescent="0.4">
      <c r="G1396" s="1">
        <v>871</v>
      </c>
      <c r="H1396" s="1">
        <v>4295.8529308919206</v>
      </c>
      <c r="I1396" s="1">
        <v>1</v>
      </c>
      <c r="J1396" s="1">
        <v>10733.257686840581</v>
      </c>
      <c r="K1396" s="1">
        <v>-1</v>
      </c>
      <c r="L1396" s="1">
        <v>129</v>
      </c>
      <c r="M1396" s="18">
        <v>40</v>
      </c>
      <c r="N1396" s="1">
        <v>13</v>
      </c>
      <c r="O1396" s="1">
        <v>0</v>
      </c>
      <c r="P1396" s="1">
        <v>0</v>
      </c>
      <c r="Q1396" s="1">
        <v>0</v>
      </c>
    </row>
    <row r="1397" spans="7:17" ht="15.45" x14ac:dyDescent="0.4">
      <c r="G1397" s="1">
        <v>872</v>
      </c>
      <c r="H1397" s="1">
        <v>12783.946560338207</v>
      </c>
      <c r="I1397" s="1">
        <v>-1</v>
      </c>
      <c r="J1397" s="1">
        <v>10780.979897070194</v>
      </c>
      <c r="K1397" s="1">
        <v>-1</v>
      </c>
      <c r="L1397" s="1">
        <v>128</v>
      </c>
      <c r="M1397" s="18">
        <v>40</v>
      </c>
      <c r="N1397" s="1">
        <v>13</v>
      </c>
      <c r="O1397" s="1">
        <v>0</v>
      </c>
      <c r="P1397" s="1">
        <v>0</v>
      </c>
      <c r="Q1397" s="1">
        <v>0</v>
      </c>
    </row>
    <row r="1398" spans="7:17" ht="15.45" x14ac:dyDescent="0.4">
      <c r="G1398" s="1">
        <v>873</v>
      </c>
      <c r="H1398" s="1">
        <v>4300.7286354780845</v>
      </c>
      <c r="I1398" s="1">
        <v>1</v>
      </c>
      <c r="J1398" s="1">
        <v>10818.777166220423</v>
      </c>
      <c r="K1398" s="1">
        <v>-1</v>
      </c>
      <c r="L1398" s="1">
        <v>127</v>
      </c>
      <c r="M1398" s="18">
        <v>40</v>
      </c>
      <c r="N1398" s="1">
        <v>13</v>
      </c>
      <c r="O1398" s="1">
        <v>0</v>
      </c>
      <c r="P1398" s="1">
        <v>0</v>
      </c>
      <c r="Q1398" s="1">
        <v>0</v>
      </c>
    </row>
    <row r="1399" spans="7:17" ht="15.45" x14ac:dyDescent="0.4">
      <c r="G1399" s="1">
        <v>874</v>
      </c>
      <c r="H1399" s="1">
        <v>12827.473373651475</v>
      </c>
      <c r="I1399" s="1">
        <v>-1</v>
      </c>
      <c r="J1399" s="1">
        <v>10839.191451928096</v>
      </c>
      <c r="K1399" s="1">
        <v>-1</v>
      </c>
      <c r="L1399" s="1">
        <v>126</v>
      </c>
      <c r="M1399" s="18">
        <v>40</v>
      </c>
      <c r="N1399" s="1">
        <v>13</v>
      </c>
      <c r="O1399" s="1">
        <v>0</v>
      </c>
      <c r="P1399" s="1">
        <v>0</v>
      </c>
      <c r="Q1399" s="1">
        <v>0</v>
      </c>
    </row>
    <row r="1400" spans="7:17" ht="15.45" x14ac:dyDescent="0.4">
      <c r="G1400" s="1">
        <v>875</v>
      </c>
      <c r="H1400" s="1">
        <v>4325.8666295660278</v>
      </c>
      <c r="I1400" s="1">
        <v>1</v>
      </c>
      <c r="J1400" s="1">
        <v>10903.142222290184</v>
      </c>
      <c r="K1400" s="1">
        <v>-1</v>
      </c>
      <c r="L1400" s="1">
        <v>125</v>
      </c>
      <c r="M1400" s="18">
        <v>40</v>
      </c>
      <c r="N1400" s="1">
        <v>13</v>
      </c>
      <c r="O1400" s="1">
        <v>0</v>
      </c>
      <c r="P1400" s="1">
        <v>0</v>
      </c>
      <c r="Q1400" s="1">
        <v>0</v>
      </c>
    </row>
    <row r="1401" spans="7:17" ht="15.45" x14ac:dyDescent="0.4">
      <c r="G1401" s="1">
        <v>876</v>
      </c>
      <c r="H1401" s="1">
        <v>12877.100803795249</v>
      </c>
      <c r="I1401" s="1">
        <v>-1</v>
      </c>
      <c r="J1401" s="1">
        <v>10939.850941631878</v>
      </c>
      <c r="K1401" s="1">
        <v>-1</v>
      </c>
      <c r="L1401" s="1">
        <v>124</v>
      </c>
      <c r="M1401" s="18">
        <v>40</v>
      </c>
      <c r="N1401" s="1">
        <v>13</v>
      </c>
      <c r="O1401" s="1">
        <v>0</v>
      </c>
      <c r="P1401" s="1">
        <v>0</v>
      </c>
      <c r="Q1401" s="1">
        <v>0</v>
      </c>
    </row>
    <row r="1402" spans="7:17" ht="15.45" x14ac:dyDescent="0.4">
      <c r="G1402" s="1">
        <v>877</v>
      </c>
      <c r="H1402" s="1">
        <v>4334.4795831065721</v>
      </c>
      <c r="I1402" s="1">
        <v>1</v>
      </c>
      <c r="J1402" s="1">
        <v>10962.296485613579</v>
      </c>
      <c r="K1402" s="1">
        <v>-1</v>
      </c>
      <c r="L1402" s="1">
        <v>123</v>
      </c>
      <c r="M1402" s="18">
        <v>40</v>
      </c>
      <c r="N1402" s="1">
        <v>13</v>
      </c>
      <c r="O1402" s="1">
        <v>0</v>
      </c>
      <c r="P1402" s="1">
        <v>0</v>
      </c>
      <c r="Q1402" s="1">
        <v>0</v>
      </c>
    </row>
    <row r="1403" spans="7:17" ht="15.45" x14ac:dyDescent="0.4">
      <c r="G1403" s="1">
        <v>878</v>
      </c>
      <c r="H1403" s="1">
        <v>12883.294570314334</v>
      </c>
      <c r="I1403" s="1">
        <v>-1</v>
      </c>
      <c r="J1403" s="1">
        <v>11009.459032802124</v>
      </c>
      <c r="K1403" s="1">
        <v>-1</v>
      </c>
      <c r="L1403" s="1">
        <v>122</v>
      </c>
      <c r="M1403" s="18">
        <v>40</v>
      </c>
      <c r="N1403" s="1">
        <v>13</v>
      </c>
      <c r="O1403" s="1">
        <v>0</v>
      </c>
      <c r="P1403" s="1">
        <v>0</v>
      </c>
      <c r="Q1403" s="1">
        <v>0</v>
      </c>
    </row>
    <row r="1404" spans="7:17" ht="15.45" x14ac:dyDescent="0.4">
      <c r="G1404" s="1">
        <v>879</v>
      </c>
      <c r="H1404" s="1">
        <v>4357.5435880668756</v>
      </c>
      <c r="I1404" s="1">
        <v>1</v>
      </c>
      <c r="J1404" s="1">
        <v>11113.535898515218</v>
      </c>
      <c r="K1404" s="1">
        <v>-1</v>
      </c>
      <c r="L1404" s="1">
        <v>121</v>
      </c>
      <c r="M1404" s="18">
        <v>40</v>
      </c>
      <c r="N1404" s="1">
        <v>13</v>
      </c>
      <c r="O1404" s="1">
        <v>0</v>
      </c>
      <c r="P1404" s="1">
        <v>0</v>
      </c>
      <c r="Q1404" s="1">
        <v>0</v>
      </c>
    </row>
    <row r="1405" spans="7:17" ht="15.45" x14ac:dyDescent="0.4">
      <c r="G1405" s="1">
        <v>880</v>
      </c>
      <c r="H1405" s="1">
        <v>12925.53258549589</v>
      </c>
      <c r="I1405" s="1">
        <v>-1</v>
      </c>
      <c r="J1405" s="1">
        <v>11146.214501399303</v>
      </c>
      <c r="K1405" s="1">
        <v>-1</v>
      </c>
      <c r="L1405" s="1">
        <v>120</v>
      </c>
      <c r="M1405" s="18">
        <v>40</v>
      </c>
      <c r="N1405" s="1">
        <v>13</v>
      </c>
      <c r="O1405" s="1">
        <v>0</v>
      </c>
      <c r="P1405" s="1">
        <v>0</v>
      </c>
      <c r="Q1405" s="1">
        <v>0</v>
      </c>
    </row>
    <row r="1406" spans="7:17" ht="15.45" x14ac:dyDescent="0.4">
      <c r="G1406" s="1">
        <v>881</v>
      </c>
      <c r="H1406" s="1">
        <v>4367.8211430085721</v>
      </c>
      <c r="I1406" s="1">
        <v>1</v>
      </c>
      <c r="J1406" s="1">
        <v>11178.308651465937</v>
      </c>
      <c r="K1406" s="1">
        <v>-1</v>
      </c>
      <c r="L1406" s="1">
        <v>119</v>
      </c>
      <c r="M1406" s="18">
        <v>40</v>
      </c>
      <c r="N1406" s="1">
        <v>13</v>
      </c>
      <c r="O1406" s="1">
        <v>0</v>
      </c>
      <c r="P1406" s="1">
        <v>0</v>
      </c>
      <c r="Q1406" s="1">
        <v>0</v>
      </c>
    </row>
    <row r="1407" spans="7:17" ht="15.45" x14ac:dyDescent="0.4">
      <c r="G1407" s="1">
        <v>882</v>
      </c>
      <c r="H1407" s="1">
        <v>12980.26563869842</v>
      </c>
      <c r="I1407" s="1">
        <v>-1</v>
      </c>
      <c r="J1407" s="1">
        <v>11193.843245425112</v>
      </c>
      <c r="K1407" s="1">
        <v>-1</v>
      </c>
      <c r="L1407" s="1">
        <v>118</v>
      </c>
      <c r="M1407" s="18">
        <v>40</v>
      </c>
      <c r="N1407" s="1">
        <v>13</v>
      </c>
      <c r="O1407" s="1">
        <v>0</v>
      </c>
      <c r="P1407" s="1">
        <v>0</v>
      </c>
      <c r="Q1407" s="1">
        <v>0</v>
      </c>
    </row>
    <row r="1408" spans="7:17" ht="15.45" x14ac:dyDescent="0.4">
      <c r="G1408" s="1">
        <v>883</v>
      </c>
      <c r="H1408" s="1">
        <v>4380.5608014589607</v>
      </c>
      <c r="I1408" s="1">
        <v>1</v>
      </c>
      <c r="J1408" s="1">
        <v>11197.710042458122</v>
      </c>
      <c r="K1408" s="1">
        <v>-1</v>
      </c>
      <c r="L1408" s="1">
        <v>117</v>
      </c>
      <c r="M1408" s="18">
        <v>40</v>
      </c>
      <c r="N1408" s="1">
        <v>13</v>
      </c>
      <c r="O1408" s="1">
        <v>0</v>
      </c>
      <c r="P1408" s="1">
        <v>0</v>
      </c>
      <c r="Q1408" s="1">
        <v>0</v>
      </c>
    </row>
    <row r="1409" spans="7:17" ht="15.45" x14ac:dyDescent="0.4">
      <c r="G1409" s="1">
        <v>884</v>
      </c>
      <c r="H1409" s="1">
        <v>12982.808159143875</v>
      </c>
      <c r="I1409" s="1">
        <v>-1</v>
      </c>
      <c r="J1409" s="1">
        <v>11231.115303525799</v>
      </c>
      <c r="K1409" s="1">
        <v>-1</v>
      </c>
      <c r="L1409" s="1">
        <v>116</v>
      </c>
      <c r="M1409" s="18">
        <v>40</v>
      </c>
      <c r="N1409" s="1">
        <v>13</v>
      </c>
      <c r="O1409" s="1">
        <v>0</v>
      </c>
      <c r="P1409" s="1">
        <v>0</v>
      </c>
      <c r="Q1409" s="1">
        <v>0</v>
      </c>
    </row>
    <row r="1410" spans="7:17" ht="15.45" x14ac:dyDescent="0.4">
      <c r="G1410" s="1">
        <v>885</v>
      </c>
      <c r="H1410" s="1">
        <v>4382.7692340198264</v>
      </c>
      <c r="I1410" s="1">
        <v>1</v>
      </c>
      <c r="J1410" s="1">
        <v>11233.275755980598</v>
      </c>
      <c r="K1410" s="1">
        <v>-1</v>
      </c>
      <c r="L1410" s="1">
        <v>115</v>
      </c>
      <c r="M1410" s="18">
        <v>40</v>
      </c>
      <c r="N1410" s="1">
        <v>13</v>
      </c>
      <c r="O1410" s="1">
        <v>0</v>
      </c>
      <c r="P1410" s="1">
        <v>0</v>
      </c>
      <c r="Q1410" s="1">
        <v>0</v>
      </c>
    </row>
    <row r="1411" spans="7:17" ht="15.45" x14ac:dyDescent="0.4">
      <c r="G1411" s="1">
        <v>886</v>
      </c>
      <c r="H1411" s="1">
        <v>12993.405508644717</v>
      </c>
      <c r="I1411" s="1">
        <v>-1</v>
      </c>
      <c r="J1411" s="1">
        <v>11245.374308519155</v>
      </c>
      <c r="K1411" s="1">
        <v>-1</v>
      </c>
      <c r="L1411" s="1">
        <v>114</v>
      </c>
      <c r="M1411" s="18">
        <v>40</v>
      </c>
      <c r="N1411" s="1">
        <v>13</v>
      </c>
      <c r="O1411" s="1">
        <v>0</v>
      </c>
      <c r="P1411" s="1">
        <v>0</v>
      </c>
      <c r="Q1411" s="1">
        <v>0</v>
      </c>
    </row>
    <row r="1412" spans="7:17" ht="15.45" x14ac:dyDescent="0.4">
      <c r="G1412" s="1">
        <v>887</v>
      </c>
      <c r="H1412" s="1">
        <v>4395.6512621482625</v>
      </c>
      <c r="I1412" s="1">
        <v>1</v>
      </c>
      <c r="J1412" s="1">
        <v>11274.251881173348</v>
      </c>
      <c r="K1412" s="1">
        <v>-1</v>
      </c>
      <c r="L1412" s="1">
        <v>113</v>
      </c>
      <c r="M1412" s="18">
        <v>40</v>
      </c>
      <c r="N1412" s="1">
        <v>13</v>
      </c>
      <c r="O1412" s="1">
        <v>0</v>
      </c>
      <c r="P1412" s="1">
        <v>0</v>
      </c>
      <c r="Q1412" s="1">
        <v>0</v>
      </c>
    </row>
    <row r="1413" spans="7:17" ht="15.45" x14ac:dyDescent="0.4">
      <c r="G1413" s="1">
        <v>888</v>
      </c>
      <c r="H1413" s="1">
        <v>13030.935432565268</v>
      </c>
      <c r="I1413" s="1">
        <v>-1</v>
      </c>
      <c r="J1413" s="1">
        <v>11282.661426921879</v>
      </c>
      <c r="K1413" s="1">
        <v>-1</v>
      </c>
      <c r="L1413" s="1">
        <v>112</v>
      </c>
      <c r="M1413" s="18">
        <v>40</v>
      </c>
      <c r="N1413" s="1">
        <v>13</v>
      </c>
      <c r="O1413" s="1">
        <v>0</v>
      </c>
      <c r="P1413" s="1">
        <v>0</v>
      </c>
      <c r="Q1413" s="1">
        <v>0</v>
      </c>
    </row>
    <row r="1414" spans="7:17" ht="15.45" x14ac:dyDescent="0.4">
      <c r="G1414" s="1">
        <v>889</v>
      </c>
      <c r="H1414" s="1">
        <v>4421.5211680238071</v>
      </c>
      <c r="I1414" s="1">
        <v>1</v>
      </c>
      <c r="J1414" s="1">
        <v>11309.887152069028</v>
      </c>
      <c r="K1414" s="1">
        <v>-1</v>
      </c>
      <c r="L1414" s="1">
        <v>111</v>
      </c>
      <c r="M1414" s="18">
        <v>40</v>
      </c>
      <c r="N1414" s="1">
        <v>13</v>
      </c>
      <c r="O1414" s="1">
        <v>0</v>
      </c>
      <c r="P1414" s="1">
        <v>0</v>
      </c>
      <c r="Q1414" s="1">
        <v>0</v>
      </c>
    </row>
    <row r="1415" spans="7:17" ht="15.45" x14ac:dyDescent="0.4">
      <c r="G1415" s="1">
        <v>890</v>
      </c>
      <c r="H1415" s="1">
        <v>13121.833963317793</v>
      </c>
      <c r="I1415" s="1">
        <v>-1</v>
      </c>
      <c r="J1415" s="1">
        <v>11321.166025176512</v>
      </c>
      <c r="K1415" s="1">
        <v>-1</v>
      </c>
      <c r="L1415" s="1">
        <v>110</v>
      </c>
      <c r="M1415" s="18">
        <v>40</v>
      </c>
      <c r="N1415" s="1">
        <v>13</v>
      </c>
      <c r="O1415" s="1">
        <v>0</v>
      </c>
      <c r="P1415" s="1">
        <v>0</v>
      </c>
      <c r="Q1415" s="1">
        <v>0</v>
      </c>
    </row>
    <row r="1416" spans="7:17" ht="15.45" x14ac:dyDescent="0.4">
      <c r="G1416" s="1">
        <v>891</v>
      </c>
      <c r="H1416" s="1">
        <v>4438.602482902591</v>
      </c>
      <c r="I1416" s="1">
        <v>1</v>
      </c>
      <c r="J1416" s="1">
        <v>11336.349939941632</v>
      </c>
      <c r="K1416" s="1">
        <v>-1</v>
      </c>
      <c r="L1416" s="1">
        <v>109</v>
      </c>
      <c r="M1416" s="18">
        <v>40</v>
      </c>
      <c r="N1416" s="1">
        <v>13</v>
      </c>
      <c r="O1416" s="1">
        <v>0</v>
      </c>
      <c r="P1416" s="1">
        <v>0</v>
      </c>
      <c r="Q1416" s="1">
        <v>0</v>
      </c>
    </row>
    <row r="1417" spans="7:17" ht="15.45" x14ac:dyDescent="0.4">
      <c r="G1417" s="1">
        <v>892</v>
      </c>
      <c r="H1417" s="1">
        <v>13160.756532491425</v>
      </c>
      <c r="I1417" s="1">
        <v>-1</v>
      </c>
      <c r="J1417" s="1">
        <v>11402.818423696343</v>
      </c>
      <c r="K1417" s="1">
        <v>-1</v>
      </c>
      <c r="L1417" s="1">
        <v>108</v>
      </c>
      <c r="M1417" s="18">
        <v>40</v>
      </c>
      <c r="N1417" s="1">
        <v>13</v>
      </c>
      <c r="O1417" s="1">
        <v>0</v>
      </c>
      <c r="P1417" s="1">
        <v>0</v>
      </c>
      <c r="Q1417" s="1">
        <v>0</v>
      </c>
    </row>
    <row r="1418" spans="7:17" ht="15.45" x14ac:dyDescent="0.4">
      <c r="G1418" s="1">
        <v>893</v>
      </c>
      <c r="H1418" s="1">
        <v>4440.2463902573318</v>
      </c>
      <c r="I1418" s="1">
        <v>1</v>
      </c>
      <c r="J1418" s="1">
        <v>11436.459801721356</v>
      </c>
      <c r="K1418" s="1">
        <v>-1</v>
      </c>
      <c r="L1418" s="1">
        <v>107</v>
      </c>
      <c r="M1418" s="18">
        <v>40</v>
      </c>
      <c r="N1418" s="1">
        <v>13</v>
      </c>
      <c r="O1418" s="1">
        <v>0</v>
      </c>
      <c r="P1418" s="1">
        <v>0</v>
      </c>
      <c r="Q1418" s="1">
        <v>0</v>
      </c>
    </row>
    <row r="1419" spans="7:17" ht="15.45" x14ac:dyDescent="0.4">
      <c r="G1419" s="1">
        <v>894</v>
      </c>
      <c r="H1419" s="1">
        <v>13179.256263130254</v>
      </c>
      <c r="I1419" s="1">
        <v>-1</v>
      </c>
      <c r="J1419" s="1">
        <v>11465.867635118941</v>
      </c>
      <c r="K1419" s="1">
        <v>-1</v>
      </c>
      <c r="L1419" s="1">
        <v>106</v>
      </c>
      <c r="M1419" s="18">
        <v>40</v>
      </c>
      <c r="N1419" s="1">
        <v>13</v>
      </c>
      <c r="O1419" s="1">
        <v>0</v>
      </c>
      <c r="P1419" s="1">
        <v>0</v>
      </c>
      <c r="Q1419" s="1">
        <v>0</v>
      </c>
    </row>
    <row r="1420" spans="7:17" ht="15.45" x14ac:dyDescent="0.4">
      <c r="G1420" s="1">
        <v>895</v>
      </c>
      <c r="H1420" s="1">
        <v>4441.1737626118156</v>
      </c>
      <c r="I1420" s="1">
        <v>1</v>
      </c>
      <c r="J1420" s="1">
        <v>11486.945348934201</v>
      </c>
      <c r="K1420" s="1">
        <v>-1</v>
      </c>
      <c r="L1420" s="1">
        <v>105</v>
      </c>
      <c r="M1420" s="18">
        <v>40</v>
      </c>
      <c r="N1420" s="1">
        <v>13</v>
      </c>
      <c r="O1420" s="1">
        <v>0</v>
      </c>
      <c r="P1420" s="1">
        <v>0</v>
      </c>
      <c r="Q1420" s="1">
        <v>0</v>
      </c>
    </row>
    <row r="1421" spans="7:17" ht="15.45" x14ac:dyDescent="0.4">
      <c r="G1421" s="1">
        <v>896</v>
      </c>
      <c r="H1421" s="1">
        <v>13278.656057371923</v>
      </c>
      <c r="I1421" s="1">
        <v>-1</v>
      </c>
      <c r="J1421" s="1">
        <v>11544.315656290517</v>
      </c>
      <c r="K1421" s="1">
        <v>-1</v>
      </c>
      <c r="L1421" s="1">
        <v>104</v>
      </c>
      <c r="M1421" s="18">
        <v>40</v>
      </c>
      <c r="N1421" s="1">
        <v>13</v>
      </c>
      <c r="O1421" s="1">
        <v>0</v>
      </c>
      <c r="P1421" s="1">
        <v>0</v>
      </c>
      <c r="Q1421" s="1">
        <v>0</v>
      </c>
    </row>
    <row r="1422" spans="7:17" ht="15.45" x14ac:dyDescent="0.4">
      <c r="G1422" s="1">
        <v>897</v>
      </c>
      <c r="H1422" s="1">
        <v>4449.2830047263724</v>
      </c>
      <c r="I1422" s="1">
        <v>1</v>
      </c>
      <c r="J1422" s="1">
        <v>11592.401352507057</v>
      </c>
      <c r="K1422" s="1">
        <v>-1</v>
      </c>
      <c r="L1422" s="1">
        <v>103</v>
      </c>
      <c r="M1422" s="18">
        <v>40</v>
      </c>
      <c r="N1422" s="1">
        <v>13</v>
      </c>
      <c r="O1422" s="1">
        <v>0</v>
      </c>
      <c r="P1422" s="1">
        <v>0</v>
      </c>
      <c r="Q1422" s="1">
        <v>0</v>
      </c>
    </row>
    <row r="1423" spans="7:17" ht="15.45" x14ac:dyDescent="0.4">
      <c r="G1423" s="1">
        <v>898</v>
      </c>
      <c r="H1423" s="1">
        <v>13294.545059314394</v>
      </c>
      <c r="I1423" s="1">
        <v>-1</v>
      </c>
      <c r="J1423" s="1">
        <v>11599.906837076171</v>
      </c>
      <c r="K1423" s="1">
        <v>-1</v>
      </c>
      <c r="L1423" s="1">
        <v>102</v>
      </c>
      <c r="M1423" s="18">
        <v>40</v>
      </c>
      <c r="N1423" s="1">
        <v>12</v>
      </c>
      <c r="O1423" s="1">
        <v>0</v>
      </c>
      <c r="P1423" s="1">
        <v>0</v>
      </c>
      <c r="Q1423" s="1">
        <v>0</v>
      </c>
    </row>
    <row r="1424" spans="7:17" ht="15.45" x14ac:dyDescent="0.4">
      <c r="G1424" s="1">
        <v>899</v>
      </c>
      <c r="H1424" s="1">
        <v>4480.2917312979389</v>
      </c>
      <c r="I1424" s="1">
        <v>1</v>
      </c>
      <c r="J1424" s="1">
        <v>11632.356023363971</v>
      </c>
      <c r="K1424" s="1">
        <v>-1</v>
      </c>
      <c r="L1424" s="1">
        <v>101</v>
      </c>
      <c r="M1424" s="18">
        <v>40</v>
      </c>
      <c r="N1424" s="1">
        <v>11</v>
      </c>
      <c r="O1424" s="1">
        <v>0</v>
      </c>
      <c r="P1424" s="1">
        <v>0</v>
      </c>
      <c r="Q1424" s="1">
        <v>0</v>
      </c>
    </row>
    <row r="1425" spans="7:17" ht="15.45" x14ac:dyDescent="0.4">
      <c r="G1425" s="1">
        <v>900</v>
      </c>
      <c r="H1425" s="1">
        <v>13309.172173072886</v>
      </c>
      <c r="I1425" s="1">
        <v>-1</v>
      </c>
      <c r="J1425" s="1">
        <v>11635.676070095145</v>
      </c>
      <c r="K1425" s="1">
        <v>-1</v>
      </c>
      <c r="L1425" s="1">
        <v>100</v>
      </c>
      <c r="M1425" s="18">
        <v>40</v>
      </c>
      <c r="N1425" s="1">
        <v>11</v>
      </c>
      <c r="O1425" s="1">
        <v>0</v>
      </c>
      <c r="P1425" s="1">
        <v>0</v>
      </c>
      <c r="Q1425" s="1">
        <v>0</v>
      </c>
    </row>
    <row r="1426" spans="7:17" ht="15.45" x14ac:dyDescent="0.4">
      <c r="G1426" s="1">
        <v>901</v>
      </c>
      <c r="H1426" s="1">
        <v>4486.1768756257743</v>
      </c>
      <c r="I1426" s="1">
        <v>1</v>
      </c>
      <c r="J1426" s="1">
        <v>11643.4597793545</v>
      </c>
      <c r="K1426" s="1">
        <v>-1</v>
      </c>
      <c r="L1426" s="1">
        <v>99</v>
      </c>
      <c r="M1426" s="18">
        <v>40</v>
      </c>
      <c r="N1426" s="1">
        <v>11</v>
      </c>
      <c r="O1426" s="1">
        <v>0</v>
      </c>
      <c r="P1426" s="1">
        <v>0</v>
      </c>
      <c r="Q1426" s="1">
        <v>0</v>
      </c>
    </row>
    <row r="1427" spans="7:17" ht="15.45" x14ac:dyDescent="0.4">
      <c r="G1427" s="1">
        <v>902</v>
      </c>
      <c r="H1427" s="1">
        <v>13384.586155336714</v>
      </c>
      <c r="I1427" s="1">
        <v>-1</v>
      </c>
      <c r="J1427" s="1">
        <v>11648.235526911771</v>
      </c>
      <c r="K1427" s="1">
        <v>-1</v>
      </c>
      <c r="L1427" s="1">
        <v>98</v>
      </c>
      <c r="M1427" s="18">
        <v>40</v>
      </c>
      <c r="N1427" s="1">
        <v>11</v>
      </c>
      <c r="O1427" s="1">
        <v>0</v>
      </c>
      <c r="P1427" s="1">
        <v>0</v>
      </c>
      <c r="Q1427" s="1">
        <v>0</v>
      </c>
    </row>
    <row r="1428" spans="7:17" ht="15.45" x14ac:dyDescent="0.4">
      <c r="G1428" s="1">
        <v>903</v>
      </c>
      <c r="H1428" s="1">
        <v>4489.5084863487637</v>
      </c>
      <c r="I1428" s="1">
        <v>1</v>
      </c>
      <c r="J1428" s="1">
        <v>11662.996857896611</v>
      </c>
      <c r="K1428" s="1">
        <v>-1</v>
      </c>
      <c r="L1428" s="1">
        <v>97</v>
      </c>
      <c r="M1428" s="18">
        <v>40</v>
      </c>
      <c r="N1428" s="1">
        <v>11</v>
      </c>
      <c r="O1428" s="1">
        <v>0</v>
      </c>
      <c r="P1428" s="1">
        <v>0</v>
      </c>
      <c r="Q1428" s="1">
        <v>0</v>
      </c>
    </row>
    <row r="1429" spans="7:17" ht="15.45" x14ac:dyDescent="0.4">
      <c r="G1429" s="1">
        <v>904</v>
      </c>
      <c r="H1429" s="1">
        <v>13410.42501595835</v>
      </c>
      <c r="I1429" s="1">
        <v>-1</v>
      </c>
      <c r="J1429" s="1">
        <v>11681.113473001024</v>
      </c>
      <c r="K1429" s="1">
        <v>-1</v>
      </c>
      <c r="L1429" s="1">
        <v>96</v>
      </c>
      <c r="M1429" s="18">
        <v>40</v>
      </c>
      <c r="N1429" s="1">
        <v>11</v>
      </c>
      <c r="O1429" s="1">
        <v>0</v>
      </c>
      <c r="P1429" s="1">
        <v>0</v>
      </c>
      <c r="Q1429" s="1">
        <v>0</v>
      </c>
    </row>
    <row r="1430" spans="7:17" ht="15.45" x14ac:dyDescent="0.4">
      <c r="G1430" s="1">
        <v>905</v>
      </c>
      <c r="H1430" s="1">
        <v>4491.771883554472</v>
      </c>
      <c r="I1430" s="1">
        <v>1</v>
      </c>
      <c r="J1430" s="1">
        <v>11721.652560808978</v>
      </c>
      <c r="K1430" s="1">
        <v>-1</v>
      </c>
      <c r="L1430" s="1">
        <v>95</v>
      </c>
      <c r="M1430" s="18">
        <v>40</v>
      </c>
      <c r="N1430" s="1">
        <v>11</v>
      </c>
      <c r="O1430" s="1">
        <v>0</v>
      </c>
      <c r="P1430" s="1">
        <v>0</v>
      </c>
      <c r="Q1430" s="1">
        <v>0</v>
      </c>
    </row>
    <row r="1431" spans="7:17" ht="15.45" x14ac:dyDescent="0.4">
      <c r="G1431" s="1">
        <v>906</v>
      </c>
      <c r="H1431" s="1">
        <v>13479.617030839261</v>
      </c>
      <c r="I1431" s="1">
        <v>-1</v>
      </c>
      <c r="J1431" s="1">
        <v>11725.768705731127</v>
      </c>
      <c r="K1431" s="1">
        <v>-1</v>
      </c>
      <c r="L1431" s="1">
        <v>94</v>
      </c>
      <c r="M1431" s="18">
        <v>40</v>
      </c>
      <c r="N1431" s="1">
        <v>11</v>
      </c>
      <c r="O1431" s="1">
        <v>0</v>
      </c>
      <c r="P1431" s="1">
        <v>0</v>
      </c>
      <c r="Q1431" s="1">
        <v>0</v>
      </c>
    </row>
    <row r="1432" spans="7:17" ht="15.45" x14ac:dyDescent="0.4">
      <c r="G1432" s="1">
        <v>907</v>
      </c>
      <c r="H1432" s="1">
        <v>4497.6082404682593</v>
      </c>
      <c r="I1432" s="1">
        <v>1</v>
      </c>
      <c r="J1432" s="1">
        <v>11730.957896925865</v>
      </c>
      <c r="K1432" s="1">
        <v>-1</v>
      </c>
      <c r="L1432" s="1">
        <v>93</v>
      </c>
      <c r="M1432" s="18">
        <v>40</v>
      </c>
      <c r="N1432" s="1">
        <v>11</v>
      </c>
      <c r="O1432" s="1">
        <v>0</v>
      </c>
      <c r="P1432" s="1">
        <v>0</v>
      </c>
      <c r="Q1432" s="1">
        <v>0</v>
      </c>
    </row>
    <row r="1433" spans="7:17" ht="15.45" x14ac:dyDescent="0.4">
      <c r="G1433" s="1">
        <v>908</v>
      </c>
      <c r="H1433" s="1">
        <v>13510.449695664349</v>
      </c>
      <c r="I1433" s="1">
        <v>-1</v>
      </c>
      <c r="J1433" s="1">
        <v>11744.096175424536</v>
      </c>
      <c r="K1433" s="1">
        <v>-1</v>
      </c>
      <c r="L1433" s="1">
        <v>92</v>
      </c>
      <c r="M1433" s="18">
        <v>40</v>
      </c>
      <c r="N1433" s="1">
        <v>11</v>
      </c>
      <c r="O1433" s="1">
        <v>0</v>
      </c>
      <c r="P1433" s="1">
        <v>0</v>
      </c>
      <c r="Q1433" s="1">
        <v>0</v>
      </c>
    </row>
    <row r="1434" spans="7:17" ht="15.45" x14ac:dyDescent="0.4">
      <c r="G1434" s="1">
        <v>909</v>
      </c>
      <c r="H1434" s="1">
        <v>4512.3926992199467</v>
      </c>
      <c r="I1434" s="1">
        <v>1</v>
      </c>
      <c r="J1434" s="1">
        <v>11768.245189791631</v>
      </c>
      <c r="K1434" s="1">
        <v>-1</v>
      </c>
      <c r="L1434" s="1">
        <v>91</v>
      </c>
      <c r="M1434" s="18">
        <v>40</v>
      </c>
      <c r="N1434" s="1">
        <v>11</v>
      </c>
      <c r="O1434" s="1">
        <v>0</v>
      </c>
      <c r="P1434" s="1">
        <v>0</v>
      </c>
      <c r="Q1434" s="1">
        <v>0</v>
      </c>
    </row>
    <row r="1435" spans="7:17" ht="15.45" x14ac:dyDescent="0.4">
      <c r="G1435" s="1">
        <v>910</v>
      </c>
      <c r="H1435" s="1">
        <v>13548.668671015514</v>
      </c>
      <c r="I1435" s="1">
        <v>-1</v>
      </c>
      <c r="J1435" s="1">
        <v>11786.130417447326</v>
      </c>
      <c r="K1435" s="1">
        <v>-1</v>
      </c>
      <c r="L1435" s="1">
        <v>90</v>
      </c>
      <c r="M1435" s="18">
        <v>40</v>
      </c>
      <c r="N1435" s="1">
        <v>11</v>
      </c>
      <c r="O1435" s="1">
        <v>0</v>
      </c>
      <c r="P1435" s="1">
        <v>0</v>
      </c>
      <c r="Q1435" s="1">
        <v>0</v>
      </c>
    </row>
    <row r="1436" spans="7:17" ht="15.45" x14ac:dyDescent="0.4">
      <c r="G1436" s="1">
        <v>911</v>
      </c>
      <c r="H1436" s="1">
        <v>4512.6175422817269</v>
      </c>
      <c r="I1436" s="1">
        <v>1</v>
      </c>
      <c r="J1436" s="1">
        <v>11918.864884608976</v>
      </c>
      <c r="K1436" s="1">
        <v>-1</v>
      </c>
      <c r="L1436" s="1">
        <v>89</v>
      </c>
      <c r="M1436" s="18">
        <v>40</v>
      </c>
      <c r="N1436" s="1">
        <v>10</v>
      </c>
      <c r="O1436" s="1">
        <v>0</v>
      </c>
      <c r="P1436" s="1">
        <v>0</v>
      </c>
      <c r="Q1436" s="1">
        <v>0</v>
      </c>
    </row>
    <row r="1437" spans="7:17" ht="15.45" x14ac:dyDescent="0.4">
      <c r="G1437" s="1">
        <v>912</v>
      </c>
      <c r="H1437" s="1">
        <v>13555.29396869811</v>
      </c>
      <c r="I1437" s="1">
        <v>-1</v>
      </c>
      <c r="J1437" s="1">
        <v>11929.955160074489</v>
      </c>
      <c r="K1437" s="1">
        <v>-1</v>
      </c>
      <c r="L1437" s="1">
        <v>88</v>
      </c>
      <c r="M1437" s="18">
        <v>40</v>
      </c>
      <c r="N1437" s="1">
        <v>10</v>
      </c>
      <c r="O1437" s="1">
        <v>0</v>
      </c>
      <c r="P1437" s="1">
        <v>0</v>
      </c>
      <c r="Q1437" s="1">
        <v>0</v>
      </c>
    </row>
    <row r="1438" spans="7:17" ht="15.45" x14ac:dyDescent="0.4">
      <c r="G1438" s="1">
        <v>913</v>
      </c>
      <c r="H1438" s="1">
        <v>4518.9133093731461</v>
      </c>
      <c r="I1438" s="1">
        <v>1</v>
      </c>
      <c r="J1438" s="1">
        <v>11964.344732071526</v>
      </c>
      <c r="K1438" s="1">
        <v>-1</v>
      </c>
      <c r="L1438" s="1">
        <v>87</v>
      </c>
      <c r="M1438" s="18">
        <v>40</v>
      </c>
      <c r="N1438" s="1">
        <v>10</v>
      </c>
      <c r="O1438" s="1">
        <v>0</v>
      </c>
      <c r="P1438" s="1">
        <v>0</v>
      </c>
      <c r="Q1438" s="1">
        <v>0</v>
      </c>
    </row>
    <row r="1439" spans="7:17" ht="15.45" x14ac:dyDescent="0.4">
      <c r="G1439" s="1">
        <v>914</v>
      </c>
      <c r="H1439" s="1">
        <v>13593.940053083417</v>
      </c>
      <c r="I1439" s="1">
        <v>-1</v>
      </c>
      <c r="J1439" s="1">
        <v>11965.384580825967</v>
      </c>
      <c r="K1439" s="1">
        <v>-1</v>
      </c>
      <c r="L1439" s="1">
        <v>86</v>
      </c>
      <c r="M1439" s="18">
        <v>40</v>
      </c>
      <c r="N1439" s="1">
        <v>10</v>
      </c>
      <c r="O1439" s="1">
        <v>0</v>
      </c>
      <c r="P1439" s="1">
        <v>0</v>
      </c>
      <c r="Q1439" s="1">
        <v>0</v>
      </c>
    </row>
    <row r="1440" spans="7:17" ht="15.45" x14ac:dyDescent="0.4">
      <c r="G1440" s="1">
        <v>915</v>
      </c>
      <c r="H1440" s="1">
        <v>4521.323163748616</v>
      </c>
      <c r="I1440" s="1">
        <v>1</v>
      </c>
      <c r="J1440" s="1">
        <v>11982.440741660968</v>
      </c>
      <c r="K1440" s="1">
        <v>-1</v>
      </c>
      <c r="L1440" s="1">
        <v>85</v>
      </c>
      <c r="M1440" s="18">
        <v>40</v>
      </c>
      <c r="N1440" s="1">
        <v>10</v>
      </c>
      <c r="O1440" s="1">
        <v>0</v>
      </c>
      <c r="P1440" s="1">
        <v>0</v>
      </c>
      <c r="Q1440" s="1">
        <v>0</v>
      </c>
    </row>
    <row r="1441" spans="7:17" ht="15.45" x14ac:dyDescent="0.4">
      <c r="G1441" s="1">
        <v>916</v>
      </c>
      <c r="H1441" s="1">
        <v>13671.549770710051</v>
      </c>
      <c r="I1441" s="1">
        <v>-1</v>
      </c>
      <c r="J1441" s="1">
        <v>11993.909283779249</v>
      </c>
      <c r="K1441" s="1">
        <v>-1</v>
      </c>
      <c r="L1441" s="1">
        <v>84</v>
      </c>
      <c r="M1441" s="18">
        <v>40</v>
      </c>
      <c r="N1441" s="1">
        <v>9</v>
      </c>
      <c r="O1441" s="1">
        <v>0</v>
      </c>
      <c r="P1441" s="1">
        <v>0</v>
      </c>
      <c r="Q1441" s="1">
        <v>0</v>
      </c>
    </row>
    <row r="1442" spans="7:17" ht="15.45" x14ac:dyDescent="0.4">
      <c r="G1442" s="1">
        <v>917</v>
      </c>
      <c r="H1442" s="1">
        <v>4526.5732228929592</v>
      </c>
      <c r="I1442" s="1">
        <v>1</v>
      </c>
      <c r="J1442" s="1">
        <v>11996.985848182854</v>
      </c>
      <c r="K1442" s="1">
        <v>-1</v>
      </c>
      <c r="L1442" s="1">
        <v>83</v>
      </c>
      <c r="M1442" s="18">
        <v>40</v>
      </c>
      <c r="N1442" s="1">
        <v>8</v>
      </c>
      <c r="O1442" s="1">
        <v>0</v>
      </c>
      <c r="P1442" s="1">
        <v>0</v>
      </c>
      <c r="Q1442" s="1">
        <v>0</v>
      </c>
    </row>
    <row r="1443" spans="7:17" ht="15.45" x14ac:dyDescent="0.4">
      <c r="G1443" s="1">
        <v>918</v>
      </c>
      <c r="H1443" s="1">
        <v>13722.793715346403</v>
      </c>
      <c r="I1443" s="1">
        <v>-1</v>
      </c>
      <c r="J1443" s="1">
        <v>12036.786764755456</v>
      </c>
      <c r="K1443" s="1">
        <v>-1</v>
      </c>
      <c r="L1443" s="1">
        <v>82</v>
      </c>
      <c r="M1443" s="18">
        <v>40</v>
      </c>
      <c r="N1443" s="1">
        <v>7</v>
      </c>
      <c r="O1443" s="1">
        <v>0</v>
      </c>
      <c r="P1443" s="1">
        <v>0</v>
      </c>
      <c r="Q1443" s="1">
        <v>0</v>
      </c>
    </row>
    <row r="1444" spans="7:17" ht="15.45" x14ac:dyDescent="0.4">
      <c r="G1444" s="1">
        <v>919</v>
      </c>
      <c r="H1444" s="1">
        <v>4546.3808114909671</v>
      </c>
      <c r="I1444" s="1">
        <v>1</v>
      </c>
      <c r="J1444" s="1">
        <v>12104.921005529783</v>
      </c>
      <c r="K1444" s="1">
        <v>-1</v>
      </c>
      <c r="L1444" s="1">
        <v>81</v>
      </c>
      <c r="M1444" s="18">
        <v>40</v>
      </c>
      <c r="N1444" s="1">
        <v>7</v>
      </c>
      <c r="O1444" s="1">
        <v>0</v>
      </c>
      <c r="P1444" s="1">
        <v>0</v>
      </c>
      <c r="Q1444" s="1">
        <v>0</v>
      </c>
    </row>
    <row r="1445" spans="7:17" ht="15.45" x14ac:dyDescent="0.4">
      <c r="G1445" s="1">
        <v>920</v>
      </c>
      <c r="H1445" s="1">
        <v>13727.725437410623</v>
      </c>
      <c r="I1445" s="1">
        <v>-1</v>
      </c>
      <c r="J1445" s="1">
        <v>12175.924517197265</v>
      </c>
      <c r="K1445" s="1">
        <v>-1</v>
      </c>
      <c r="L1445" s="1">
        <v>80</v>
      </c>
      <c r="M1445" s="18">
        <v>40</v>
      </c>
      <c r="N1445" s="1">
        <v>7</v>
      </c>
      <c r="O1445" s="1">
        <v>0</v>
      </c>
      <c r="P1445" s="1">
        <v>0</v>
      </c>
      <c r="Q1445" s="1">
        <v>0</v>
      </c>
    </row>
    <row r="1446" spans="7:17" ht="15.45" x14ac:dyDescent="0.4">
      <c r="G1446" s="1">
        <v>921</v>
      </c>
      <c r="H1446" s="1">
        <v>4560.9965132826428</v>
      </c>
      <c r="I1446" s="1">
        <v>1</v>
      </c>
      <c r="J1446" s="1">
        <v>12238.96934601985</v>
      </c>
      <c r="K1446" s="1">
        <v>-1</v>
      </c>
      <c r="L1446" s="1">
        <v>79</v>
      </c>
      <c r="M1446" s="18">
        <v>40</v>
      </c>
      <c r="N1446" s="1">
        <v>6</v>
      </c>
      <c r="O1446" s="1">
        <v>0</v>
      </c>
      <c r="P1446" s="1">
        <v>0</v>
      </c>
      <c r="Q1446" s="1">
        <v>0</v>
      </c>
    </row>
    <row r="1447" spans="7:17" ht="15.45" x14ac:dyDescent="0.4">
      <c r="G1447" s="1">
        <v>922</v>
      </c>
      <c r="H1447" s="1">
        <v>13730.507554474076</v>
      </c>
      <c r="I1447" s="1">
        <v>-1</v>
      </c>
      <c r="J1447" s="1">
        <v>12335.809984601427</v>
      </c>
      <c r="K1447" s="1">
        <v>-1</v>
      </c>
      <c r="L1447" s="1">
        <v>78</v>
      </c>
      <c r="M1447" s="18">
        <v>40</v>
      </c>
      <c r="N1447" s="1">
        <v>5</v>
      </c>
      <c r="O1447" s="1">
        <v>0</v>
      </c>
      <c r="P1447" s="1">
        <v>0</v>
      </c>
      <c r="Q1447" s="1">
        <v>0</v>
      </c>
    </row>
    <row r="1448" spans="7:17" ht="15.45" x14ac:dyDescent="0.4">
      <c r="G1448" s="1">
        <v>923</v>
      </c>
      <c r="H1448" s="1">
        <v>4564.9238656167963</v>
      </c>
      <c r="I1448" s="1">
        <v>1</v>
      </c>
      <c r="J1448" s="1">
        <v>12371.464581416982</v>
      </c>
      <c r="K1448" s="1">
        <v>-1</v>
      </c>
      <c r="L1448" s="1">
        <v>77</v>
      </c>
      <c r="M1448" s="18">
        <v>40</v>
      </c>
      <c r="N1448" s="1">
        <v>5</v>
      </c>
      <c r="O1448" s="1">
        <v>0</v>
      </c>
      <c r="P1448" s="1">
        <v>0</v>
      </c>
      <c r="Q1448" s="1">
        <v>0</v>
      </c>
    </row>
    <row r="1449" spans="7:17" ht="15.45" x14ac:dyDescent="0.4">
      <c r="G1449" s="1">
        <v>924</v>
      </c>
      <c r="H1449" s="1">
        <v>13754.835280817746</v>
      </c>
      <c r="I1449" s="1">
        <v>-1</v>
      </c>
      <c r="J1449" s="1">
        <v>12396.073241670363</v>
      </c>
      <c r="K1449" s="1">
        <v>-1</v>
      </c>
      <c r="L1449" s="1">
        <v>76</v>
      </c>
      <c r="M1449" s="18">
        <v>40</v>
      </c>
      <c r="N1449" s="1">
        <v>4</v>
      </c>
      <c r="O1449" s="1">
        <v>0</v>
      </c>
      <c r="P1449" s="1">
        <v>0</v>
      </c>
      <c r="Q1449" s="1">
        <v>0</v>
      </c>
    </row>
    <row r="1450" spans="7:17" ht="15.45" x14ac:dyDescent="0.4">
      <c r="G1450" s="1">
        <v>925</v>
      </c>
      <c r="H1450" s="1">
        <v>4569.4374191213756</v>
      </c>
      <c r="I1450" s="1">
        <v>1</v>
      </c>
      <c r="J1450" s="1">
        <v>12432.123135377769</v>
      </c>
      <c r="K1450" s="1">
        <v>-1</v>
      </c>
      <c r="L1450" s="1">
        <v>75</v>
      </c>
      <c r="M1450" s="18">
        <v>40</v>
      </c>
      <c r="N1450" s="1">
        <v>3</v>
      </c>
      <c r="O1450" s="1">
        <v>0</v>
      </c>
      <c r="P1450" s="1">
        <v>0</v>
      </c>
      <c r="Q1450" s="1">
        <v>0</v>
      </c>
    </row>
    <row r="1451" spans="7:17" ht="15.45" x14ac:dyDescent="0.4">
      <c r="G1451" s="1">
        <v>926</v>
      </c>
      <c r="H1451" s="1">
        <v>13847.861460532446</v>
      </c>
      <c r="I1451" s="1">
        <v>-1</v>
      </c>
      <c r="J1451" s="1">
        <v>12441.461948140164</v>
      </c>
      <c r="K1451" s="1">
        <v>-1</v>
      </c>
      <c r="L1451" s="1">
        <v>74</v>
      </c>
      <c r="M1451" s="18">
        <v>40</v>
      </c>
      <c r="N1451" s="1">
        <v>3</v>
      </c>
      <c r="O1451" s="1">
        <v>0</v>
      </c>
      <c r="P1451" s="1">
        <v>0</v>
      </c>
      <c r="Q1451" s="1">
        <v>0</v>
      </c>
    </row>
    <row r="1452" spans="7:17" ht="15.45" x14ac:dyDescent="0.4">
      <c r="G1452" s="1">
        <v>927</v>
      </c>
      <c r="H1452" s="1">
        <v>4605.1998361937058</v>
      </c>
      <c r="I1452" s="1">
        <v>1</v>
      </c>
      <c r="J1452" s="1">
        <v>12464.172939209797</v>
      </c>
      <c r="K1452" s="1">
        <v>-1</v>
      </c>
      <c r="L1452" s="1">
        <v>73</v>
      </c>
      <c r="M1452" s="18">
        <v>40</v>
      </c>
      <c r="N1452" s="1">
        <v>2</v>
      </c>
      <c r="O1452" s="1">
        <v>0</v>
      </c>
      <c r="P1452" s="1">
        <v>0</v>
      </c>
      <c r="Q1452" s="1">
        <v>0</v>
      </c>
    </row>
    <row r="1453" spans="7:17" ht="15.45" x14ac:dyDescent="0.4">
      <c r="G1453" s="1">
        <v>928</v>
      </c>
      <c r="H1453" s="1">
        <v>13865.516893515953</v>
      </c>
      <c r="I1453" s="1">
        <v>-1</v>
      </c>
      <c r="J1453" s="1">
        <v>12485.927552927857</v>
      </c>
      <c r="K1453" s="1">
        <v>-1</v>
      </c>
      <c r="L1453" s="1">
        <v>72</v>
      </c>
      <c r="M1453" s="18">
        <v>40</v>
      </c>
      <c r="N1453" s="1">
        <v>1</v>
      </c>
      <c r="O1453" s="1">
        <v>0</v>
      </c>
      <c r="P1453" s="1">
        <v>0</v>
      </c>
      <c r="Q1453" s="1">
        <v>0</v>
      </c>
    </row>
    <row r="1454" spans="7:17" ht="15.45" x14ac:dyDescent="0.4">
      <c r="G1454" s="1">
        <v>929</v>
      </c>
      <c r="H1454" s="1">
        <v>4609.9369977425304</v>
      </c>
      <c r="I1454" s="1">
        <v>1</v>
      </c>
      <c r="J1454" s="1">
        <v>12537.804753205473</v>
      </c>
      <c r="K1454" s="1">
        <v>-1</v>
      </c>
      <c r="L1454" s="1">
        <v>71</v>
      </c>
      <c r="M1454" s="18">
        <v>40</v>
      </c>
      <c r="N1454" s="1">
        <v>1</v>
      </c>
      <c r="O1454" s="1">
        <v>0</v>
      </c>
      <c r="P1454" s="1">
        <v>0</v>
      </c>
      <c r="Q1454" s="1">
        <v>0</v>
      </c>
    </row>
    <row r="1455" spans="7:17" ht="15.45" x14ac:dyDescent="0.4">
      <c r="G1455" s="1">
        <v>930</v>
      </c>
      <c r="H1455" s="1">
        <v>13875.511725684919</v>
      </c>
      <c r="I1455" s="1">
        <v>-1</v>
      </c>
      <c r="J1455" s="1">
        <v>12603.297248943221</v>
      </c>
      <c r="K1455" s="1">
        <v>-1</v>
      </c>
      <c r="L1455" s="1">
        <v>70</v>
      </c>
      <c r="M1455" s="18">
        <v>40</v>
      </c>
      <c r="N1455" s="1">
        <v>1</v>
      </c>
      <c r="O1455" s="1">
        <v>0</v>
      </c>
      <c r="P1455" s="1">
        <v>0</v>
      </c>
      <c r="Q1455" s="1">
        <v>0</v>
      </c>
    </row>
    <row r="1456" spans="7:17" ht="15.45" x14ac:dyDescent="0.4">
      <c r="G1456" s="1">
        <v>931</v>
      </c>
      <c r="H1456" s="1">
        <v>4616.6065504107</v>
      </c>
      <c r="I1456" s="1">
        <v>1</v>
      </c>
      <c r="J1456" s="1">
        <v>12684.776249327322</v>
      </c>
      <c r="K1456" s="1">
        <v>-1</v>
      </c>
      <c r="L1456" s="1">
        <v>69</v>
      </c>
      <c r="M1456" s="18">
        <v>40</v>
      </c>
      <c r="N1456" s="1">
        <v>1</v>
      </c>
      <c r="O1456" s="1">
        <v>0</v>
      </c>
      <c r="P1456" s="1">
        <v>0</v>
      </c>
      <c r="Q1456" s="1">
        <v>0</v>
      </c>
    </row>
    <row r="1457" spans="7:17" ht="15.45" x14ac:dyDescent="0.4">
      <c r="G1457" s="1">
        <v>932</v>
      </c>
      <c r="H1457" s="1">
        <v>13882.301917302044</v>
      </c>
      <c r="I1457" s="1">
        <v>-1</v>
      </c>
      <c r="J1457" s="1">
        <v>12731.388378950134</v>
      </c>
      <c r="K1457" s="1">
        <v>-1</v>
      </c>
      <c r="L1457" s="1">
        <v>68</v>
      </c>
      <c r="M1457" s="18">
        <v>40</v>
      </c>
      <c r="N1457" s="1">
        <v>1</v>
      </c>
      <c r="O1457" s="1">
        <v>0</v>
      </c>
      <c r="P1457" s="1">
        <v>0</v>
      </c>
      <c r="Q1457" s="1">
        <v>0</v>
      </c>
    </row>
    <row r="1458" spans="7:17" ht="15.45" x14ac:dyDescent="0.4">
      <c r="G1458" s="1">
        <v>933</v>
      </c>
      <c r="H1458" s="1">
        <v>4626.9980321320736</v>
      </c>
      <c r="I1458" s="1">
        <v>1</v>
      </c>
      <c r="J1458" s="1">
        <v>12740.259321451096</v>
      </c>
      <c r="K1458" s="1">
        <v>-1</v>
      </c>
      <c r="L1458" s="1">
        <v>67</v>
      </c>
      <c r="M1458" s="18">
        <v>40</v>
      </c>
      <c r="N1458" s="1">
        <v>1</v>
      </c>
      <c r="O1458" s="1">
        <v>0</v>
      </c>
      <c r="P1458" s="1">
        <v>0</v>
      </c>
      <c r="Q1458" s="1">
        <v>0</v>
      </c>
    </row>
    <row r="1459" spans="7:17" ht="15.45" x14ac:dyDescent="0.4">
      <c r="G1459" s="1">
        <v>934</v>
      </c>
      <c r="H1459" s="1">
        <v>13899.810988043406</v>
      </c>
      <c r="I1459" s="1">
        <v>-1</v>
      </c>
      <c r="J1459" s="1">
        <v>12765.15130214409</v>
      </c>
      <c r="K1459" s="1">
        <v>-1</v>
      </c>
      <c r="L1459" s="1">
        <v>66</v>
      </c>
      <c r="M1459" s="18">
        <v>40</v>
      </c>
      <c r="N1459" s="1">
        <v>1</v>
      </c>
      <c r="O1459" s="1">
        <v>0</v>
      </c>
      <c r="P1459" s="1">
        <v>0</v>
      </c>
      <c r="Q1459" s="1">
        <v>0</v>
      </c>
    </row>
    <row r="1460" spans="7:17" ht="15.45" x14ac:dyDescent="0.4">
      <c r="G1460" s="1">
        <v>935</v>
      </c>
      <c r="H1460" s="1">
        <v>4632.7586474389682</v>
      </c>
      <c r="I1460" s="1">
        <v>1</v>
      </c>
      <c r="J1460" s="1">
        <v>12781.258198441945</v>
      </c>
      <c r="K1460" s="1">
        <v>-1</v>
      </c>
      <c r="L1460" s="1">
        <v>65</v>
      </c>
      <c r="M1460" s="18">
        <v>40</v>
      </c>
      <c r="N1460" s="1">
        <v>1</v>
      </c>
      <c r="O1460" s="1">
        <v>0</v>
      </c>
      <c r="P1460" s="1">
        <v>0</v>
      </c>
      <c r="Q1460" s="1">
        <v>0</v>
      </c>
    </row>
    <row r="1461" spans="7:17" ht="15.45" x14ac:dyDescent="0.4">
      <c r="G1461" s="1">
        <v>936</v>
      </c>
      <c r="H1461" s="1">
        <v>13944.164364298467</v>
      </c>
      <c r="I1461" s="1">
        <v>-1</v>
      </c>
      <c r="J1461" s="1">
        <v>12783.946560338207</v>
      </c>
      <c r="K1461" s="1">
        <v>-1</v>
      </c>
      <c r="L1461" s="1">
        <v>64</v>
      </c>
      <c r="M1461" s="18">
        <v>40</v>
      </c>
      <c r="N1461" s="1">
        <v>1</v>
      </c>
      <c r="O1461" s="1">
        <v>0</v>
      </c>
      <c r="P1461" s="1">
        <v>0</v>
      </c>
      <c r="Q1461" s="1">
        <v>0</v>
      </c>
    </row>
    <row r="1462" spans="7:17" ht="15.45" x14ac:dyDescent="0.4">
      <c r="G1462" s="1">
        <v>937</v>
      </c>
      <c r="H1462" s="1">
        <v>4632.9085009846203</v>
      </c>
      <c r="I1462" s="1">
        <v>1</v>
      </c>
      <c r="J1462" s="1">
        <v>12827.473373651475</v>
      </c>
      <c r="K1462" s="1">
        <v>-1</v>
      </c>
      <c r="L1462" s="1">
        <v>63</v>
      </c>
      <c r="M1462" s="18">
        <v>40</v>
      </c>
      <c r="N1462" s="1">
        <v>1</v>
      </c>
      <c r="O1462" s="1">
        <v>0</v>
      </c>
      <c r="P1462" s="1">
        <v>0</v>
      </c>
      <c r="Q1462" s="1">
        <v>0</v>
      </c>
    </row>
    <row r="1463" spans="7:17" ht="15.45" x14ac:dyDescent="0.4">
      <c r="G1463" s="1">
        <v>938</v>
      </c>
      <c r="H1463" s="1">
        <v>13944.838893483806</v>
      </c>
      <c r="I1463" s="1">
        <v>-1</v>
      </c>
      <c r="J1463" s="1">
        <v>12877.100803795249</v>
      </c>
      <c r="K1463" s="1">
        <v>-1</v>
      </c>
      <c r="L1463" s="1">
        <v>62</v>
      </c>
      <c r="M1463" s="18">
        <v>40</v>
      </c>
      <c r="N1463" s="1">
        <v>1</v>
      </c>
      <c r="O1463" s="1">
        <v>0</v>
      </c>
      <c r="P1463" s="1">
        <v>0</v>
      </c>
      <c r="Q1463" s="1">
        <v>0</v>
      </c>
    </row>
    <row r="1464" spans="7:17" ht="15.45" x14ac:dyDescent="0.4">
      <c r="G1464" s="1">
        <v>939</v>
      </c>
      <c r="H1464" s="1">
        <v>4635.2072488848853</v>
      </c>
      <c r="I1464" s="1">
        <v>1</v>
      </c>
      <c r="J1464" s="1">
        <v>12883.294570314334</v>
      </c>
      <c r="K1464" s="1">
        <v>-1</v>
      </c>
      <c r="L1464" s="1">
        <v>61</v>
      </c>
      <c r="M1464" s="18">
        <v>40</v>
      </c>
      <c r="N1464" s="1">
        <v>1</v>
      </c>
      <c r="O1464" s="1">
        <v>0</v>
      </c>
      <c r="P1464" s="1">
        <v>0</v>
      </c>
      <c r="Q1464" s="1">
        <v>0</v>
      </c>
    </row>
    <row r="1465" spans="7:17" ht="15.45" x14ac:dyDescent="0.4">
      <c r="G1465" s="1">
        <v>940</v>
      </c>
      <c r="H1465" s="1">
        <v>13963.726194758066</v>
      </c>
      <c r="I1465" s="1">
        <v>-1</v>
      </c>
      <c r="J1465" s="1">
        <v>12925.53258549589</v>
      </c>
      <c r="K1465" s="1">
        <v>-1</v>
      </c>
      <c r="L1465" s="1">
        <v>60</v>
      </c>
      <c r="M1465" s="18">
        <v>40</v>
      </c>
      <c r="N1465" s="1">
        <v>1</v>
      </c>
      <c r="O1465" s="1">
        <v>0</v>
      </c>
      <c r="P1465" s="1">
        <v>0</v>
      </c>
      <c r="Q1465" s="1">
        <v>0</v>
      </c>
    </row>
    <row r="1466" spans="7:17" ht="15.45" x14ac:dyDescent="0.4">
      <c r="G1466" s="1">
        <v>941</v>
      </c>
      <c r="H1466" s="1">
        <v>4637.6529228773197</v>
      </c>
      <c r="I1466" s="1">
        <v>1</v>
      </c>
      <c r="J1466" s="1">
        <v>12980.26563869842</v>
      </c>
      <c r="K1466" s="1">
        <v>-1</v>
      </c>
      <c r="L1466" s="1">
        <v>59</v>
      </c>
      <c r="M1466" s="18">
        <v>40</v>
      </c>
      <c r="N1466" s="1">
        <v>1</v>
      </c>
      <c r="O1466" s="1">
        <v>0</v>
      </c>
      <c r="P1466" s="1">
        <v>0</v>
      </c>
      <c r="Q1466" s="1">
        <v>0</v>
      </c>
    </row>
    <row r="1467" spans="7:17" ht="15.45" x14ac:dyDescent="0.4">
      <c r="G1467" s="1">
        <v>942</v>
      </c>
      <c r="H1467" s="1">
        <v>13970.955757884476</v>
      </c>
      <c r="I1467" s="1">
        <v>-1</v>
      </c>
      <c r="J1467" s="1">
        <v>12982.808159143875</v>
      </c>
      <c r="K1467" s="1">
        <v>-1</v>
      </c>
      <c r="L1467" s="1">
        <v>58</v>
      </c>
      <c r="M1467" s="18">
        <v>40</v>
      </c>
      <c r="N1467" s="1">
        <v>1</v>
      </c>
      <c r="O1467" s="1">
        <v>0</v>
      </c>
      <c r="P1467" s="1">
        <v>0</v>
      </c>
      <c r="Q1467" s="1">
        <v>0</v>
      </c>
    </row>
    <row r="1468" spans="7:17" ht="15.45" x14ac:dyDescent="0.4">
      <c r="G1468" s="1">
        <v>943</v>
      </c>
      <c r="H1468" s="1">
        <v>4639.6635198583472</v>
      </c>
      <c r="I1468" s="1">
        <v>1</v>
      </c>
      <c r="J1468" s="1">
        <v>12993.405508644717</v>
      </c>
      <c r="K1468" s="1">
        <v>-1</v>
      </c>
      <c r="L1468" s="1">
        <v>57</v>
      </c>
      <c r="M1468" s="18">
        <v>40</v>
      </c>
      <c r="N1468" s="1">
        <v>1</v>
      </c>
      <c r="O1468" s="1">
        <v>0</v>
      </c>
      <c r="P1468" s="1">
        <v>0</v>
      </c>
      <c r="Q1468" s="1">
        <v>0</v>
      </c>
    </row>
    <row r="1469" spans="7:17" ht="15.45" x14ac:dyDescent="0.4">
      <c r="G1469" s="1">
        <v>944</v>
      </c>
      <c r="H1469" s="1">
        <v>13986.705935317506</v>
      </c>
      <c r="I1469" s="1">
        <v>-1</v>
      </c>
      <c r="J1469" s="1">
        <v>13030.935432565268</v>
      </c>
      <c r="K1469" s="1">
        <v>-1</v>
      </c>
      <c r="L1469" s="1">
        <v>56</v>
      </c>
      <c r="M1469" s="18">
        <v>40</v>
      </c>
      <c r="N1469" s="1">
        <v>1</v>
      </c>
      <c r="O1469" s="1">
        <v>0</v>
      </c>
      <c r="P1469" s="1">
        <v>0</v>
      </c>
      <c r="Q1469" s="1">
        <v>0</v>
      </c>
    </row>
    <row r="1470" spans="7:17" ht="15.45" x14ac:dyDescent="0.4">
      <c r="G1470" s="1">
        <v>945</v>
      </c>
      <c r="H1470" s="1">
        <v>4643.0340553521955</v>
      </c>
      <c r="I1470" s="1">
        <v>1</v>
      </c>
      <c r="J1470" s="1">
        <v>13121.833963317793</v>
      </c>
      <c r="K1470" s="1">
        <v>-1</v>
      </c>
      <c r="L1470" s="1">
        <v>55</v>
      </c>
      <c r="M1470" s="18">
        <v>40</v>
      </c>
      <c r="N1470" s="1">
        <v>1</v>
      </c>
      <c r="O1470" s="1">
        <v>0</v>
      </c>
      <c r="P1470" s="1">
        <v>0</v>
      </c>
      <c r="Q1470" s="1">
        <v>0</v>
      </c>
    </row>
    <row r="1471" spans="7:17" ht="15.45" x14ac:dyDescent="0.4">
      <c r="G1471" s="1">
        <v>946</v>
      </c>
      <c r="H1471" s="1">
        <v>14046.128701111531</v>
      </c>
      <c r="I1471" s="1">
        <v>-1</v>
      </c>
      <c r="J1471" s="1">
        <v>13160.756532491425</v>
      </c>
      <c r="K1471" s="1">
        <v>-1</v>
      </c>
      <c r="L1471" s="1">
        <v>54</v>
      </c>
      <c r="M1471" s="18">
        <v>40</v>
      </c>
      <c r="N1471" s="1">
        <v>1</v>
      </c>
      <c r="O1471" s="1">
        <v>0</v>
      </c>
      <c r="P1471" s="1">
        <v>0</v>
      </c>
      <c r="Q1471" s="1">
        <v>0</v>
      </c>
    </row>
    <row r="1472" spans="7:17" ht="15.45" x14ac:dyDescent="0.4">
      <c r="G1472" s="1">
        <v>947</v>
      </c>
      <c r="H1472" s="1">
        <v>4656.6997875961697</v>
      </c>
      <c r="I1472" s="1">
        <v>1</v>
      </c>
      <c r="J1472" s="1">
        <v>13179.256263130254</v>
      </c>
      <c r="K1472" s="1">
        <v>-1</v>
      </c>
      <c r="L1472" s="1">
        <v>53</v>
      </c>
      <c r="M1472" s="18">
        <v>40</v>
      </c>
      <c r="N1472" s="1">
        <v>1</v>
      </c>
      <c r="O1472" s="1">
        <v>0</v>
      </c>
      <c r="P1472" s="1">
        <v>0</v>
      </c>
      <c r="Q1472" s="1">
        <v>0</v>
      </c>
    </row>
    <row r="1473" spans="7:17" ht="15.45" x14ac:dyDescent="0.4">
      <c r="G1473" s="1">
        <v>948</v>
      </c>
      <c r="H1473" s="1">
        <v>14089.975806486558</v>
      </c>
      <c r="I1473" s="1">
        <v>-1</v>
      </c>
      <c r="J1473" s="1">
        <v>13278.656057371923</v>
      </c>
      <c r="K1473" s="1">
        <v>-1</v>
      </c>
      <c r="L1473" s="1">
        <v>52</v>
      </c>
      <c r="M1473" s="18">
        <v>40</v>
      </c>
      <c r="N1473" s="1">
        <v>1</v>
      </c>
      <c r="O1473" s="1">
        <v>0</v>
      </c>
      <c r="P1473" s="1">
        <v>0</v>
      </c>
      <c r="Q1473" s="1">
        <v>0</v>
      </c>
    </row>
    <row r="1474" spans="7:17" ht="15.45" x14ac:dyDescent="0.4">
      <c r="G1474" s="1">
        <v>949</v>
      </c>
      <c r="H1474" s="1">
        <v>4676.9546759188042</v>
      </c>
      <c r="I1474" s="1">
        <v>1</v>
      </c>
      <c r="J1474" s="1">
        <v>13294.545059314394</v>
      </c>
      <c r="K1474" s="1">
        <v>-1</v>
      </c>
      <c r="L1474" s="1">
        <v>51</v>
      </c>
      <c r="M1474" s="18">
        <v>40</v>
      </c>
      <c r="N1474" s="1">
        <v>1</v>
      </c>
      <c r="O1474" s="1">
        <v>0</v>
      </c>
      <c r="P1474" s="1">
        <v>0</v>
      </c>
      <c r="Q1474" s="1">
        <v>0</v>
      </c>
    </row>
    <row r="1475" spans="7:17" ht="15.45" x14ac:dyDescent="0.4">
      <c r="G1475" s="1">
        <v>950</v>
      </c>
      <c r="H1475" s="1">
        <v>14101.75786348902</v>
      </c>
      <c r="I1475" s="1">
        <v>-1</v>
      </c>
      <c r="J1475" s="1">
        <v>13309.172173072886</v>
      </c>
      <c r="K1475" s="1">
        <v>-1</v>
      </c>
      <c r="L1475" s="1">
        <v>50</v>
      </c>
      <c r="M1475" s="18">
        <v>40</v>
      </c>
      <c r="N1475" s="1">
        <v>1</v>
      </c>
      <c r="O1475" s="1">
        <v>0</v>
      </c>
      <c r="P1475" s="1">
        <v>0</v>
      </c>
      <c r="Q1475" s="1">
        <v>0</v>
      </c>
    </row>
    <row r="1476" spans="7:17" ht="15.45" x14ac:dyDescent="0.4">
      <c r="G1476" s="1">
        <v>951</v>
      </c>
      <c r="H1476" s="1">
        <v>4719.0180936712086</v>
      </c>
      <c r="I1476" s="1">
        <v>1</v>
      </c>
      <c r="J1476" s="1">
        <v>13384.586155336714</v>
      </c>
      <c r="K1476" s="1">
        <v>-1</v>
      </c>
      <c r="L1476" s="1">
        <v>49</v>
      </c>
      <c r="M1476" s="18">
        <v>40</v>
      </c>
      <c r="N1476" s="1">
        <v>1</v>
      </c>
      <c r="O1476" s="1">
        <v>0</v>
      </c>
      <c r="P1476" s="1">
        <v>0</v>
      </c>
      <c r="Q1476" s="1">
        <v>0</v>
      </c>
    </row>
    <row r="1477" spans="7:17" ht="15.45" x14ac:dyDescent="0.4">
      <c r="G1477" s="1">
        <v>952</v>
      </c>
      <c r="H1477" s="1">
        <v>14115.298524002756</v>
      </c>
      <c r="I1477" s="1">
        <v>-1</v>
      </c>
      <c r="J1477" s="1">
        <v>13410.42501595835</v>
      </c>
      <c r="K1477" s="1">
        <v>-1</v>
      </c>
      <c r="L1477" s="1">
        <v>48</v>
      </c>
      <c r="M1477" s="18">
        <v>40</v>
      </c>
      <c r="N1477" s="1">
        <v>1</v>
      </c>
      <c r="O1477" s="1">
        <v>0</v>
      </c>
      <c r="P1477" s="1">
        <v>0</v>
      </c>
      <c r="Q1477" s="1">
        <v>0</v>
      </c>
    </row>
    <row r="1478" spans="7:17" ht="15.45" x14ac:dyDescent="0.4">
      <c r="G1478" s="1">
        <v>953</v>
      </c>
      <c r="H1478" s="1">
        <v>4728.1586836596953</v>
      </c>
      <c r="I1478" s="1">
        <v>1</v>
      </c>
      <c r="J1478" s="1">
        <v>13479.617030839261</v>
      </c>
      <c r="K1478" s="1">
        <v>-1</v>
      </c>
      <c r="L1478" s="1">
        <v>47</v>
      </c>
      <c r="M1478" s="18">
        <v>40</v>
      </c>
      <c r="N1478" s="1">
        <v>1</v>
      </c>
      <c r="O1478" s="1">
        <v>0</v>
      </c>
      <c r="P1478" s="1">
        <v>0</v>
      </c>
      <c r="Q1478" s="1">
        <v>0</v>
      </c>
    </row>
    <row r="1479" spans="7:17" ht="15.45" x14ac:dyDescent="0.4">
      <c r="G1479" s="1">
        <v>954</v>
      </c>
      <c r="H1479" s="1">
        <v>14222.585775219748</v>
      </c>
      <c r="I1479" s="1">
        <v>-1</v>
      </c>
      <c r="J1479" s="1">
        <v>13510.449695664349</v>
      </c>
      <c r="K1479" s="1">
        <v>-1</v>
      </c>
      <c r="L1479" s="1">
        <v>46</v>
      </c>
      <c r="M1479" s="18">
        <v>40</v>
      </c>
      <c r="N1479" s="1">
        <v>1</v>
      </c>
      <c r="O1479" s="1">
        <v>0</v>
      </c>
      <c r="P1479" s="1">
        <v>0</v>
      </c>
      <c r="Q1479" s="1">
        <v>0</v>
      </c>
    </row>
    <row r="1480" spans="7:17" ht="15.45" x14ac:dyDescent="0.4">
      <c r="G1480" s="1">
        <v>955</v>
      </c>
      <c r="H1480" s="1">
        <v>4746.6376599320138</v>
      </c>
      <c r="I1480" s="1">
        <v>1</v>
      </c>
      <c r="J1480" s="1">
        <v>13548.668671015514</v>
      </c>
      <c r="K1480" s="1">
        <v>-1</v>
      </c>
      <c r="L1480" s="1">
        <v>45</v>
      </c>
      <c r="M1480" s="18">
        <v>40</v>
      </c>
      <c r="N1480" s="1">
        <v>1</v>
      </c>
      <c r="O1480" s="1">
        <v>0</v>
      </c>
      <c r="P1480" s="1">
        <v>0</v>
      </c>
      <c r="Q1480" s="1">
        <v>0</v>
      </c>
    </row>
    <row r="1481" spans="7:17" ht="15.45" x14ac:dyDescent="0.4">
      <c r="G1481" s="1">
        <v>956</v>
      </c>
      <c r="H1481" s="1">
        <v>14236.797259866222</v>
      </c>
      <c r="I1481" s="1">
        <v>-1</v>
      </c>
      <c r="J1481" s="1">
        <v>13555.29396869811</v>
      </c>
      <c r="K1481" s="1">
        <v>-1</v>
      </c>
      <c r="L1481" s="1">
        <v>44</v>
      </c>
      <c r="M1481" s="18">
        <v>40</v>
      </c>
      <c r="N1481" s="1">
        <v>1</v>
      </c>
      <c r="O1481" s="1">
        <v>0</v>
      </c>
      <c r="P1481" s="1">
        <v>0</v>
      </c>
      <c r="Q1481" s="1">
        <v>0</v>
      </c>
    </row>
    <row r="1482" spans="7:17" ht="15.45" x14ac:dyDescent="0.4">
      <c r="G1482" s="1">
        <v>957</v>
      </c>
      <c r="H1482" s="1">
        <v>4764.2852828538917</v>
      </c>
      <c r="I1482" s="1">
        <v>1</v>
      </c>
      <c r="J1482" s="1">
        <v>13593.940053083417</v>
      </c>
      <c r="K1482" s="1">
        <v>-1</v>
      </c>
      <c r="L1482" s="1">
        <v>43</v>
      </c>
      <c r="M1482" s="18">
        <v>40</v>
      </c>
      <c r="N1482" s="1">
        <v>1</v>
      </c>
      <c r="O1482" s="1">
        <v>0</v>
      </c>
      <c r="P1482" s="1">
        <v>0</v>
      </c>
      <c r="Q1482" s="1">
        <v>0</v>
      </c>
    </row>
    <row r="1483" spans="7:17" ht="15.45" x14ac:dyDescent="0.4">
      <c r="G1483" s="1">
        <v>958</v>
      </c>
      <c r="H1483" s="1">
        <v>14256.80591787073</v>
      </c>
      <c r="I1483" s="1">
        <v>-1</v>
      </c>
      <c r="J1483" s="1">
        <v>13671.549770710051</v>
      </c>
      <c r="K1483" s="1">
        <v>-1</v>
      </c>
      <c r="L1483" s="1">
        <v>42</v>
      </c>
      <c r="M1483" s="18">
        <v>40</v>
      </c>
      <c r="N1483" s="1">
        <v>1</v>
      </c>
      <c r="O1483" s="1">
        <v>0</v>
      </c>
      <c r="P1483" s="1">
        <v>0</v>
      </c>
      <c r="Q1483" s="1">
        <v>0</v>
      </c>
    </row>
    <row r="1484" spans="7:17" ht="15.45" x14ac:dyDescent="0.4">
      <c r="G1484" s="1">
        <v>959</v>
      </c>
      <c r="H1484" s="1">
        <v>4765.5238557286648</v>
      </c>
      <c r="I1484" s="1">
        <v>1</v>
      </c>
      <c r="J1484" s="1">
        <v>13722.793715346403</v>
      </c>
      <c r="K1484" s="1">
        <v>-1</v>
      </c>
      <c r="L1484" s="1">
        <v>41</v>
      </c>
      <c r="M1484" s="18">
        <v>40</v>
      </c>
      <c r="N1484" s="1">
        <v>1</v>
      </c>
      <c r="O1484" s="1">
        <v>0</v>
      </c>
      <c r="P1484" s="1">
        <v>0</v>
      </c>
      <c r="Q1484" s="1">
        <v>0</v>
      </c>
    </row>
    <row r="1485" spans="7:17" ht="15.45" x14ac:dyDescent="0.4">
      <c r="G1485" s="1">
        <v>960</v>
      </c>
      <c r="H1485" s="1">
        <v>14287.980363034852</v>
      </c>
      <c r="I1485" s="1">
        <v>-1</v>
      </c>
      <c r="J1485" s="1">
        <v>13727.725437410623</v>
      </c>
      <c r="K1485" s="1">
        <v>-1</v>
      </c>
      <c r="L1485" s="1">
        <v>40</v>
      </c>
      <c r="M1485" s="18">
        <v>40</v>
      </c>
      <c r="N1485" s="1">
        <v>1</v>
      </c>
      <c r="O1485" s="1">
        <v>0</v>
      </c>
      <c r="P1485" s="1">
        <v>0</v>
      </c>
      <c r="Q1485" s="1">
        <v>0</v>
      </c>
    </row>
    <row r="1486" spans="7:17" ht="15.45" x14ac:dyDescent="0.4">
      <c r="G1486" s="1">
        <v>961</v>
      </c>
      <c r="H1486" s="1">
        <v>4767.6775937995944</v>
      </c>
      <c r="I1486" s="1">
        <v>1</v>
      </c>
      <c r="J1486" s="1">
        <v>13730.507554474076</v>
      </c>
      <c r="K1486" s="1">
        <v>-1</v>
      </c>
      <c r="L1486" s="1">
        <v>39</v>
      </c>
      <c r="M1486" s="18">
        <v>40</v>
      </c>
      <c r="N1486" s="1">
        <v>1</v>
      </c>
      <c r="O1486" s="1">
        <v>0</v>
      </c>
      <c r="P1486" s="1">
        <v>0</v>
      </c>
      <c r="Q1486" s="1">
        <v>0</v>
      </c>
    </row>
    <row r="1487" spans="7:17" ht="15.45" x14ac:dyDescent="0.4">
      <c r="G1487" s="1">
        <v>962</v>
      </c>
      <c r="H1487" s="1">
        <v>14305.262208955537</v>
      </c>
      <c r="I1487" s="1">
        <v>-1</v>
      </c>
      <c r="J1487" s="1">
        <v>13754.835280817746</v>
      </c>
      <c r="K1487" s="1">
        <v>-1</v>
      </c>
      <c r="L1487" s="1">
        <v>38</v>
      </c>
      <c r="M1487" s="18">
        <v>40</v>
      </c>
      <c r="N1487" s="1">
        <v>1</v>
      </c>
      <c r="O1487" s="1">
        <v>0</v>
      </c>
      <c r="P1487" s="1">
        <v>0</v>
      </c>
      <c r="Q1487" s="1">
        <v>0</v>
      </c>
    </row>
    <row r="1488" spans="7:17" ht="15.45" x14ac:dyDescent="0.4">
      <c r="G1488" s="1">
        <v>963</v>
      </c>
      <c r="H1488" s="1">
        <v>4770.5760786100345</v>
      </c>
      <c r="I1488" s="1">
        <v>1</v>
      </c>
      <c r="J1488" s="1">
        <v>13847.861460532446</v>
      </c>
      <c r="K1488" s="1">
        <v>-1</v>
      </c>
      <c r="L1488" s="1">
        <v>37</v>
      </c>
      <c r="M1488" s="18">
        <v>40</v>
      </c>
      <c r="N1488" s="1">
        <v>1</v>
      </c>
      <c r="O1488" s="1">
        <v>0</v>
      </c>
      <c r="P1488" s="1">
        <v>0</v>
      </c>
      <c r="Q1488" s="1">
        <v>0</v>
      </c>
    </row>
    <row r="1489" spans="7:17" ht="15.45" x14ac:dyDescent="0.4">
      <c r="G1489" s="1">
        <v>964</v>
      </c>
      <c r="H1489" s="1">
        <v>14305.711769592495</v>
      </c>
      <c r="I1489" s="1">
        <v>-1</v>
      </c>
      <c r="J1489" s="1">
        <v>13865.516893515953</v>
      </c>
      <c r="K1489" s="1">
        <v>-1</v>
      </c>
      <c r="L1489" s="1">
        <v>36</v>
      </c>
      <c r="M1489" s="18">
        <v>40</v>
      </c>
      <c r="N1489" s="1">
        <v>1</v>
      </c>
      <c r="O1489" s="1">
        <v>0</v>
      </c>
      <c r="P1489" s="1">
        <v>0</v>
      </c>
      <c r="Q1489" s="1">
        <v>0</v>
      </c>
    </row>
    <row r="1490" spans="7:17" ht="15.45" x14ac:dyDescent="0.4">
      <c r="G1490" s="1">
        <v>965</v>
      </c>
      <c r="H1490" s="1">
        <v>4771.3751820094203</v>
      </c>
      <c r="I1490" s="1">
        <v>1</v>
      </c>
      <c r="J1490" s="1">
        <v>13875.511725684919</v>
      </c>
      <c r="K1490" s="1">
        <v>-1</v>
      </c>
      <c r="L1490" s="1">
        <v>35</v>
      </c>
      <c r="M1490" s="18">
        <v>40</v>
      </c>
      <c r="N1490" s="1">
        <v>1</v>
      </c>
      <c r="O1490" s="1">
        <v>0</v>
      </c>
      <c r="P1490" s="1">
        <v>0</v>
      </c>
      <c r="Q1490" s="1">
        <v>0</v>
      </c>
    </row>
    <row r="1491" spans="7:17" ht="15.45" x14ac:dyDescent="0.4">
      <c r="G1491" s="1">
        <v>966</v>
      </c>
      <c r="H1491" s="1">
        <v>14312.608013293291</v>
      </c>
      <c r="I1491" s="1">
        <v>-1</v>
      </c>
      <c r="J1491" s="1">
        <v>13882.301917302044</v>
      </c>
      <c r="K1491" s="1">
        <v>-1</v>
      </c>
      <c r="L1491" s="1">
        <v>34</v>
      </c>
      <c r="M1491" s="18">
        <v>40</v>
      </c>
      <c r="N1491" s="1">
        <v>1</v>
      </c>
      <c r="O1491" s="1">
        <v>0</v>
      </c>
      <c r="P1491" s="1">
        <v>0</v>
      </c>
      <c r="Q1491" s="1">
        <v>0</v>
      </c>
    </row>
    <row r="1492" spans="7:17" ht="15.45" x14ac:dyDescent="0.4">
      <c r="G1492" s="1">
        <v>967</v>
      </c>
      <c r="H1492" s="1">
        <v>4780.2488217629116</v>
      </c>
      <c r="I1492" s="1">
        <v>1</v>
      </c>
      <c r="J1492" s="1">
        <v>13899.810988043406</v>
      </c>
      <c r="K1492" s="1">
        <v>-1</v>
      </c>
      <c r="L1492" s="1">
        <v>33</v>
      </c>
      <c r="M1492" s="18">
        <v>40</v>
      </c>
      <c r="N1492" s="1">
        <v>1</v>
      </c>
      <c r="O1492" s="1">
        <v>0</v>
      </c>
      <c r="P1492" s="1">
        <v>0</v>
      </c>
      <c r="Q1492" s="1">
        <v>0</v>
      </c>
    </row>
    <row r="1493" spans="7:17" ht="15.45" x14ac:dyDescent="0.4">
      <c r="G1493" s="1">
        <v>968</v>
      </c>
      <c r="H1493" s="1">
        <v>14319.945035270594</v>
      </c>
      <c r="I1493" s="1">
        <v>-1</v>
      </c>
      <c r="J1493" s="1">
        <v>13944.164364298467</v>
      </c>
      <c r="K1493" s="1">
        <v>-1</v>
      </c>
      <c r="L1493" s="1">
        <v>32</v>
      </c>
      <c r="M1493" s="18">
        <v>40</v>
      </c>
      <c r="N1493" s="1">
        <v>1</v>
      </c>
      <c r="O1493" s="1">
        <v>0</v>
      </c>
      <c r="P1493" s="1">
        <v>0</v>
      </c>
      <c r="Q1493" s="1">
        <v>0</v>
      </c>
    </row>
    <row r="1494" spans="7:17" ht="15.45" x14ac:dyDescent="0.4">
      <c r="G1494" s="1">
        <v>969</v>
      </c>
      <c r="H1494" s="1">
        <v>4800.7854686277387</v>
      </c>
      <c r="I1494" s="1">
        <v>1</v>
      </c>
      <c r="J1494" s="1">
        <v>13944.838893483806</v>
      </c>
      <c r="K1494" s="1">
        <v>-1</v>
      </c>
      <c r="L1494" s="1">
        <v>31</v>
      </c>
      <c r="M1494" s="18">
        <v>40</v>
      </c>
      <c r="N1494" s="1">
        <v>1</v>
      </c>
      <c r="O1494" s="1">
        <v>0</v>
      </c>
      <c r="P1494" s="1">
        <v>0</v>
      </c>
      <c r="Q1494" s="1">
        <v>0</v>
      </c>
    </row>
    <row r="1495" spans="7:17" ht="15.45" x14ac:dyDescent="0.4">
      <c r="G1495" s="1">
        <v>970</v>
      </c>
      <c r="H1495" s="1">
        <v>14325.976826213677</v>
      </c>
      <c r="I1495" s="1">
        <v>-1</v>
      </c>
      <c r="J1495" s="1">
        <v>13963.726194758066</v>
      </c>
      <c r="K1495" s="1">
        <v>-1</v>
      </c>
      <c r="L1495" s="1">
        <v>30</v>
      </c>
      <c r="M1495" s="18">
        <v>40</v>
      </c>
      <c r="N1495" s="1">
        <v>1</v>
      </c>
      <c r="O1495" s="1">
        <v>0</v>
      </c>
      <c r="P1495" s="1">
        <v>0</v>
      </c>
      <c r="Q1495" s="1">
        <v>0</v>
      </c>
    </row>
    <row r="1496" spans="7:17" ht="15.45" x14ac:dyDescent="0.4">
      <c r="G1496" s="1">
        <v>971</v>
      </c>
      <c r="H1496" s="1">
        <v>4814.1478648897555</v>
      </c>
      <c r="I1496" s="1">
        <v>1</v>
      </c>
      <c r="J1496" s="1">
        <v>13970.955757884476</v>
      </c>
      <c r="K1496" s="1">
        <v>-1</v>
      </c>
      <c r="L1496" s="1">
        <v>29</v>
      </c>
      <c r="M1496" s="18">
        <v>40</v>
      </c>
      <c r="N1496" s="1">
        <v>1</v>
      </c>
      <c r="O1496" s="1">
        <v>0</v>
      </c>
      <c r="P1496" s="1">
        <v>0</v>
      </c>
      <c r="Q1496" s="1">
        <v>0</v>
      </c>
    </row>
    <row r="1497" spans="7:17" ht="15.45" x14ac:dyDescent="0.4">
      <c r="G1497" s="1">
        <v>972</v>
      </c>
      <c r="H1497" s="1">
        <v>14336.088432695222</v>
      </c>
      <c r="I1497" s="1">
        <v>-1</v>
      </c>
      <c r="J1497" s="1">
        <v>13986.705935317506</v>
      </c>
      <c r="K1497" s="1">
        <v>-1</v>
      </c>
      <c r="L1497" s="1">
        <v>28</v>
      </c>
      <c r="M1497" s="18">
        <v>40</v>
      </c>
      <c r="N1497" s="1">
        <v>1</v>
      </c>
      <c r="O1497" s="1">
        <v>0</v>
      </c>
      <c r="P1497" s="1">
        <v>0</v>
      </c>
      <c r="Q1497" s="1">
        <v>0</v>
      </c>
    </row>
    <row r="1498" spans="7:17" ht="15.45" x14ac:dyDescent="0.4">
      <c r="G1498" s="1">
        <v>973</v>
      </c>
      <c r="H1498" s="1">
        <v>4819.7109299474996</v>
      </c>
      <c r="I1498" s="1">
        <v>1</v>
      </c>
      <c r="J1498" s="1">
        <v>14046.128701111531</v>
      </c>
      <c r="K1498" s="1">
        <v>-1</v>
      </c>
      <c r="L1498" s="1">
        <v>27</v>
      </c>
      <c r="M1498" s="18">
        <v>40</v>
      </c>
      <c r="N1498" s="1">
        <v>1</v>
      </c>
      <c r="O1498" s="1">
        <v>0</v>
      </c>
      <c r="P1498" s="1">
        <v>0</v>
      </c>
      <c r="Q1498" s="1">
        <v>0</v>
      </c>
    </row>
    <row r="1499" spans="7:17" ht="15.45" x14ac:dyDescent="0.4">
      <c r="G1499" s="1">
        <v>974</v>
      </c>
      <c r="H1499" s="1">
        <v>14377.085629427145</v>
      </c>
      <c r="I1499" s="1">
        <v>-1</v>
      </c>
      <c r="J1499" s="1">
        <v>14089.975806486558</v>
      </c>
      <c r="K1499" s="1">
        <v>-1</v>
      </c>
      <c r="L1499" s="1">
        <v>26</v>
      </c>
      <c r="M1499" s="18">
        <v>40</v>
      </c>
      <c r="N1499" s="1">
        <v>1</v>
      </c>
      <c r="O1499" s="1">
        <v>0</v>
      </c>
      <c r="P1499" s="1">
        <v>0</v>
      </c>
      <c r="Q1499" s="1">
        <v>0</v>
      </c>
    </row>
    <row r="1500" spans="7:17" ht="15.45" x14ac:dyDescent="0.4">
      <c r="G1500" s="1">
        <v>975</v>
      </c>
      <c r="H1500" s="1">
        <v>4820.2276539822869</v>
      </c>
      <c r="I1500" s="1">
        <v>1</v>
      </c>
      <c r="J1500" s="1">
        <v>14101.75786348902</v>
      </c>
      <c r="K1500" s="1">
        <v>-1</v>
      </c>
      <c r="L1500" s="1">
        <v>25</v>
      </c>
      <c r="M1500" s="18">
        <v>40</v>
      </c>
      <c r="N1500" s="1">
        <v>1</v>
      </c>
      <c r="O1500" s="1">
        <v>0</v>
      </c>
      <c r="P1500" s="1">
        <v>0</v>
      </c>
      <c r="Q1500" s="1">
        <v>0</v>
      </c>
    </row>
    <row r="1501" spans="7:17" ht="15.45" x14ac:dyDescent="0.4">
      <c r="G1501" s="1">
        <v>976</v>
      </c>
      <c r="H1501" s="1">
        <v>14437.850294395048</v>
      </c>
      <c r="I1501" s="1">
        <v>-1</v>
      </c>
      <c r="J1501" s="1">
        <v>14115.298524002756</v>
      </c>
      <c r="K1501" s="1">
        <v>-1</v>
      </c>
      <c r="L1501" s="1">
        <v>24</v>
      </c>
      <c r="M1501" s="18">
        <v>40</v>
      </c>
      <c r="N1501" s="1">
        <v>1</v>
      </c>
      <c r="O1501" s="1">
        <v>0</v>
      </c>
      <c r="P1501" s="1">
        <v>0</v>
      </c>
      <c r="Q1501" s="1">
        <v>0</v>
      </c>
    </row>
    <row r="1502" spans="7:17" ht="15.45" x14ac:dyDescent="0.4">
      <c r="G1502" s="1">
        <v>977</v>
      </c>
      <c r="H1502" s="1">
        <v>4821.2847932691466</v>
      </c>
      <c r="I1502" s="1">
        <v>1</v>
      </c>
      <c r="J1502" s="1">
        <v>14222.585775219748</v>
      </c>
      <c r="K1502" s="1">
        <v>-1</v>
      </c>
      <c r="L1502" s="1">
        <v>23</v>
      </c>
      <c r="M1502" s="18">
        <v>40</v>
      </c>
      <c r="N1502" s="1">
        <v>1</v>
      </c>
      <c r="O1502" s="1">
        <v>0</v>
      </c>
      <c r="P1502" s="1">
        <v>0</v>
      </c>
      <c r="Q1502" s="1">
        <v>0</v>
      </c>
    </row>
    <row r="1503" spans="7:17" ht="15.45" x14ac:dyDescent="0.4">
      <c r="G1503" s="1">
        <v>978</v>
      </c>
      <c r="H1503" s="1">
        <v>14564.040547652261</v>
      </c>
      <c r="I1503" s="1">
        <v>-1</v>
      </c>
      <c r="J1503" s="1">
        <v>14236.797259866222</v>
      </c>
      <c r="K1503" s="1">
        <v>-1</v>
      </c>
      <c r="L1503" s="1">
        <v>22</v>
      </c>
      <c r="M1503" s="18">
        <v>40</v>
      </c>
      <c r="N1503" s="1">
        <v>1</v>
      </c>
      <c r="O1503" s="1">
        <v>0</v>
      </c>
      <c r="P1503" s="1">
        <v>0</v>
      </c>
      <c r="Q1503" s="1">
        <v>0</v>
      </c>
    </row>
    <row r="1504" spans="7:17" ht="15.45" x14ac:dyDescent="0.4">
      <c r="G1504" s="1">
        <v>979</v>
      </c>
      <c r="H1504" s="1">
        <v>4828.6788580936736</v>
      </c>
      <c r="I1504" s="1">
        <v>1</v>
      </c>
      <c r="J1504" s="1">
        <v>14256.80591787073</v>
      </c>
      <c r="K1504" s="1">
        <v>-1</v>
      </c>
      <c r="L1504" s="1">
        <v>21</v>
      </c>
      <c r="M1504" s="18">
        <v>40</v>
      </c>
      <c r="N1504" s="1">
        <v>1</v>
      </c>
      <c r="O1504" s="1">
        <v>0</v>
      </c>
      <c r="P1504" s="1">
        <v>0</v>
      </c>
      <c r="Q1504" s="1">
        <v>0</v>
      </c>
    </row>
    <row r="1505" spans="7:17" ht="15.45" x14ac:dyDescent="0.4">
      <c r="G1505" s="1">
        <v>980</v>
      </c>
      <c r="H1505" s="1">
        <v>14591.462317617719</v>
      </c>
      <c r="I1505" s="1">
        <v>-1</v>
      </c>
      <c r="J1505" s="1">
        <v>14287.980363034852</v>
      </c>
      <c r="K1505" s="1">
        <v>-1</v>
      </c>
      <c r="L1505" s="1">
        <v>20</v>
      </c>
      <c r="M1505" s="18">
        <v>40</v>
      </c>
      <c r="N1505" s="1">
        <v>1</v>
      </c>
      <c r="O1505" s="1">
        <v>0</v>
      </c>
      <c r="P1505" s="1">
        <v>0</v>
      </c>
      <c r="Q1505" s="1">
        <v>0</v>
      </c>
    </row>
    <row r="1506" spans="7:17" ht="15.45" x14ac:dyDescent="0.4">
      <c r="G1506" s="1">
        <v>981</v>
      </c>
      <c r="H1506" s="1">
        <v>4829.0719402895038</v>
      </c>
      <c r="I1506" s="1">
        <v>1</v>
      </c>
      <c r="J1506" s="1">
        <v>14305.262208955537</v>
      </c>
      <c r="K1506" s="1">
        <v>-1</v>
      </c>
      <c r="L1506" s="1">
        <v>19</v>
      </c>
      <c r="M1506" s="18">
        <v>40</v>
      </c>
      <c r="N1506" s="1">
        <v>1</v>
      </c>
      <c r="O1506" s="1">
        <v>0</v>
      </c>
      <c r="P1506" s="1">
        <v>0</v>
      </c>
      <c r="Q1506" s="1">
        <v>0</v>
      </c>
    </row>
    <row r="1507" spans="7:17" ht="15.45" x14ac:dyDescent="0.4">
      <c r="G1507" s="1">
        <v>982</v>
      </c>
      <c r="H1507" s="1">
        <v>14646.899246434674</v>
      </c>
      <c r="I1507" s="1">
        <v>-1</v>
      </c>
      <c r="J1507" s="1">
        <v>14305.711769592495</v>
      </c>
      <c r="K1507" s="1">
        <v>-1</v>
      </c>
      <c r="L1507" s="1">
        <v>18</v>
      </c>
      <c r="M1507" s="18">
        <v>40</v>
      </c>
      <c r="N1507" s="1">
        <v>1</v>
      </c>
      <c r="O1507" s="1">
        <v>0</v>
      </c>
      <c r="P1507" s="1">
        <v>0</v>
      </c>
      <c r="Q1507" s="1">
        <v>0</v>
      </c>
    </row>
    <row r="1508" spans="7:17" ht="15.45" x14ac:dyDescent="0.4">
      <c r="G1508" s="1">
        <v>983</v>
      </c>
      <c r="H1508" s="1">
        <v>4830.5277295620908</v>
      </c>
      <c r="I1508" s="1">
        <v>1</v>
      </c>
      <c r="J1508" s="1">
        <v>14312.608013293291</v>
      </c>
      <c r="K1508" s="1">
        <v>-1</v>
      </c>
      <c r="L1508" s="1">
        <v>17</v>
      </c>
      <c r="M1508" s="18">
        <v>40</v>
      </c>
      <c r="N1508" s="1">
        <v>1</v>
      </c>
      <c r="O1508" s="1">
        <v>0</v>
      </c>
      <c r="P1508" s="1">
        <v>0</v>
      </c>
      <c r="Q1508" s="1">
        <v>0</v>
      </c>
    </row>
    <row r="1509" spans="7:17" ht="15.45" x14ac:dyDescent="0.4">
      <c r="G1509" s="1">
        <v>984</v>
      </c>
      <c r="H1509" s="1">
        <v>14699.842115200307</v>
      </c>
      <c r="I1509" s="1">
        <v>-1</v>
      </c>
      <c r="J1509" s="1">
        <v>14319.945035270594</v>
      </c>
      <c r="K1509" s="1">
        <v>-1</v>
      </c>
      <c r="L1509" s="1">
        <v>16</v>
      </c>
      <c r="M1509" s="18">
        <v>40</v>
      </c>
      <c r="N1509" s="1">
        <v>1</v>
      </c>
      <c r="O1509" s="1">
        <v>0</v>
      </c>
      <c r="P1509" s="1">
        <v>0</v>
      </c>
      <c r="Q1509" s="1">
        <v>0</v>
      </c>
    </row>
    <row r="1510" spans="7:17" ht="15.45" x14ac:dyDescent="0.4">
      <c r="G1510" s="1">
        <v>985</v>
      </c>
      <c r="H1510" s="1">
        <v>4836.0168875553927</v>
      </c>
      <c r="I1510" s="1">
        <v>1</v>
      </c>
      <c r="J1510" s="1">
        <v>14325.976826213677</v>
      </c>
      <c r="K1510" s="1">
        <v>-1</v>
      </c>
      <c r="L1510" s="1">
        <v>15</v>
      </c>
      <c r="M1510" s="18">
        <v>40</v>
      </c>
      <c r="N1510" s="1">
        <v>1</v>
      </c>
      <c r="O1510" s="1">
        <v>0</v>
      </c>
      <c r="P1510" s="1">
        <v>0</v>
      </c>
      <c r="Q1510" s="1">
        <v>0</v>
      </c>
    </row>
    <row r="1511" spans="7:17" ht="15.45" x14ac:dyDescent="0.4">
      <c r="G1511" s="1">
        <v>986</v>
      </c>
      <c r="H1511" s="1">
        <v>14703.557833824627</v>
      </c>
      <c r="I1511" s="1">
        <v>-1</v>
      </c>
      <c r="J1511" s="1">
        <v>14336.088432695222</v>
      </c>
      <c r="K1511" s="1">
        <v>-1</v>
      </c>
      <c r="L1511" s="1">
        <v>14</v>
      </c>
      <c r="M1511" s="18">
        <v>40</v>
      </c>
      <c r="N1511" s="1">
        <v>1</v>
      </c>
      <c r="O1511" s="1">
        <v>0</v>
      </c>
      <c r="P1511" s="1">
        <v>0</v>
      </c>
      <c r="Q1511" s="1">
        <v>0</v>
      </c>
    </row>
    <row r="1512" spans="7:17" ht="15.45" x14ac:dyDescent="0.4">
      <c r="G1512" s="1">
        <v>987</v>
      </c>
      <c r="H1512" s="1">
        <v>4840.353697302171</v>
      </c>
      <c r="I1512" s="1">
        <v>1</v>
      </c>
      <c r="J1512" s="1">
        <v>14377.085629427145</v>
      </c>
      <c r="K1512" s="1">
        <v>-1</v>
      </c>
      <c r="L1512" s="1">
        <v>13</v>
      </c>
      <c r="M1512" s="18">
        <v>40</v>
      </c>
      <c r="N1512" s="1">
        <v>1</v>
      </c>
      <c r="O1512" s="1">
        <v>0</v>
      </c>
      <c r="P1512" s="1">
        <v>0</v>
      </c>
      <c r="Q1512" s="1">
        <v>0</v>
      </c>
    </row>
    <row r="1513" spans="7:17" ht="15.45" x14ac:dyDescent="0.4">
      <c r="G1513" s="1">
        <v>988</v>
      </c>
      <c r="H1513" s="1">
        <v>14710.019048037415</v>
      </c>
      <c r="I1513" s="1">
        <v>-1</v>
      </c>
      <c r="J1513" s="1">
        <v>14437.850294395048</v>
      </c>
      <c r="K1513" s="1">
        <v>-1</v>
      </c>
      <c r="L1513" s="1">
        <v>12</v>
      </c>
      <c r="M1513" s="18">
        <v>40</v>
      </c>
      <c r="N1513" s="1">
        <v>1</v>
      </c>
      <c r="O1513" s="1">
        <v>0</v>
      </c>
      <c r="P1513" s="1">
        <v>0</v>
      </c>
      <c r="Q1513" s="1">
        <v>0</v>
      </c>
    </row>
    <row r="1514" spans="7:17" ht="15.45" x14ac:dyDescent="0.4">
      <c r="G1514" s="1">
        <v>989</v>
      </c>
      <c r="H1514" s="1">
        <v>4894.0484770511584</v>
      </c>
      <c r="I1514" s="1">
        <v>1</v>
      </c>
      <c r="J1514" s="1">
        <v>14564.040547652261</v>
      </c>
      <c r="K1514" s="1">
        <v>-1</v>
      </c>
      <c r="L1514" s="1">
        <v>11</v>
      </c>
      <c r="M1514" s="18">
        <v>40</v>
      </c>
      <c r="N1514" s="1">
        <v>1</v>
      </c>
      <c r="O1514" s="1">
        <v>0</v>
      </c>
      <c r="P1514" s="1">
        <v>0</v>
      </c>
      <c r="Q1514" s="1">
        <v>0</v>
      </c>
    </row>
    <row r="1515" spans="7:17" ht="15.45" x14ac:dyDescent="0.4">
      <c r="G1515" s="1">
        <v>990</v>
      </c>
      <c r="H1515" s="1">
        <v>14718.714502468734</v>
      </c>
      <c r="I1515" s="1">
        <v>-1</v>
      </c>
      <c r="J1515" s="1">
        <v>14591.462317617719</v>
      </c>
      <c r="K1515" s="1">
        <v>-1</v>
      </c>
      <c r="L1515" s="1">
        <v>10</v>
      </c>
      <c r="M1515" s="18">
        <v>40</v>
      </c>
      <c r="N1515" s="1">
        <v>0</v>
      </c>
      <c r="O1515" s="1">
        <v>0</v>
      </c>
      <c r="P1515" s="1">
        <v>0</v>
      </c>
      <c r="Q1515" s="1">
        <v>0</v>
      </c>
    </row>
    <row r="1516" spans="7:17" ht="15.45" x14ac:dyDescent="0.4">
      <c r="G1516" s="1">
        <v>991</v>
      </c>
      <c r="H1516" s="1">
        <v>4897.2594233186073</v>
      </c>
      <c r="I1516" s="1">
        <v>1</v>
      </c>
      <c r="J1516" s="1">
        <v>14646.899246434674</v>
      </c>
      <c r="K1516" s="1">
        <v>-1</v>
      </c>
      <c r="L1516" s="1">
        <v>9</v>
      </c>
      <c r="M1516" s="18">
        <v>40</v>
      </c>
      <c r="N1516" s="1">
        <v>0</v>
      </c>
      <c r="O1516" s="1">
        <v>0</v>
      </c>
      <c r="P1516" s="1">
        <v>0</v>
      </c>
      <c r="Q1516" s="1">
        <v>0</v>
      </c>
    </row>
    <row r="1517" spans="7:17" ht="15.45" x14ac:dyDescent="0.4">
      <c r="G1517" s="1">
        <v>992</v>
      </c>
      <c r="H1517" s="1">
        <v>14721.111812666892</v>
      </c>
      <c r="I1517" s="1">
        <v>-1</v>
      </c>
      <c r="J1517" s="1">
        <v>14699.842115200307</v>
      </c>
      <c r="K1517" s="1">
        <v>-1</v>
      </c>
      <c r="L1517" s="1">
        <v>8</v>
      </c>
      <c r="M1517" s="18">
        <v>40</v>
      </c>
      <c r="N1517" s="1">
        <v>0</v>
      </c>
      <c r="O1517" s="1">
        <v>0</v>
      </c>
      <c r="P1517" s="1">
        <v>0</v>
      </c>
      <c r="Q1517" s="1">
        <v>0</v>
      </c>
    </row>
    <row r="1518" spans="7:17" ht="15.45" x14ac:dyDescent="0.4">
      <c r="G1518" s="1">
        <v>993</v>
      </c>
      <c r="H1518" s="1">
        <v>4912.2152410668814</v>
      </c>
      <c r="I1518" s="1">
        <v>1</v>
      </c>
      <c r="J1518" s="1">
        <v>14703.557833824627</v>
      </c>
      <c r="K1518" s="1">
        <v>-1</v>
      </c>
      <c r="L1518" s="1">
        <v>7</v>
      </c>
      <c r="M1518" s="18">
        <v>40</v>
      </c>
      <c r="N1518" s="1">
        <v>0</v>
      </c>
      <c r="O1518" s="1">
        <v>0</v>
      </c>
      <c r="P1518" s="1">
        <v>0</v>
      </c>
      <c r="Q1518" s="1">
        <v>0</v>
      </c>
    </row>
    <row r="1519" spans="7:17" ht="15.45" x14ac:dyDescent="0.4">
      <c r="G1519" s="1">
        <v>994</v>
      </c>
      <c r="H1519" s="1">
        <v>14747.732731927365</v>
      </c>
      <c r="I1519" s="1">
        <v>-1</v>
      </c>
      <c r="J1519" s="1">
        <v>14710.019048037415</v>
      </c>
      <c r="K1519" s="1">
        <v>-1</v>
      </c>
      <c r="L1519" s="1">
        <v>6</v>
      </c>
      <c r="M1519" s="18">
        <v>40</v>
      </c>
      <c r="N1519" s="1">
        <v>0</v>
      </c>
      <c r="O1519" s="1">
        <v>0</v>
      </c>
      <c r="P1519" s="1">
        <v>0</v>
      </c>
      <c r="Q1519" s="1">
        <v>0</v>
      </c>
    </row>
    <row r="1520" spans="7:17" ht="15.45" x14ac:dyDescent="0.4">
      <c r="G1520" s="1">
        <v>995</v>
      </c>
      <c r="H1520" s="1">
        <v>4927.2822262272484</v>
      </c>
      <c r="I1520" s="1">
        <v>1</v>
      </c>
      <c r="J1520" s="1">
        <v>14718.714502468734</v>
      </c>
      <c r="K1520" s="1">
        <v>-1</v>
      </c>
      <c r="L1520" s="1">
        <v>5</v>
      </c>
      <c r="M1520" s="18">
        <v>40</v>
      </c>
      <c r="N1520" s="1">
        <v>0</v>
      </c>
      <c r="O1520" s="1">
        <v>0</v>
      </c>
      <c r="P1520" s="1">
        <v>0</v>
      </c>
      <c r="Q1520" s="1">
        <v>0</v>
      </c>
    </row>
    <row r="1521" spans="7:45" ht="15.45" x14ac:dyDescent="0.4">
      <c r="G1521" s="1">
        <v>996</v>
      </c>
      <c r="H1521" s="1">
        <v>14809.342672521845</v>
      </c>
      <c r="I1521" s="1">
        <v>-1</v>
      </c>
      <c r="J1521" s="1">
        <v>14721.111812666892</v>
      </c>
      <c r="K1521" s="1">
        <v>-1</v>
      </c>
      <c r="L1521" s="1">
        <v>4</v>
      </c>
      <c r="M1521" s="18">
        <v>40</v>
      </c>
      <c r="N1521" s="1">
        <v>0</v>
      </c>
      <c r="O1521" s="1">
        <v>0</v>
      </c>
      <c r="P1521" s="1">
        <v>0</v>
      </c>
      <c r="Q1521" s="1">
        <v>0</v>
      </c>
    </row>
    <row r="1522" spans="7:45" ht="15.45" x14ac:dyDescent="0.4">
      <c r="G1522" s="1">
        <v>997</v>
      </c>
      <c r="H1522" s="1">
        <v>4930.7138028741128</v>
      </c>
      <c r="I1522" s="1">
        <v>1</v>
      </c>
      <c r="J1522" s="1">
        <v>14747.732731927365</v>
      </c>
      <c r="K1522" s="1">
        <v>-1</v>
      </c>
      <c r="L1522" s="1">
        <v>3</v>
      </c>
      <c r="M1522" s="18">
        <v>40</v>
      </c>
      <c r="N1522" s="1">
        <v>0</v>
      </c>
      <c r="O1522" s="1">
        <v>0</v>
      </c>
      <c r="P1522" s="1">
        <v>0</v>
      </c>
      <c r="Q1522" s="1">
        <v>0</v>
      </c>
    </row>
    <row r="1523" spans="7:45" ht="15.45" x14ac:dyDescent="0.4">
      <c r="G1523" s="1">
        <v>998</v>
      </c>
      <c r="H1523" s="1">
        <v>14849.429861307897</v>
      </c>
      <c r="I1523" s="1">
        <v>-1</v>
      </c>
      <c r="J1523" s="1">
        <v>14809.342672521845</v>
      </c>
      <c r="K1523" s="1">
        <v>-1</v>
      </c>
      <c r="L1523" s="1">
        <v>2</v>
      </c>
      <c r="M1523" s="18">
        <v>40</v>
      </c>
      <c r="N1523" s="1">
        <v>0</v>
      </c>
      <c r="O1523" s="1">
        <v>0</v>
      </c>
      <c r="P1523" s="1">
        <v>0</v>
      </c>
      <c r="Q1523" s="1">
        <v>0</v>
      </c>
    </row>
    <row r="1524" spans="7:45" ht="15.45" x14ac:dyDescent="0.4">
      <c r="G1524" s="1">
        <v>999</v>
      </c>
      <c r="H1524" s="1">
        <v>4936.9589494145794</v>
      </c>
      <c r="I1524" s="1">
        <v>1</v>
      </c>
      <c r="J1524" s="1">
        <v>14849.429861307897</v>
      </c>
      <c r="K1524" s="1">
        <v>-1</v>
      </c>
      <c r="L1524" s="1">
        <v>1</v>
      </c>
      <c r="M1524" s="18">
        <v>40</v>
      </c>
      <c r="N1524" s="1">
        <v>0</v>
      </c>
      <c r="O1524" s="1">
        <v>0</v>
      </c>
      <c r="P1524" s="1">
        <v>0</v>
      </c>
      <c r="Q1524" s="1">
        <v>0</v>
      </c>
    </row>
    <row r="1525" spans="7:45" ht="15.45" x14ac:dyDescent="0.4">
      <c r="G1525" s="1">
        <v>1000</v>
      </c>
      <c r="H1525" s="1">
        <v>14866.11905648113</v>
      </c>
      <c r="I1525" s="1">
        <v>-1</v>
      </c>
      <c r="J1525" s="1">
        <v>14866.11905648113</v>
      </c>
      <c r="K1525" s="1">
        <v>-1</v>
      </c>
      <c r="L1525" s="1">
        <v>0</v>
      </c>
      <c r="M1525" s="18">
        <v>40</v>
      </c>
      <c r="N1525" s="1">
        <v>0</v>
      </c>
      <c r="O1525" s="1">
        <v>0</v>
      </c>
      <c r="P1525" s="1">
        <v>0</v>
      </c>
      <c r="Q1525" s="1">
        <v>0</v>
      </c>
    </row>
    <row r="1528" spans="7:45" ht="17.600000000000001" x14ac:dyDescent="0.4">
      <c r="H1528" s="4" t="s">
        <v>34</v>
      </c>
    </row>
    <row r="1530" spans="7:45" ht="15.45" x14ac:dyDescent="0.4">
      <c r="G1530" s="3" t="s">
        <v>23</v>
      </c>
      <c r="H1530" s="2">
        <v>500</v>
      </c>
      <c r="J1530" s="1">
        <f t="shared" ref="J1530:S1530" si="0">$H$1530</f>
        <v>500</v>
      </c>
      <c r="K1530" s="1">
        <f t="shared" si="0"/>
        <v>500</v>
      </c>
      <c r="L1530" s="1">
        <f t="shared" si="0"/>
        <v>500</v>
      </c>
      <c r="M1530" s="1">
        <f t="shared" si="0"/>
        <v>500</v>
      </c>
      <c r="N1530" s="1">
        <f t="shared" si="0"/>
        <v>500</v>
      </c>
      <c r="O1530" s="1">
        <f t="shared" si="0"/>
        <v>500</v>
      </c>
      <c r="P1530" s="1">
        <f t="shared" si="0"/>
        <v>500</v>
      </c>
      <c r="Q1530" s="1">
        <f t="shared" si="0"/>
        <v>500</v>
      </c>
      <c r="R1530" s="1">
        <f t="shared" si="0"/>
        <v>500</v>
      </c>
      <c r="S1530" s="1">
        <f t="shared" si="0"/>
        <v>500</v>
      </c>
    </row>
    <row r="1531" spans="7:45" ht="38.15" x14ac:dyDescent="0.4">
      <c r="G1531" s="13" t="s">
        <v>33</v>
      </c>
      <c r="H1531" s="15">
        <f>$B$5</f>
        <v>7.0999999999999994E-2</v>
      </c>
      <c r="I1531" s="10" t="s">
        <v>35</v>
      </c>
      <c r="J1531" s="16">
        <v>5</v>
      </c>
      <c r="K1531" s="16">
        <v>50</v>
      </c>
      <c r="L1531" s="16">
        <v>85</v>
      </c>
      <c r="M1531" s="16">
        <v>115</v>
      </c>
      <c r="N1531" s="16">
        <v>160</v>
      </c>
      <c r="O1531" s="16">
        <v>205</v>
      </c>
      <c r="P1531" s="16">
        <v>250</v>
      </c>
      <c r="Q1531" s="16">
        <v>295</v>
      </c>
      <c r="R1531" s="16">
        <v>340</v>
      </c>
      <c r="S1531" s="16">
        <v>385</v>
      </c>
    </row>
    <row r="1532" spans="7:45" ht="25.75" x14ac:dyDescent="0.4">
      <c r="G1532" s="14" t="s">
        <v>20</v>
      </c>
      <c r="H1532" s="15">
        <f>$B$6</f>
        <v>8.8999999999999996E-2</v>
      </c>
      <c r="I1532" s="10" t="s">
        <v>21</v>
      </c>
      <c r="J1532" s="1" t="e">
        <f>Den_Que_Numbs_(500,$H1531,$H1532,J1531)</f>
        <v>#VALUE!</v>
      </c>
      <c r="K1532" s="1" t="e">
        <f t="shared" ref="K1532:S1532" si="1">Den_Que_Numbs_(500,$H1531,$H1532,K1531)</f>
        <v>#VALUE!</v>
      </c>
      <c r="L1532" s="1" t="e">
        <f t="shared" si="1"/>
        <v>#VALUE!</v>
      </c>
      <c r="M1532" s="1" t="e">
        <f t="shared" si="1"/>
        <v>#VALUE!</v>
      </c>
      <c r="N1532" s="1" t="e">
        <f t="shared" si="1"/>
        <v>#VALUE!</v>
      </c>
      <c r="O1532" s="1" t="e">
        <f t="shared" si="1"/>
        <v>#VALUE!</v>
      </c>
      <c r="P1532" s="1" t="e">
        <f t="shared" si="1"/>
        <v>#VALUE!</v>
      </c>
      <c r="Q1532" s="1" t="e">
        <f t="shared" si="1"/>
        <v>#VALUE!</v>
      </c>
      <c r="R1532" s="1" t="e">
        <f t="shared" si="1"/>
        <v>#VALUE!</v>
      </c>
      <c r="S1532" s="1" t="e">
        <f t="shared" si="1"/>
        <v>#VALUE!</v>
      </c>
      <c r="Y1532" s="13" t="s">
        <v>23</v>
      </c>
      <c r="Z1532" s="1">
        <v>1500</v>
      </c>
    </row>
    <row r="1533" spans="7:45" ht="38.15" x14ac:dyDescent="0.4">
      <c r="G1533" s="13" t="s">
        <v>33</v>
      </c>
      <c r="H1533" s="15">
        <f>5*$H$1531</f>
        <v>0.35499999999999998</v>
      </c>
      <c r="I1533" s="10" t="s">
        <v>35</v>
      </c>
      <c r="J1533" s="16">
        <v>5</v>
      </c>
      <c r="K1533" s="16">
        <v>50</v>
      </c>
      <c r="L1533" s="16">
        <v>85</v>
      </c>
      <c r="M1533" s="16">
        <v>115</v>
      </c>
      <c r="N1533" s="16">
        <v>160</v>
      </c>
      <c r="O1533" s="16">
        <v>205</v>
      </c>
      <c r="P1533" s="16">
        <v>250</v>
      </c>
      <c r="Q1533" s="16">
        <v>295</v>
      </c>
      <c r="R1533" s="16">
        <v>340</v>
      </c>
      <c r="S1533" s="16">
        <v>385</v>
      </c>
      <c r="Y1533" s="13" t="s">
        <v>33</v>
      </c>
      <c r="Z1533" s="15">
        <f>5*$H$1531</f>
        <v>0.35499999999999998</v>
      </c>
      <c r="AA1533" s="10" t="s">
        <v>35</v>
      </c>
      <c r="AB1533" s="16">
        <v>5</v>
      </c>
      <c r="AC1533" s="16">
        <v>50</v>
      </c>
      <c r="AD1533" s="16">
        <v>85</v>
      </c>
      <c r="AE1533" s="16">
        <v>115</v>
      </c>
      <c r="AF1533" s="16">
        <v>160</v>
      </c>
      <c r="AG1533" s="16">
        <v>205</v>
      </c>
      <c r="AH1533" s="16">
        <v>250</v>
      </c>
      <c r="AI1533" s="16">
        <v>295</v>
      </c>
      <c r="AJ1533" s="16">
        <v>340</v>
      </c>
      <c r="AK1533" s="16">
        <v>385</v>
      </c>
      <c r="AL1533" s="16">
        <f>AK1533+15</f>
        <v>400</v>
      </c>
      <c r="AM1533" s="16">
        <f t="shared" ref="AM1533:AR1533" si="2">AL1533+15</f>
        <v>415</v>
      </c>
      <c r="AN1533" s="16">
        <f t="shared" si="2"/>
        <v>430</v>
      </c>
      <c r="AO1533" s="16">
        <f t="shared" si="2"/>
        <v>445</v>
      </c>
      <c r="AP1533" s="16">
        <f t="shared" si="2"/>
        <v>460</v>
      </c>
      <c r="AQ1533" s="16">
        <f t="shared" si="2"/>
        <v>475</v>
      </c>
      <c r="AR1533" s="16">
        <f t="shared" si="2"/>
        <v>490</v>
      </c>
      <c r="AS1533" s="1" t="s">
        <v>0</v>
      </c>
    </row>
    <row r="1534" spans="7:45" ht="25.75" x14ac:dyDescent="0.4">
      <c r="G1534" s="14" t="s">
        <v>20</v>
      </c>
      <c r="H1534" s="15">
        <f>$B$6</f>
        <v>8.8999999999999996E-2</v>
      </c>
      <c r="I1534" s="10" t="s">
        <v>21</v>
      </c>
      <c r="J1534" s="1" t="e">
        <f t="shared" ref="J1534:S1534" si="3">Den_Que_Numbs_(500,$H1533,$H1534,J1533)</f>
        <v>#VALUE!</v>
      </c>
      <c r="K1534" s="1" t="e">
        <f t="shared" si="3"/>
        <v>#VALUE!</v>
      </c>
      <c r="L1534" s="1" t="e">
        <f t="shared" si="3"/>
        <v>#VALUE!</v>
      </c>
      <c r="M1534" s="1" t="e">
        <f t="shared" si="3"/>
        <v>#VALUE!</v>
      </c>
      <c r="N1534" s="1" t="e">
        <f t="shared" si="3"/>
        <v>#VALUE!</v>
      </c>
      <c r="O1534" s="1" t="e">
        <f t="shared" si="3"/>
        <v>#VALUE!</v>
      </c>
      <c r="P1534" s="1" t="e">
        <f t="shared" si="3"/>
        <v>#VALUE!</v>
      </c>
      <c r="Q1534" s="1" t="e">
        <f t="shared" si="3"/>
        <v>#VALUE!</v>
      </c>
      <c r="R1534" s="1" t="e">
        <f t="shared" si="3"/>
        <v>#VALUE!</v>
      </c>
      <c r="S1534" s="1" t="e">
        <f t="shared" si="3"/>
        <v>#VALUE!</v>
      </c>
      <c r="Y1534" s="14" t="s">
        <v>20</v>
      </c>
      <c r="Z1534" s="15">
        <f>$B$6</f>
        <v>8.8999999999999996E-2</v>
      </c>
      <c r="AA1534" s="10" t="s">
        <v>21</v>
      </c>
      <c r="AB1534" s="1">
        <f>Den_Que_Numbs_($Z$1532,$Z$1533,$Z$1534,AB$1533)</f>
        <v>1474</v>
      </c>
      <c r="AC1534" s="1">
        <f t="shared" ref="AC1534:AR1538" si="4">Den_Que_Numbs_($Z$1532,$Z$1533,$Z$1534,AC$1533)</f>
        <v>1325</v>
      </c>
      <c r="AD1534" s="1">
        <f t="shared" si="4"/>
        <v>1244</v>
      </c>
      <c r="AE1534" s="1">
        <f t="shared" si="4"/>
        <v>1180</v>
      </c>
      <c r="AF1534" s="1">
        <f t="shared" si="4"/>
        <v>1090</v>
      </c>
      <c r="AG1534" s="1">
        <f t="shared" si="4"/>
        <v>988</v>
      </c>
      <c r="AH1534" s="1">
        <f t="shared" si="4"/>
        <v>905</v>
      </c>
      <c r="AI1534" s="1">
        <f t="shared" si="4"/>
        <v>804</v>
      </c>
      <c r="AJ1534" s="1">
        <f t="shared" si="4"/>
        <v>791</v>
      </c>
      <c r="AK1534" s="1">
        <f t="shared" si="4"/>
        <v>737</v>
      </c>
      <c r="AL1534" s="1">
        <f t="shared" si="4"/>
        <v>713</v>
      </c>
      <c r="AM1534" s="1">
        <f t="shared" si="4"/>
        <v>702</v>
      </c>
      <c r="AN1534" s="1">
        <f t="shared" si="4"/>
        <v>683</v>
      </c>
      <c r="AO1534" s="1" t="e">
        <f t="shared" si="4"/>
        <v>#VALUE!</v>
      </c>
      <c r="AP1534" s="1" t="e">
        <f t="shared" si="4"/>
        <v>#VALUE!</v>
      </c>
      <c r="AQ1534" s="1" t="e">
        <f t="shared" si="4"/>
        <v>#VALUE!</v>
      </c>
      <c r="AR1534" s="1">
        <f t="shared" si="4"/>
        <v>630</v>
      </c>
      <c r="AS1534" s="1">
        <v>1</v>
      </c>
    </row>
    <row r="1535" spans="7:45" ht="38.15" x14ac:dyDescent="0.4">
      <c r="G1535" s="13" t="s">
        <v>33</v>
      </c>
      <c r="H1535" s="15">
        <f>20*$H$1531</f>
        <v>1.42</v>
      </c>
      <c r="I1535" s="10" t="s">
        <v>35</v>
      </c>
      <c r="J1535" s="16">
        <v>5</v>
      </c>
      <c r="K1535" s="16">
        <v>50</v>
      </c>
      <c r="L1535" s="16">
        <v>85</v>
      </c>
      <c r="M1535" s="16">
        <v>115</v>
      </c>
      <c r="N1535" s="16">
        <v>160</v>
      </c>
      <c r="O1535" s="16">
        <v>205</v>
      </c>
      <c r="P1535" s="16">
        <v>250</v>
      </c>
      <c r="Q1535" s="16">
        <v>295</v>
      </c>
      <c r="R1535" s="16">
        <v>340</v>
      </c>
      <c r="S1535" s="16">
        <v>385</v>
      </c>
      <c r="AA1535" s="6" t="s">
        <v>21</v>
      </c>
      <c r="AB1535" s="1">
        <f>Den_Que_Numbs_($Z$1532,$Z$1533,$Z$1534,AB$1533)</f>
        <v>1479</v>
      </c>
      <c r="AC1535" s="1">
        <f t="shared" si="4"/>
        <v>1331</v>
      </c>
      <c r="AD1535" s="1">
        <f t="shared" si="4"/>
        <v>1236</v>
      </c>
      <c r="AE1535" s="1">
        <f t="shared" si="4"/>
        <v>1166</v>
      </c>
      <c r="AF1535" s="1">
        <f t="shared" si="4"/>
        <v>1088</v>
      </c>
      <c r="AG1535" s="1">
        <f t="shared" si="4"/>
        <v>1003</v>
      </c>
      <c r="AH1535" s="1">
        <f t="shared" si="4"/>
        <v>920</v>
      </c>
      <c r="AI1535" s="1">
        <f t="shared" si="4"/>
        <v>826</v>
      </c>
      <c r="AJ1535" s="1">
        <f t="shared" si="4"/>
        <v>779</v>
      </c>
      <c r="AK1535" s="1" t="e">
        <f t="shared" si="4"/>
        <v>#VALUE!</v>
      </c>
      <c r="AL1535" s="1" t="e">
        <f t="shared" si="4"/>
        <v>#VALUE!</v>
      </c>
      <c r="AM1535" s="1" t="e">
        <f t="shared" si="4"/>
        <v>#VALUE!</v>
      </c>
      <c r="AN1535" s="1">
        <f t="shared" si="4"/>
        <v>727</v>
      </c>
      <c r="AO1535" s="1">
        <f t="shared" si="4"/>
        <v>676</v>
      </c>
      <c r="AP1535" s="1">
        <f t="shared" si="4"/>
        <v>656</v>
      </c>
      <c r="AQ1535" s="1">
        <f t="shared" si="4"/>
        <v>648</v>
      </c>
      <c r="AR1535" s="1">
        <f t="shared" si="4"/>
        <v>632</v>
      </c>
      <c r="AS1535" s="1">
        <v>2</v>
      </c>
    </row>
    <row r="1536" spans="7:45" ht="25.75" x14ac:dyDescent="0.4">
      <c r="G1536" s="14" t="s">
        <v>20</v>
      </c>
      <c r="H1536" s="15">
        <f>$B$6</f>
        <v>8.8999999999999996E-2</v>
      </c>
      <c r="I1536" s="10" t="s">
        <v>21</v>
      </c>
      <c r="J1536" s="1" t="e">
        <f>Den_Que_Numbs_(500,$H1535,$H1536,J1535)</f>
        <v>#VALUE!</v>
      </c>
      <c r="K1536" s="1" t="e">
        <f t="shared" ref="K1536:S1536" si="5">Den_Que_Numbs_(500,$H1535,$H1536,K1535)</f>
        <v>#VALUE!</v>
      </c>
      <c r="L1536" s="1" t="e">
        <f t="shared" si="5"/>
        <v>#VALUE!</v>
      </c>
      <c r="M1536" s="1" t="e">
        <f t="shared" si="5"/>
        <v>#VALUE!</v>
      </c>
      <c r="N1536" s="1" t="e">
        <f t="shared" si="5"/>
        <v>#VALUE!</v>
      </c>
      <c r="O1536" s="1" t="e">
        <f t="shared" si="5"/>
        <v>#VALUE!</v>
      </c>
      <c r="P1536" s="1" t="e">
        <f t="shared" si="5"/>
        <v>#VALUE!</v>
      </c>
      <c r="Q1536" s="1" t="e">
        <f t="shared" si="5"/>
        <v>#VALUE!</v>
      </c>
      <c r="R1536" s="1" t="e">
        <f t="shared" si="5"/>
        <v>#VALUE!</v>
      </c>
      <c r="S1536" s="1" t="e">
        <f t="shared" si="5"/>
        <v>#VALUE!</v>
      </c>
      <c r="AA1536" s="6" t="s">
        <v>21</v>
      </c>
      <c r="AB1536" s="1">
        <f>Den_Que_Numbs_($Z$1532,$Z$1533,$Z$1534,AB$1533)</f>
        <v>1475</v>
      </c>
      <c r="AC1536" s="1">
        <f t="shared" si="4"/>
        <v>1334</v>
      </c>
      <c r="AD1536" s="1">
        <f t="shared" si="4"/>
        <v>1245</v>
      </c>
      <c r="AE1536" s="1">
        <f t="shared" si="4"/>
        <v>1173</v>
      </c>
      <c r="AF1536" s="1">
        <f t="shared" si="4"/>
        <v>1072</v>
      </c>
      <c r="AG1536" s="1">
        <f t="shared" si="4"/>
        <v>995</v>
      </c>
      <c r="AH1536" s="1" t="e">
        <f t="shared" si="4"/>
        <v>#VALUE!</v>
      </c>
      <c r="AI1536" s="1" t="e">
        <f t="shared" si="4"/>
        <v>#VALUE!</v>
      </c>
      <c r="AJ1536" s="1" t="e">
        <f t="shared" si="4"/>
        <v>#VALUE!</v>
      </c>
      <c r="AK1536" s="1">
        <f t="shared" si="4"/>
        <v>716</v>
      </c>
      <c r="AL1536" s="1">
        <f t="shared" si="4"/>
        <v>735</v>
      </c>
      <c r="AM1536" s="1">
        <f t="shared" si="4"/>
        <v>704</v>
      </c>
      <c r="AN1536" s="1">
        <f t="shared" si="4"/>
        <v>695</v>
      </c>
      <c r="AO1536" s="1">
        <f t="shared" si="4"/>
        <v>684</v>
      </c>
      <c r="AP1536" s="1">
        <f t="shared" si="4"/>
        <v>662</v>
      </c>
      <c r="AQ1536" s="1">
        <f t="shared" si="4"/>
        <v>642</v>
      </c>
      <c r="AR1536" s="1">
        <f t="shared" si="4"/>
        <v>644</v>
      </c>
      <c r="AS1536" s="1">
        <v>3</v>
      </c>
    </row>
    <row r="1537" spans="8:45" ht="100.3" x14ac:dyDescent="0.4">
      <c r="H1537" s="10" t="s">
        <v>22</v>
      </c>
      <c r="I1537" s="5">
        <v>0.05</v>
      </c>
      <c r="J1537" s="1">
        <f t="shared" ref="J1537:S1537" si="6">$I$1537*$B$3</f>
        <v>25</v>
      </c>
      <c r="K1537" s="1">
        <f t="shared" si="6"/>
        <v>25</v>
      </c>
      <c r="L1537" s="1">
        <f t="shared" si="6"/>
        <v>25</v>
      </c>
      <c r="M1537" s="1">
        <f t="shared" si="6"/>
        <v>25</v>
      </c>
      <c r="N1537" s="1">
        <f t="shared" si="6"/>
        <v>25</v>
      </c>
      <c r="O1537" s="1">
        <f t="shared" si="6"/>
        <v>25</v>
      </c>
      <c r="P1537" s="1">
        <f t="shared" si="6"/>
        <v>25</v>
      </c>
      <c r="Q1537" s="1">
        <f t="shared" si="6"/>
        <v>25</v>
      </c>
      <c r="R1537" s="1">
        <f t="shared" si="6"/>
        <v>25</v>
      </c>
      <c r="S1537" s="1">
        <f t="shared" si="6"/>
        <v>25</v>
      </c>
      <c r="AA1537" s="6" t="s">
        <v>21</v>
      </c>
      <c r="AB1537" s="1">
        <f>Den_Que_Numbs_($Z$1532,$Z$1533,$Z$1534,AB$1533)</f>
        <v>1470</v>
      </c>
      <c r="AC1537" s="1">
        <f t="shared" si="4"/>
        <v>1334</v>
      </c>
      <c r="AD1537" s="1">
        <f t="shared" si="4"/>
        <v>1256</v>
      </c>
      <c r="AE1537" s="1" t="e">
        <f t="shared" si="4"/>
        <v>#VALUE!</v>
      </c>
      <c r="AF1537" s="1" t="e">
        <f t="shared" si="4"/>
        <v>#VALUE!</v>
      </c>
      <c r="AG1537" s="1" t="e">
        <f t="shared" si="4"/>
        <v>#VALUE!</v>
      </c>
      <c r="AH1537" s="1">
        <f t="shared" si="4"/>
        <v>901</v>
      </c>
      <c r="AI1537" s="1">
        <f t="shared" si="4"/>
        <v>824</v>
      </c>
      <c r="AJ1537" s="1">
        <f t="shared" si="4"/>
        <v>783</v>
      </c>
      <c r="AK1537" s="1">
        <f t="shared" si="4"/>
        <v>751</v>
      </c>
      <c r="AL1537" s="1">
        <f t="shared" si="4"/>
        <v>738</v>
      </c>
      <c r="AM1537" s="1">
        <f t="shared" si="4"/>
        <v>700</v>
      </c>
      <c r="AN1537" s="1">
        <f t="shared" si="4"/>
        <v>697</v>
      </c>
      <c r="AO1537" s="1">
        <f t="shared" si="4"/>
        <v>699</v>
      </c>
      <c r="AP1537" s="1">
        <f t="shared" si="4"/>
        <v>665</v>
      </c>
      <c r="AQ1537" s="1">
        <f t="shared" si="4"/>
        <v>656</v>
      </c>
      <c r="AR1537" s="1">
        <f t="shared" si="4"/>
        <v>636</v>
      </c>
      <c r="AS1537" s="1">
        <v>4</v>
      </c>
    </row>
    <row r="1538" spans="8:45" ht="24.9" x14ac:dyDescent="0.4">
      <c r="AA1538" s="6" t="s">
        <v>21</v>
      </c>
      <c r="AB1538" s="1" t="e">
        <f>Den_Que_Numbs_($Z$1532,$Z$1533,$Z$1534,AB$1533)</f>
        <v>#VALUE!</v>
      </c>
      <c r="AC1538" s="1" t="e">
        <f t="shared" si="4"/>
        <v>#VALUE!</v>
      </c>
      <c r="AD1538" s="1" t="e">
        <f t="shared" si="4"/>
        <v>#VALUE!</v>
      </c>
      <c r="AE1538" s="1">
        <f t="shared" si="4"/>
        <v>1186</v>
      </c>
      <c r="AF1538" s="1">
        <f t="shared" si="4"/>
        <v>1086</v>
      </c>
      <c r="AG1538" s="1">
        <f t="shared" si="4"/>
        <v>1006</v>
      </c>
      <c r="AH1538" s="1">
        <f t="shared" si="4"/>
        <v>926</v>
      </c>
      <c r="AI1538" s="1">
        <f t="shared" si="4"/>
        <v>828</v>
      </c>
      <c r="AJ1538" s="1">
        <f t="shared" si="4"/>
        <v>782</v>
      </c>
      <c r="AK1538" s="1">
        <f t="shared" si="4"/>
        <v>737</v>
      </c>
      <c r="AL1538" s="1">
        <f t="shared" si="4"/>
        <v>719</v>
      </c>
      <c r="AM1538" s="1">
        <f t="shared" si="4"/>
        <v>710</v>
      </c>
      <c r="AN1538" s="1">
        <f t="shared" si="4"/>
        <v>706</v>
      </c>
      <c r="AO1538" s="1">
        <f t="shared" si="4"/>
        <v>691</v>
      </c>
      <c r="AP1538" s="1">
        <f t="shared" si="4"/>
        <v>661</v>
      </c>
      <c r="AQ1538" s="1">
        <f t="shared" si="4"/>
        <v>649</v>
      </c>
      <c r="AR1538" s="1">
        <f t="shared" si="4"/>
        <v>625</v>
      </c>
      <c r="AS1538" s="1">
        <v>5</v>
      </c>
    </row>
    <row r="1539" spans="8:45" ht="24.9" x14ac:dyDescent="0.4">
      <c r="AA1539" s="6" t="s">
        <v>42</v>
      </c>
      <c r="AB1539" s="1" t="e">
        <f>AVERAGE(AB1534:AB1538)</f>
        <v>#VALUE!</v>
      </c>
      <c r="AC1539" s="1" t="e">
        <f t="shared" ref="AC1539:AR1539" si="7">AVERAGE(AC1534:AC1538)</f>
        <v>#VALUE!</v>
      </c>
      <c r="AD1539" s="1" t="e">
        <f t="shared" si="7"/>
        <v>#VALUE!</v>
      </c>
      <c r="AE1539" s="1" t="e">
        <f t="shared" si="7"/>
        <v>#VALUE!</v>
      </c>
      <c r="AF1539" s="1" t="e">
        <f t="shared" si="7"/>
        <v>#VALUE!</v>
      </c>
      <c r="AG1539" s="1" t="e">
        <f t="shared" si="7"/>
        <v>#VALUE!</v>
      </c>
      <c r="AH1539" s="1" t="e">
        <f t="shared" si="7"/>
        <v>#VALUE!</v>
      </c>
      <c r="AI1539" s="1" t="e">
        <f t="shared" si="7"/>
        <v>#VALUE!</v>
      </c>
      <c r="AJ1539" s="1" t="e">
        <f t="shared" si="7"/>
        <v>#VALUE!</v>
      </c>
      <c r="AK1539" s="1" t="e">
        <f t="shared" si="7"/>
        <v>#VALUE!</v>
      </c>
      <c r="AL1539" s="1" t="e">
        <f t="shared" si="7"/>
        <v>#VALUE!</v>
      </c>
      <c r="AM1539" s="1" t="e">
        <f t="shared" si="7"/>
        <v>#VALUE!</v>
      </c>
      <c r="AN1539" s="1">
        <f t="shared" si="7"/>
        <v>701.6</v>
      </c>
      <c r="AO1539" s="1" t="e">
        <f t="shared" si="7"/>
        <v>#VALUE!</v>
      </c>
      <c r="AP1539" s="1" t="e">
        <f t="shared" si="7"/>
        <v>#VALUE!</v>
      </c>
      <c r="AQ1539" s="1" t="e">
        <f t="shared" si="7"/>
        <v>#VALUE!</v>
      </c>
      <c r="AR1539" s="1">
        <f t="shared" si="7"/>
        <v>633.4</v>
      </c>
    </row>
    <row r="1540" spans="8:45" ht="37.299999999999997" x14ac:dyDescent="0.4">
      <c r="AA1540" s="6" t="s">
        <v>43</v>
      </c>
      <c r="AB1540" s="5" t="e">
        <f>AB1539/$Z$1532</f>
        <v>#VALUE!</v>
      </c>
      <c r="AC1540" s="5" t="e">
        <f t="shared" ref="AC1540:AR1540" si="8">AC1539/$Z$1532</f>
        <v>#VALUE!</v>
      </c>
      <c r="AD1540" s="5" t="e">
        <f t="shared" si="8"/>
        <v>#VALUE!</v>
      </c>
      <c r="AE1540" s="5" t="e">
        <f t="shared" si="8"/>
        <v>#VALUE!</v>
      </c>
      <c r="AF1540" s="5" t="e">
        <f t="shared" si="8"/>
        <v>#VALUE!</v>
      </c>
      <c r="AG1540" s="5" t="e">
        <f t="shared" si="8"/>
        <v>#VALUE!</v>
      </c>
      <c r="AH1540" s="5" t="e">
        <f t="shared" si="8"/>
        <v>#VALUE!</v>
      </c>
      <c r="AI1540" s="5" t="e">
        <f t="shared" si="8"/>
        <v>#VALUE!</v>
      </c>
      <c r="AJ1540" s="5" t="e">
        <f t="shared" si="8"/>
        <v>#VALUE!</v>
      </c>
      <c r="AK1540" s="5" t="e">
        <f t="shared" si="8"/>
        <v>#VALUE!</v>
      </c>
      <c r="AL1540" s="5" t="e">
        <f t="shared" si="8"/>
        <v>#VALUE!</v>
      </c>
      <c r="AM1540" s="5" t="e">
        <f t="shared" si="8"/>
        <v>#VALUE!</v>
      </c>
      <c r="AN1540" s="5">
        <f t="shared" si="8"/>
        <v>0.46773333333333333</v>
      </c>
      <c r="AO1540" s="5" t="e">
        <f t="shared" si="8"/>
        <v>#VALUE!</v>
      </c>
      <c r="AP1540" s="5" t="e">
        <f t="shared" si="8"/>
        <v>#VALUE!</v>
      </c>
      <c r="AQ1540" s="5" t="e">
        <f t="shared" si="8"/>
        <v>#VALUE!</v>
      </c>
      <c r="AR1540" s="5">
        <f t="shared" si="8"/>
        <v>0.42226666666666668</v>
      </c>
    </row>
    <row r="1544" spans="8:45" ht="15.45" x14ac:dyDescent="0.4">
      <c r="AN1544" s="1" t="s">
        <v>44</v>
      </c>
      <c r="AO1544" s="16">
        <v>1400</v>
      </c>
    </row>
    <row r="1545" spans="8:45" ht="15.45" x14ac:dyDescent="0.4">
      <c r="AN1545" s="1" t="s">
        <v>45</v>
      </c>
      <c r="AO1545" s="1">
        <f>Den_Que_Numbs_($Z$1532,$Z$1533,$Z$1534,$AO$1544)</f>
        <v>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8</xdr:col>
                <xdr:colOff>163286</xdr:colOff>
                <xdr:row>11</xdr:row>
                <xdr:rowOff>43543</xdr:rowOff>
              </from>
              <to>
                <xdr:col>11</xdr:col>
                <xdr:colOff>59871</xdr:colOff>
                <xdr:row>15</xdr:row>
                <xdr:rowOff>114300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2025-05-02T11:47:26Z</dcterms:modified>
</cp:coreProperties>
</file>