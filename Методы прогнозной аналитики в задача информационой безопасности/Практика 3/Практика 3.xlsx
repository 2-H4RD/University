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niversity\Методы прогнозной аналитики в задача информационой безопасности\Практика 3\"/>
    </mc:Choice>
  </mc:AlternateContent>
  <xr:revisionPtr revIDLastSave="0" documentId="13_ncr:1_{6F1C2D31-7608-4A2C-916F-D359FE7B8283}" xr6:coauthVersionLast="47" xr6:coauthVersionMax="47" xr10:uidLastSave="{00000000-0000-0000-0000-000000000000}"/>
  <bookViews>
    <workbookView xWindow="-103" yWindow="-103" windowWidth="22149" windowHeight="11829" activeTab="3" xr2:uid="{00000000-000D-0000-FFFF-FFFF00000000}"/>
  </bookViews>
  <sheets>
    <sheet name="Лист1" sheetId="1" r:id="rId1"/>
    <sheet name="Лист2" sheetId="3" r:id="rId2"/>
    <sheet name="Фостер Стюарт" sheetId="4" r:id="rId3"/>
    <sheet name="Прогноз 60 39" sheetId="5" r:id="rId4"/>
    <sheet name="Итоги 60 39" sheetId="6" r:id="rId5"/>
    <sheet name="Прирост цепной и абсолютный 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" i="7" l="1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B62" i="7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G61" i="7"/>
  <c r="C61" i="7"/>
  <c r="F61" i="7" s="1"/>
  <c r="B61" i="7"/>
  <c r="C60" i="7"/>
  <c r="B60" i="7"/>
  <c r="C59" i="7"/>
  <c r="D60" i="7" s="1"/>
  <c r="B59" i="7"/>
  <c r="C58" i="7"/>
  <c r="D58" i="7" s="1"/>
  <c r="B58" i="7"/>
  <c r="D57" i="7"/>
  <c r="C57" i="7"/>
  <c r="B57" i="7"/>
  <c r="C56" i="7"/>
  <c r="D56" i="7" s="1"/>
  <c r="B56" i="7"/>
  <c r="C55" i="7"/>
  <c r="B55" i="7"/>
  <c r="C54" i="7"/>
  <c r="D55" i="7" s="1"/>
  <c r="B54" i="7"/>
  <c r="C53" i="7"/>
  <c r="D53" i="7" s="1"/>
  <c r="B53" i="7"/>
  <c r="D52" i="7"/>
  <c r="C52" i="7"/>
  <c r="B52" i="7"/>
  <c r="C51" i="7"/>
  <c r="D51" i="7" s="1"/>
  <c r="B51" i="7"/>
  <c r="C50" i="7"/>
  <c r="B50" i="7"/>
  <c r="C49" i="7"/>
  <c r="D50" i="7" s="1"/>
  <c r="B49" i="7"/>
  <c r="C48" i="7"/>
  <c r="D48" i="7" s="1"/>
  <c r="B48" i="7"/>
  <c r="D47" i="7"/>
  <c r="C47" i="7"/>
  <c r="B47" i="7"/>
  <c r="C46" i="7"/>
  <c r="D46" i="7" s="1"/>
  <c r="B46" i="7"/>
  <c r="C45" i="7"/>
  <c r="B45" i="7"/>
  <c r="C44" i="7"/>
  <c r="D45" i="7" s="1"/>
  <c r="B44" i="7"/>
  <c r="C43" i="7"/>
  <c r="D43" i="7" s="1"/>
  <c r="B43" i="7"/>
  <c r="D42" i="7"/>
  <c r="C42" i="7"/>
  <c r="B42" i="7"/>
  <c r="C41" i="7"/>
  <c r="D41" i="7" s="1"/>
  <c r="B41" i="7"/>
  <c r="C40" i="7"/>
  <c r="B40" i="7"/>
  <c r="C39" i="7"/>
  <c r="D40" i="7" s="1"/>
  <c r="B39" i="7"/>
  <c r="C38" i="7"/>
  <c r="D38" i="7" s="1"/>
  <c r="B38" i="7"/>
  <c r="D37" i="7"/>
  <c r="C37" i="7"/>
  <c r="B37" i="7"/>
  <c r="C36" i="7"/>
  <c r="D36" i="7" s="1"/>
  <c r="B36" i="7"/>
  <c r="C35" i="7"/>
  <c r="B35" i="7"/>
  <c r="C34" i="7"/>
  <c r="D35" i="7" s="1"/>
  <c r="B34" i="7"/>
  <c r="C33" i="7"/>
  <c r="D33" i="7" s="1"/>
  <c r="B33" i="7"/>
  <c r="D32" i="7"/>
  <c r="C32" i="7"/>
  <c r="B32" i="7"/>
  <c r="C31" i="7"/>
  <c r="D31" i="7" s="1"/>
  <c r="B31" i="7"/>
  <c r="C30" i="7"/>
  <c r="B30" i="7"/>
  <c r="C29" i="7"/>
  <c r="D30" i="7" s="1"/>
  <c r="B29" i="7"/>
  <c r="C28" i="7"/>
  <c r="D28" i="7" s="1"/>
  <c r="B28" i="7"/>
  <c r="D27" i="7"/>
  <c r="C27" i="7"/>
  <c r="B27" i="7"/>
  <c r="C26" i="7"/>
  <c r="D26" i="7" s="1"/>
  <c r="B26" i="7"/>
  <c r="C25" i="7"/>
  <c r="B25" i="7"/>
  <c r="C24" i="7"/>
  <c r="D25" i="7" s="1"/>
  <c r="B24" i="7"/>
  <c r="C23" i="7"/>
  <c r="D23" i="7" s="1"/>
  <c r="B23" i="7"/>
  <c r="D22" i="7"/>
  <c r="C22" i="7"/>
  <c r="B22" i="7"/>
  <c r="C21" i="7"/>
  <c r="D21" i="7" s="1"/>
  <c r="B21" i="7"/>
  <c r="C20" i="7"/>
  <c r="B20" i="7"/>
  <c r="C19" i="7"/>
  <c r="D20" i="7" s="1"/>
  <c r="B19" i="7"/>
  <c r="C18" i="7"/>
  <c r="D18" i="7" s="1"/>
  <c r="B18" i="7"/>
  <c r="D17" i="7"/>
  <c r="C17" i="7"/>
  <c r="B17" i="7"/>
  <c r="M16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M5" i="7"/>
  <c r="D5" i="7"/>
  <c r="C5" i="7"/>
  <c r="B5" i="7"/>
  <c r="M4" i="7"/>
  <c r="M6" i="7" s="1"/>
  <c r="D4" i="7"/>
  <c r="C4" i="7"/>
  <c r="B4" i="7"/>
  <c r="C3" i="7"/>
  <c r="B3" i="7"/>
  <c r="C2" i="7"/>
  <c r="M3" i="7" s="1"/>
  <c r="B2" i="7"/>
  <c r="B12" i="6"/>
  <c r="D100" i="5"/>
  <c r="B100" i="5"/>
  <c r="D99" i="5"/>
  <c r="B99" i="5"/>
  <c r="D98" i="5"/>
  <c r="B98" i="5"/>
  <c r="D97" i="5"/>
  <c r="B97" i="5"/>
  <c r="D96" i="5"/>
  <c r="B96" i="5"/>
  <c r="D95" i="5"/>
  <c r="B95" i="5"/>
  <c r="D94" i="5"/>
  <c r="B94" i="5"/>
  <c r="D93" i="5"/>
  <c r="B93" i="5"/>
  <c r="D92" i="5"/>
  <c r="B92" i="5"/>
  <c r="D91" i="5"/>
  <c r="B91" i="5"/>
  <c r="D90" i="5"/>
  <c r="B90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9" i="5"/>
  <c r="B79" i="5"/>
  <c r="D78" i="5"/>
  <c r="B78" i="5"/>
  <c r="D77" i="5"/>
  <c r="B77" i="5"/>
  <c r="D76" i="5"/>
  <c r="B76" i="5"/>
  <c r="D75" i="5"/>
  <c r="B75" i="5"/>
  <c r="D74" i="5"/>
  <c r="B74" i="5"/>
  <c r="D73" i="5"/>
  <c r="B73" i="5"/>
  <c r="D72" i="5"/>
  <c r="B72" i="5"/>
  <c r="D71" i="5"/>
  <c r="B71" i="5"/>
  <c r="D70" i="5"/>
  <c r="B70" i="5"/>
  <c r="D69" i="5"/>
  <c r="B69" i="5"/>
  <c r="D68" i="5"/>
  <c r="B68" i="5"/>
  <c r="D67" i="5"/>
  <c r="B67" i="5"/>
  <c r="D66" i="5"/>
  <c r="B66" i="5"/>
  <c r="D65" i="5"/>
  <c r="B65" i="5"/>
  <c r="D64" i="5"/>
  <c r="B64" i="5"/>
  <c r="D63" i="5"/>
  <c r="B63" i="5"/>
  <c r="D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V100" i="4"/>
  <c r="Q100" i="4"/>
  <c r="V99" i="4"/>
  <c r="Q99" i="4"/>
  <c r="V98" i="4"/>
  <c r="Q98" i="4"/>
  <c r="V97" i="4"/>
  <c r="Q97" i="4"/>
  <c r="V96" i="4"/>
  <c r="Q96" i="4"/>
  <c r="V95" i="4"/>
  <c r="Q95" i="4"/>
  <c r="V94" i="4"/>
  <c r="Q94" i="4"/>
  <c r="V93" i="4"/>
  <c r="Q93" i="4"/>
  <c r="V92" i="4"/>
  <c r="Q92" i="4"/>
  <c r="V91" i="4"/>
  <c r="Q91" i="4"/>
  <c r="V90" i="4"/>
  <c r="Q90" i="4"/>
  <c r="V89" i="4"/>
  <c r="Q89" i="4"/>
  <c r="V88" i="4"/>
  <c r="Q88" i="4"/>
  <c r="V87" i="4"/>
  <c r="Q87" i="4"/>
  <c r="V86" i="4"/>
  <c r="Q86" i="4"/>
  <c r="V85" i="4"/>
  <c r="T85" i="4"/>
  <c r="Q85" i="4"/>
  <c r="V84" i="4"/>
  <c r="Q84" i="4"/>
  <c r="V83" i="4"/>
  <c r="Q83" i="4"/>
  <c r="V82" i="4"/>
  <c r="Q82" i="4"/>
  <c r="V81" i="4"/>
  <c r="Q81" i="4"/>
  <c r="V80" i="4"/>
  <c r="Q80" i="4"/>
  <c r="V79" i="4"/>
  <c r="Q79" i="4"/>
  <c r="V78" i="4"/>
  <c r="Q78" i="4"/>
  <c r="V77" i="4"/>
  <c r="Q77" i="4"/>
  <c r="V76" i="4"/>
  <c r="Q76" i="4"/>
  <c r="V75" i="4"/>
  <c r="Q75" i="4"/>
  <c r="V74" i="4"/>
  <c r="Q74" i="4"/>
  <c r="V73" i="4"/>
  <c r="Q73" i="4"/>
  <c r="V72" i="4"/>
  <c r="Q72" i="4"/>
  <c r="V71" i="4"/>
  <c r="Q71" i="4"/>
  <c r="V70" i="4"/>
  <c r="Q70" i="4"/>
  <c r="V69" i="4"/>
  <c r="T69" i="4"/>
  <c r="Q69" i="4"/>
  <c r="V68" i="4"/>
  <c r="Q68" i="4"/>
  <c r="V67" i="4"/>
  <c r="Q67" i="4"/>
  <c r="V66" i="4"/>
  <c r="Q66" i="4"/>
  <c r="V65" i="4"/>
  <c r="Q65" i="4"/>
  <c r="V64" i="4"/>
  <c r="Q64" i="4"/>
  <c r="V63" i="4"/>
  <c r="Q63" i="4"/>
  <c r="V62" i="4"/>
  <c r="Q62" i="4"/>
  <c r="V61" i="4"/>
  <c r="T61" i="4"/>
  <c r="R61" i="4"/>
  <c r="Q61" i="4"/>
  <c r="V60" i="4"/>
  <c r="R60" i="4"/>
  <c r="Q60" i="4"/>
  <c r="H60" i="4"/>
  <c r="D60" i="4"/>
  <c r="C60" i="4"/>
  <c r="B60" i="4"/>
  <c r="V59" i="4"/>
  <c r="R59" i="4"/>
  <c r="Q59" i="4"/>
  <c r="H59" i="4"/>
  <c r="F59" i="4"/>
  <c r="E59" i="4"/>
  <c r="D59" i="4"/>
  <c r="C59" i="4"/>
  <c r="B59" i="4"/>
  <c r="V58" i="4"/>
  <c r="R58" i="4"/>
  <c r="Q58" i="4"/>
  <c r="H58" i="4"/>
  <c r="D58" i="4"/>
  <c r="C58" i="4"/>
  <c r="B58" i="4"/>
  <c r="V57" i="4"/>
  <c r="R57" i="4"/>
  <c r="Q57" i="4"/>
  <c r="H57" i="4"/>
  <c r="E57" i="4"/>
  <c r="D57" i="4"/>
  <c r="F57" i="4" s="1"/>
  <c r="C57" i="4"/>
  <c r="B57" i="4"/>
  <c r="V56" i="4"/>
  <c r="R56" i="4"/>
  <c r="Q56" i="4"/>
  <c r="H56" i="4"/>
  <c r="D56" i="4"/>
  <c r="C56" i="4"/>
  <c r="B56" i="4"/>
  <c r="V55" i="4"/>
  <c r="R55" i="4"/>
  <c r="Q55" i="4"/>
  <c r="H55" i="4"/>
  <c r="D55" i="4"/>
  <c r="F55" i="4" s="1"/>
  <c r="C55" i="4"/>
  <c r="B55" i="4"/>
  <c r="V54" i="4"/>
  <c r="S54" i="4"/>
  <c r="R54" i="4"/>
  <c r="Q54" i="4"/>
  <c r="H54" i="4"/>
  <c r="E54" i="4"/>
  <c r="D54" i="4"/>
  <c r="F54" i="4" s="1"/>
  <c r="C54" i="4"/>
  <c r="B54" i="4"/>
  <c r="V53" i="4"/>
  <c r="R53" i="4"/>
  <c r="Q53" i="4"/>
  <c r="H53" i="4"/>
  <c r="D53" i="4"/>
  <c r="C53" i="4"/>
  <c r="B53" i="4"/>
  <c r="V52" i="4"/>
  <c r="R52" i="4"/>
  <c r="Q52" i="4"/>
  <c r="H52" i="4"/>
  <c r="F52" i="4"/>
  <c r="E52" i="4"/>
  <c r="G52" i="4" s="1"/>
  <c r="D52" i="4"/>
  <c r="C52" i="4"/>
  <c r="B52" i="4"/>
  <c r="V51" i="4"/>
  <c r="R51" i="4"/>
  <c r="Q51" i="4"/>
  <c r="H51" i="4"/>
  <c r="D51" i="4"/>
  <c r="C51" i="4"/>
  <c r="B51" i="4"/>
  <c r="V50" i="4"/>
  <c r="R50" i="4"/>
  <c r="Q50" i="4"/>
  <c r="H50" i="4"/>
  <c r="D50" i="4"/>
  <c r="F50" i="4" s="1"/>
  <c r="C50" i="4"/>
  <c r="B50" i="4"/>
  <c r="V49" i="4"/>
  <c r="R49" i="4"/>
  <c r="Q49" i="4"/>
  <c r="H49" i="4"/>
  <c r="F49" i="4"/>
  <c r="E49" i="4"/>
  <c r="D49" i="4"/>
  <c r="C49" i="4"/>
  <c r="B49" i="4"/>
  <c r="V48" i="4"/>
  <c r="R48" i="4"/>
  <c r="Q48" i="4"/>
  <c r="H48" i="4"/>
  <c r="F48" i="4"/>
  <c r="D48" i="4"/>
  <c r="C48" i="4"/>
  <c r="E48" i="4" s="1"/>
  <c r="G48" i="4" s="1"/>
  <c r="B48" i="4"/>
  <c r="V47" i="4"/>
  <c r="R47" i="4"/>
  <c r="Q47" i="4"/>
  <c r="H47" i="4"/>
  <c r="D47" i="4"/>
  <c r="C47" i="4"/>
  <c r="E47" i="4" s="1"/>
  <c r="G47" i="4" s="1"/>
  <c r="B47" i="4"/>
  <c r="F47" i="4" s="1"/>
  <c r="V46" i="4"/>
  <c r="R46" i="4"/>
  <c r="Q46" i="4"/>
  <c r="H46" i="4"/>
  <c r="E46" i="4"/>
  <c r="D46" i="4"/>
  <c r="C46" i="4"/>
  <c r="B46" i="4"/>
  <c r="V45" i="4"/>
  <c r="R45" i="4"/>
  <c r="Q45" i="4"/>
  <c r="H45" i="4"/>
  <c r="D45" i="4"/>
  <c r="C45" i="4"/>
  <c r="B45" i="4"/>
  <c r="E45" i="4" s="1"/>
  <c r="V44" i="4"/>
  <c r="R44" i="4"/>
  <c r="Q44" i="4"/>
  <c r="H44" i="4"/>
  <c r="F44" i="4"/>
  <c r="E44" i="4"/>
  <c r="G44" i="4" s="1"/>
  <c r="D44" i="4"/>
  <c r="C44" i="4"/>
  <c r="B44" i="4"/>
  <c r="V43" i="4"/>
  <c r="R43" i="4"/>
  <c r="Q43" i="4"/>
  <c r="H43" i="4"/>
  <c r="D43" i="4"/>
  <c r="C43" i="4"/>
  <c r="B43" i="4"/>
  <c r="V42" i="4"/>
  <c r="S42" i="4"/>
  <c r="R42" i="4"/>
  <c r="Q42" i="4"/>
  <c r="H42" i="4"/>
  <c r="F42" i="4"/>
  <c r="E42" i="4"/>
  <c r="G42" i="4" s="1"/>
  <c r="D42" i="4"/>
  <c r="C42" i="4"/>
  <c r="B42" i="4"/>
  <c r="V41" i="4"/>
  <c r="S41" i="4"/>
  <c r="R41" i="4"/>
  <c r="Q41" i="4"/>
  <c r="H41" i="4"/>
  <c r="D41" i="4"/>
  <c r="C41" i="4"/>
  <c r="B41" i="4"/>
  <c r="V40" i="4"/>
  <c r="R40" i="4"/>
  <c r="Q40" i="4"/>
  <c r="H40" i="4"/>
  <c r="E40" i="4"/>
  <c r="D40" i="4"/>
  <c r="F40" i="4" s="1"/>
  <c r="C40" i="4"/>
  <c r="B40" i="4"/>
  <c r="V39" i="4"/>
  <c r="R39" i="4"/>
  <c r="Q39" i="4"/>
  <c r="H39" i="4"/>
  <c r="E39" i="4"/>
  <c r="D39" i="4"/>
  <c r="F39" i="4" s="1"/>
  <c r="C39" i="4"/>
  <c r="B39" i="4"/>
  <c r="V38" i="4"/>
  <c r="R38" i="4"/>
  <c r="Q38" i="4"/>
  <c r="H38" i="4"/>
  <c r="F38" i="4"/>
  <c r="D38" i="4"/>
  <c r="C38" i="4"/>
  <c r="B38" i="4"/>
  <c r="V37" i="4"/>
  <c r="T37" i="4"/>
  <c r="U37" i="4" s="1"/>
  <c r="S37" i="4"/>
  <c r="R37" i="4"/>
  <c r="Q37" i="4"/>
  <c r="H37" i="4"/>
  <c r="D37" i="4"/>
  <c r="C37" i="4"/>
  <c r="E37" i="4" s="1"/>
  <c r="B37" i="4"/>
  <c r="F37" i="4" s="1"/>
  <c r="V36" i="4"/>
  <c r="S36" i="4"/>
  <c r="R36" i="4"/>
  <c r="Q36" i="4"/>
  <c r="H36" i="4"/>
  <c r="F36" i="4"/>
  <c r="G36" i="4" s="1"/>
  <c r="D36" i="4"/>
  <c r="C36" i="4"/>
  <c r="B36" i="4"/>
  <c r="E36" i="4" s="1"/>
  <c r="V35" i="4"/>
  <c r="R35" i="4"/>
  <c r="Q35" i="4"/>
  <c r="H35" i="4"/>
  <c r="E35" i="4"/>
  <c r="D35" i="4"/>
  <c r="F35" i="4" s="1"/>
  <c r="C35" i="4"/>
  <c r="B35" i="4"/>
  <c r="V34" i="4"/>
  <c r="T34" i="4"/>
  <c r="R34" i="4"/>
  <c r="Q34" i="4"/>
  <c r="H34" i="4"/>
  <c r="F34" i="4"/>
  <c r="D34" i="4"/>
  <c r="C34" i="4"/>
  <c r="B34" i="4"/>
  <c r="V33" i="4"/>
  <c r="R33" i="4"/>
  <c r="Q33" i="4"/>
  <c r="H33" i="4"/>
  <c r="D33" i="4"/>
  <c r="F33" i="4" s="1"/>
  <c r="C33" i="4"/>
  <c r="E33" i="4" s="1"/>
  <c r="B33" i="4"/>
  <c r="V32" i="4"/>
  <c r="R32" i="4"/>
  <c r="Q32" i="4"/>
  <c r="H32" i="4"/>
  <c r="D32" i="4"/>
  <c r="C32" i="4"/>
  <c r="B32" i="4"/>
  <c r="V31" i="4"/>
  <c r="T31" i="4"/>
  <c r="S31" i="4"/>
  <c r="U31" i="4" s="1"/>
  <c r="R31" i="4"/>
  <c r="Q31" i="4"/>
  <c r="H31" i="4"/>
  <c r="D31" i="4"/>
  <c r="F31" i="4" s="1"/>
  <c r="C31" i="4"/>
  <c r="E31" i="4" s="1"/>
  <c r="G31" i="4" s="1"/>
  <c r="B31" i="4"/>
  <c r="V30" i="4"/>
  <c r="S30" i="4"/>
  <c r="R30" i="4"/>
  <c r="Q30" i="4"/>
  <c r="H30" i="4"/>
  <c r="F30" i="4"/>
  <c r="D30" i="4"/>
  <c r="C30" i="4"/>
  <c r="B30" i="4"/>
  <c r="E30" i="4" s="1"/>
  <c r="V29" i="4"/>
  <c r="R29" i="4"/>
  <c r="Q29" i="4"/>
  <c r="H29" i="4"/>
  <c r="G29" i="4"/>
  <c r="F29" i="4"/>
  <c r="E29" i="4"/>
  <c r="D29" i="4"/>
  <c r="C29" i="4"/>
  <c r="B29" i="4"/>
  <c r="V28" i="4"/>
  <c r="T28" i="4"/>
  <c r="R28" i="4"/>
  <c r="Q28" i="4"/>
  <c r="H28" i="4"/>
  <c r="D28" i="4"/>
  <c r="C28" i="4"/>
  <c r="E28" i="4" s="1"/>
  <c r="B28" i="4"/>
  <c r="V27" i="4"/>
  <c r="S27" i="4"/>
  <c r="R27" i="4"/>
  <c r="Q27" i="4"/>
  <c r="H27" i="4"/>
  <c r="D27" i="4"/>
  <c r="C27" i="4"/>
  <c r="B27" i="4"/>
  <c r="V26" i="4"/>
  <c r="R26" i="4"/>
  <c r="Q26" i="4"/>
  <c r="H26" i="4"/>
  <c r="F26" i="4"/>
  <c r="E26" i="4"/>
  <c r="G26" i="4" s="1"/>
  <c r="D26" i="4"/>
  <c r="C26" i="4"/>
  <c r="B26" i="4"/>
  <c r="V25" i="4"/>
  <c r="T25" i="4"/>
  <c r="S25" i="4"/>
  <c r="U25" i="4" s="1"/>
  <c r="R25" i="4"/>
  <c r="Q25" i="4"/>
  <c r="H25" i="4"/>
  <c r="F25" i="4"/>
  <c r="E25" i="4"/>
  <c r="G25" i="4" s="1"/>
  <c r="D25" i="4"/>
  <c r="C25" i="4"/>
  <c r="B25" i="4"/>
  <c r="V24" i="4"/>
  <c r="R24" i="4"/>
  <c r="Q24" i="4"/>
  <c r="H24" i="4"/>
  <c r="D24" i="4"/>
  <c r="C24" i="4"/>
  <c r="B24" i="4"/>
  <c r="V23" i="4"/>
  <c r="R23" i="4"/>
  <c r="Q23" i="4"/>
  <c r="H23" i="4"/>
  <c r="E23" i="4"/>
  <c r="D23" i="4"/>
  <c r="F23" i="4" s="1"/>
  <c r="G23" i="4" s="1"/>
  <c r="C23" i="4"/>
  <c r="B23" i="4"/>
  <c r="V22" i="4"/>
  <c r="T22" i="4"/>
  <c r="S22" i="4"/>
  <c r="U22" i="4" s="1"/>
  <c r="R22" i="4"/>
  <c r="Q22" i="4"/>
  <c r="H22" i="4"/>
  <c r="F22" i="4"/>
  <c r="E22" i="4"/>
  <c r="G22" i="4" s="1"/>
  <c r="D22" i="4"/>
  <c r="C22" i="4"/>
  <c r="B22" i="4"/>
  <c r="V21" i="4"/>
  <c r="S21" i="4"/>
  <c r="R21" i="4"/>
  <c r="Q21" i="4"/>
  <c r="H21" i="4"/>
  <c r="D21" i="4"/>
  <c r="C21" i="4"/>
  <c r="B21" i="4"/>
  <c r="V20" i="4"/>
  <c r="S20" i="4"/>
  <c r="R20" i="4"/>
  <c r="Q20" i="4"/>
  <c r="H20" i="4"/>
  <c r="F20" i="4"/>
  <c r="E20" i="4"/>
  <c r="G20" i="4" s="1"/>
  <c r="D20" i="4"/>
  <c r="C20" i="4"/>
  <c r="B20" i="4"/>
  <c r="V19" i="4"/>
  <c r="R19" i="4"/>
  <c r="Q19" i="4"/>
  <c r="H19" i="4"/>
  <c r="D19" i="4"/>
  <c r="C19" i="4"/>
  <c r="B19" i="4"/>
  <c r="V18" i="4"/>
  <c r="S18" i="4"/>
  <c r="R18" i="4"/>
  <c r="Q18" i="4"/>
  <c r="H18" i="4"/>
  <c r="F18" i="4"/>
  <c r="D18" i="4"/>
  <c r="C18" i="4"/>
  <c r="E18" i="4" s="1"/>
  <c r="G18" i="4" s="1"/>
  <c r="B18" i="4"/>
  <c r="V17" i="4"/>
  <c r="R17" i="4"/>
  <c r="Q17" i="4"/>
  <c r="H17" i="4"/>
  <c r="F17" i="4"/>
  <c r="D17" i="4"/>
  <c r="C17" i="4"/>
  <c r="B17" i="4"/>
  <c r="V16" i="4"/>
  <c r="S16" i="4"/>
  <c r="R16" i="4"/>
  <c r="Q16" i="4"/>
  <c r="H16" i="4"/>
  <c r="D16" i="4"/>
  <c r="F16" i="4" s="1"/>
  <c r="C16" i="4"/>
  <c r="E16" i="4" s="1"/>
  <c r="G16" i="4" s="1"/>
  <c r="B16" i="4"/>
  <c r="V15" i="4"/>
  <c r="T15" i="4"/>
  <c r="S15" i="4"/>
  <c r="U15" i="4" s="1"/>
  <c r="R15" i="4"/>
  <c r="Q15" i="4"/>
  <c r="H15" i="4"/>
  <c r="F15" i="4"/>
  <c r="E15" i="4"/>
  <c r="G15" i="4" s="1"/>
  <c r="D15" i="4"/>
  <c r="C15" i="4"/>
  <c r="B15" i="4"/>
  <c r="V14" i="4"/>
  <c r="R14" i="4"/>
  <c r="Q14" i="4"/>
  <c r="H14" i="4"/>
  <c r="D14" i="4"/>
  <c r="C14" i="4"/>
  <c r="B14" i="4"/>
  <c r="V13" i="4"/>
  <c r="T13" i="4"/>
  <c r="S13" i="4"/>
  <c r="U13" i="4" s="1"/>
  <c r="R13" i="4"/>
  <c r="Q13" i="4"/>
  <c r="H13" i="4"/>
  <c r="F13" i="4"/>
  <c r="E13" i="4"/>
  <c r="G13" i="4" s="1"/>
  <c r="D13" i="4"/>
  <c r="C13" i="4"/>
  <c r="B13" i="4"/>
  <c r="V12" i="4"/>
  <c r="R12" i="4"/>
  <c r="Q12" i="4"/>
  <c r="H12" i="4"/>
  <c r="D12" i="4"/>
  <c r="C12" i="4"/>
  <c r="B12" i="4"/>
  <c r="V11" i="4"/>
  <c r="R11" i="4"/>
  <c r="Q11" i="4"/>
  <c r="H11" i="4"/>
  <c r="D11" i="4"/>
  <c r="C11" i="4"/>
  <c r="B11" i="4"/>
  <c r="F11" i="4" s="1"/>
  <c r="V10" i="4"/>
  <c r="S10" i="4"/>
  <c r="R10" i="4"/>
  <c r="Q10" i="4"/>
  <c r="H10" i="4"/>
  <c r="F10" i="4"/>
  <c r="E10" i="4"/>
  <c r="G10" i="4" s="1"/>
  <c r="D10" i="4"/>
  <c r="C10" i="4"/>
  <c r="B10" i="4"/>
  <c r="V9" i="4"/>
  <c r="S9" i="4"/>
  <c r="R9" i="4"/>
  <c r="Q9" i="4"/>
  <c r="H9" i="4"/>
  <c r="D9" i="4"/>
  <c r="C9" i="4"/>
  <c r="B9" i="4"/>
  <c r="V8" i="4"/>
  <c r="T8" i="4"/>
  <c r="S8" i="4"/>
  <c r="U8" i="4" s="1"/>
  <c r="R8" i="4"/>
  <c r="Q8" i="4"/>
  <c r="H8" i="4"/>
  <c r="E8" i="4"/>
  <c r="G8" i="4" s="1"/>
  <c r="D8" i="4"/>
  <c r="C8" i="4"/>
  <c r="B8" i="4"/>
  <c r="F8" i="4" s="1"/>
  <c r="V7" i="4"/>
  <c r="T7" i="4"/>
  <c r="R7" i="4"/>
  <c r="Q7" i="4"/>
  <c r="H7" i="4"/>
  <c r="D7" i="4"/>
  <c r="C7" i="4"/>
  <c r="B7" i="4"/>
  <c r="E7" i="4" s="1"/>
  <c r="V6" i="4"/>
  <c r="S6" i="4"/>
  <c r="R6" i="4"/>
  <c r="Q6" i="4"/>
  <c r="H6" i="4"/>
  <c r="F6" i="4"/>
  <c r="D6" i="4"/>
  <c r="C6" i="4"/>
  <c r="E6" i="4" s="1"/>
  <c r="G6" i="4" s="1"/>
  <c r="B6" i="4"/>
  <c r="V5" i="4"/>
  <c r="R5" i="4"/>
  <c r="Q5" i="4"/>
  <c r="H5" i="4"/>
  <c r="D5" i="4"/>
  <c r="C5" i="4"/>
  <c r="B5" i="4"/>
  <c r="V4" i="4"/>
  <c r="R4" i="4"/>
  <c r="Q4" i="4"/>
  <c r="H4" i="4"/>
  <c r="D4" i="4"/>
  <c r="C4" i="4"/>
  <c r="B4" i="4"/>
  <c r="V3" i="4"/>
  <c r="S3" i="4"/>
  <c r="R3" i="4"/>
  <c r="Q3" i="4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H3" i="4"/>
  <c r="F3" i="4"/>
  <c r="E3" i="4"/>
  <c r="G3" i="4" s="1"/>
  <c r="D3" i="4"/>
  <c r="C3" i="4"/>
  <c r="B3" i="4"/>
  <c r="V2" i="4"/>
  <c r="T2" i="4"/>
  <c r="S2" i="4"/>
  <c r="U2" i="4" s="1"/>
  <c r="R2" i="4"/>
  <c r="Q2" i="4"/>
  <c r="N2" i="4"/>
  <c r="T36" i="4" s="1"/>
  <c r="M2" i="4"/>
  <c r="J2" i="4"/>
  <c r="I2" i="4"/>
  <c r="H2" i="4"/>
  <c r="F2" i="4"/>
  <c r="D2" i="4"/>
  <c r="C2" i="4"/>
  <c r="E2" i="4" s="1"/>
  <c r="B2" i="4"/>
  <c r="L2" i="4" s="1"/>
  <c r="L5" i="4" l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G35" i="4"/>
  <c r="G39" i="4"/>
  <c r="G33" i="4"/>
  <c r="U20" i="4"/>
  <c r="G46" i="4"/>
  <c r="G2" i="4"/>
  <c r="U36" i="4"/>
  <c r="F27" i="4"/>
  <c r="E27" i="4"/>
  <c r="G30" i="4"/>
  <c r="E50" i="4"/>
  <c r="G50" i="4" s="1"/>
  <c r="E95" i="7"/>
  <c r="E75" i="7"/>
  <c r="E92" i="7"/>
  <c r="E72" i="7"/>
  <c r="E15" i="7"/>
  <c r="E11" i="7"/>
  <c r="E7" i="7"/>
  <c r="E3" i="7"/>
  <c r="E89" i="7"/>
  <c r="E69" i="7"/>
  <c r="E86" i="7"/>
  <c r="E66" i="7"/>
  <c r="E59" i="7"/>
  <c r="E54" i="7"/>
  <c r="E49" i="7"/>
  <c r="E44" i="7"/>
  <c r="E39" i="7"/>
  <c r="E34" i="7"/>
  <c r="E29" i="7"/>
  <c r="E24" i="7"/>
  <c r="E19" i="7"/>
  <c r="E83" i="7"/>
  <c r="E63" i="7"/>
  <c r="E100" i="7"/>
  <c r="E80" i="7"/>
  <c r="E97" i="7"/>
  <c r="E77" i="7"/>
  <c r="E14" i="7"/>
  <c r="E10" i="7"/>
  <c r="E6" i="7"/>
  <c r="E94" i="7"/>
  <c r="E74" i="7"/>
  <c r="E58" i="7"/>
  <c r="E53" i="7"/>
  <c r="E48" i="7"/>
  <c r="E43" i="7"/>
  <c r="E38" i="7"/>
  <c r="E33" i="7"/>
  <c r="E28" i="7"/>
  <c r="E23" i="7"/>
  <c r="E18" i="7"/>
  <c r="E91" i="7"/>
  <c r="E71" i="7"/>
  <c r="E88" i="7"/>
  <c r="E68" i="7"/>
  <c r="E85" i="7"/>
  <c r="E65" i="7"/>
  <c r="E82" i="7"/>
  <c r="E62" i="7"/>
  <c r="E57" i="7"/>
  <c r="E52" i="7"/>
  <c r="E47" i="7"/>
  <c r="E42" i="7"/>
  <c r="E37" i="7"/>
  <c r="E32" i="7"/>
  <c r="E27" i="7"/>
  <c r="E22" i="7"/>
  <c r="E17" i="7"/>
  <c r="E13" i="7"/>
  <c r="E9" i="7"/>
  <c r="E5" i="7"/>
  <c r="E99" i="7"/>
  <c r="E79" i="7"/>
  <c r="E96" i="7"/>
  <c r="E76" i="7"/>
  <c r="E93" i="7"/>
  <c r="E73" i="7"/>
  <c r="E90" i="7"/>
  <c r="E70" i="7"/>
  <c r="E61" i="7"/>
  <c r="E56" i="7"/>
  <c r="E51" i="7"/>
  <c r="E46" i="7"/>
  <c r="E41" i="7"/>
  <c r="E36" i="7"/>
  <c r="E31" i="7"/>
  <c r="E26" i="7"/>
  <c r="E21" i="7"/>
  <c r="E87" i="7"/>
  <c r="E67" i="7"/>
  <c r="E16" i="7"/>
  <c r="E12" i="7"/>
  <c r="E8" i="7"/>
  <c r="E4" i="7"/>
  <c r="E84" i="7"/>
  <c r="E64" i="7"/>
  <c r="E81" i="7"/>
  <c r="E98" i="7"/>
  <c r="E78" i="7"/>
  <c r="E60" i="7"/>
  <c r="E55" i="7"/>
  <c r="E50" i="7"/>
  <c r="E45" i="7"/>
  <c r="E40" i="7"/>
  <c r="E35" i="7"/>
  <c r="E30" i="7"/>
  <c r="E25" i="7"/>
  <c r="E20" i="7"/>
  <c r="F46" i="4"/>
  <c r="T77" i="4"/>
  <c r="B6" i="6"/>
  <c r="E5" i="4"/>
  <c r="G5" i="4" s="1"/>
  <c r="F9" i="4"/>
  <c r="E19" i="4"/>
  <c r="G19" i="4" s="1"/>
  <c r="E9" i="4"/>
  <c r="E41" i="4"/>
  <c r="G41" i="4" s="1"/>
  <c r="J88" i="7"/>
  <c r="U21" i="4"/>
  <c r="F32" i="4"/>
  <c r="E32" i="4"/>
  <c r="G32" i="4" s="1"/>
  <c r="F41" i="4"/>
  <c r="S49" i="4"/>
  <c r="S56" i="4"/>
  <c r="U56" i="4" s="1"/>
  <c r="S98" i="4"/>
  <c r="S94" i="4"/>
  <c r="U94" i="4" s="1"/>
  <c r="S90" i="4"/>
  <c r="U90" i="4" s="1"/>
  <c r="S86" i="4"/>
  <c r="S82" i="4"/>
  <c r="S78" i="4"/>
  <c r="U78" i="4" s="1"/>
  <c r="S74" i="4"/>
  <c r="U74" i="4" s="1"/>
  <c r="S70" i="4"/>
  <c r="U70" i="4" s="1"/>
  <c r="S66" i="4"/>
  <c r="S62" i="4"/>
  <c r="S50" i="4"/>
  <c r="U50" i="4" s="1"/>
  <c r="S97" i="4"/>
  <c r="U97" i="4" s="1"/>
  <c r="S93" i="4"/>
  <c r="U93" i="4" s="1"/>
  <c r="S89" i="4"/>
  <c r="S85" i="4"/>
  <c r="U85" i="4" s="1"/>
  <c r="S81" i="4"/>
  <c r="U81" i="4" s="1"/>
  <c r="S77" i="4"/>
  <c r="U77" i="4" s="1"/>
  <c r="S73" i="4"/>
  <c r="S69" i="4"/>
  <c r="U69" i="4" s="1"/>
  <c r="S65" i="4"/>
  <c r="S61" i="4"/>
  <c r="U61" i="4" s="1"/>
  <c r="S58" i="4"/>
  <c r="U58" i="4" s="1"/>
  <c r="S59" i="4"/>
  <c r="S46" i="4"/>
  <c r="S100" i="4"/>
  <c r="U100" i="4" s="1"/>
  <c r="S96" i="4"/>
  <c r="U96" i="4" s="1"/>
  <c r="S92" i="4"/>
  <c r="U92" i="4" s="1"/>
  <c r="S88" i="4"/>
  <c r="U88" i="4" s="1"/>
  <c r="S84" i="4"/>
  <c r="S80" i="4"/>
  <c r="S76" i="4"/>
  <c r="U76" i="4" s="1"/>
  <c r="S72" i="4"/>
  <c r="U72" i="4" s="1"/>
  <c r="S68" i="4"/>
  <c r="U68" i="4" s="1"/>
  <c r="S64" i="4"/>
  <c r="U64" i="4" s="1"/>
  <c r="S53" i="4"/>
  <c r="S60" i="4"/>
  <c r="S40" i="4"/>
  <c r="S99" i="4"/>
  <c r="S95" i="4"/>
  <c r="S91" i="4"/>
  <c r="S87" i="4"/>
  <c r="S83" i="4"/>
  <c r="U83" i="4" s="1"/>
  <c r="S79" i="4"/>
  <c r="U79" i="4" s="1"/>
  <c r="S75" i="4"/>
  <c r="S71" i="4"/>
  <c r="U71" i="4" s="1"/>
  <c r="S67" i="4"/>
  <c r="U67" i="4" s="1"/>
  <c r="S63" i="4"/>
  <c r="U63" i="4" s="1"/>
  <c r="S48" i="4"/>
  <c r="U48" i="4" s="1"/>
  <c r="S45" i="4"/>
  <c r="S34" i="4"/>
  <c r="U34" i="4" s="1"/>
  <c r="S17" i="4"/>
  <c r="U17" i="4" s="1"/>
  <c r="S24" i="4"/>
  <c r="U24" i="4" s="1"/>
  <c r="S11" i="4"/>
  <c r="U11" i="4" s="1"/>
  <c r="S38" i="4"/>
  <c r="U38" i="4" s="1"/>
  <c r="S4" i="4"/>
  <c r="S51" i="4"/>
  <c r="S7" i="4"/>
  <c r="U7" i="4" s="1"/>
  <c r="S14" i="4"/>
  <c r="S52" i="4"/>
  <c r="S47" i="4"/>
  <c r="U47" i="4" s="1"/>
  <c r="S33" i="4"/>
  <c r="S28" i="4"/>
  <c r="U28" i="4" s="1"/>
  <c r="T3" i="4"/>
  <c r="U3" i="4" s="1"/>
  <c r="F5" i="4"/>
  <c r="E12" i="4"/>
  <c r="G12" i="4" s="1"/>
  <c r="S39" i="4"/>
  <c r="U39" i="4" s="1"/>
  <c r="T42" i="4"/>
  <c r="U42" i="4" s="1"/>
  <c r="T54" i="4"/>
  <c r="U54" i="4" s="1"/>
  <c r="J71" i="7"/>
  <c r="J91" i="7"/>
  <c r="I85" i="7"/>
  <c r="J85" i="7" s="1"/>
  <c r="U27" i="4"/>
  <c r="E51" i="4"/>
  <c r="G51" i="4" s="1"/>
  <c r="F51" i="4"/>
  <c r="T17" i="4"/>
  <c r="E34" i="4"/>
  <c r="G34" i="4" s="1"/>
  <c r="F43" i="4"/>
  <c r="E43" i="4"/>
  <c r="G43" i="4" s="1"/>
  <c r="S44" i="4"/>
  <c r="U44" i="4" s="1"/>
  <c r="F53" i="4"/>
  <c r="E53" i="4"/>
  <c r="I65" i="7"/>
  <c r="J65" i="7" s="1"/>
  <c r="B10" i="6"/>
  <c r="T56" i="4"/>
  <c r="T98" i="4"/>
  <c r="T94" i="4"/>
  <c r="T90" i="4"/>
  <c r="T86" i="4"/>
  <c r="T82" i="4"/>
  <c r="T78" i="4"/>
  <c r="T74" i="4"/>
  <c r="T70" i="4"/>
  <c r="T66" i="4"/>
  <c r="T62" i="4"/>
  <c r="T50" i="4"/>
  <c r="T57" i="4"/>
  <c r="T45" i="4"/>
  <c r="T52" i="4"/>
  <c r="T59" i="4"/>
  <c r="T46" i="4"/>
  <c r="T100" i="4"/>
  <c r="T96" i="4"/>
  <c r="T92" i="4"/>
  <c r="T88" i="4"/>
  <c r="T84" i="4"/>
  <c r="T80" i="4"/>
  <c r="T76" i="4"/>
  <c r="T72" i="4"/>
  <c r="T68" i="4"/>
  <c r="T64" i="4"/>
  <c r="T53" i="4"/>
  <c r="T33" i="4"/>
  <c r="T60" i="4"/>
  <c r="T40" i="4"/>
  <c r="T47" i="4"/>
  <c r="T27" i="4"/>
  <c r="T99" i="4"/>
  <c r="T95" i="4"/>
  <c r="T91" i="4"/>
  <c r="T87" i="4"/>
  <c r="T83" i="4"/>
  <c r="T79" i="4"/>
  <c r="T75" i="4"/>
  <c r="T71" i="4"/>
  <c r="T67" i="4"/>
  <c r="T63" i="4"/>
  <c r="T48" i="4"/>
  <c r="T55" i="4"/>
  <c r="T35" i="4"/>
  <c r="T38" i="4"/>
  <c r="T4" i="4"/>
  <c r="T24" i="4"/>
  <c r="T11" i="4"/>
  <c r="T18" i="4"/>
  <c r="U18" i="4" s="1"/>
  <c r="T97" i="4"/>
  <c r="T81" i="4"/>
  <c r="T73" i="4"/>
  <c r="T65" i="4"/>
  <c r="T89" i="4"/>
  <c r="T14" i="4"/>
  <c r="T44" i="4"/>
  <c r="T32" i="4"/>
  <c r="T21" i="4"/>
  <c r="T58" i="4"/>
  <c r="F12" i="4"/>
  <c r="T39" i="4"/>
  <c r="T10" i="4"/>
  <c r="U10" i="4" s="1"/>
  <c r="F19" i="4"/>
  <c r="F4" i="4"/>
  <c r="B8" i="6" s="1"/>
  <c r="E4" i="4"/>
  <c r="T6" i="4"/>
  <c r="U6" i="4" s="1"/>
  <c r="T30" i="4"/>
  <c r="U30" i="4" s="1"/>
  <c r="I75" i="7"/>
  <c r="J75" i="7" s="1"/>
  <c r="I95" i="7"/>
  <c r="J95" i="7" s="1"/>
  <c r="F97" i="7"/>
  <c r="G97" i="7" s="1"/>
  <c r="I97" i="7" s="1"/>
  <c r="F77" i="7"/>
  <c r="G77" i="7" s="1"/>
  <c r="I77" i="7" s="1"/>
  <c r="F91" i="7"/>
  <c r="G91" i="7" s="1"/>
  <c r="F71" i="7"/>
  <c r="G71" i="7" s="1"/>
  <c r="F96" i="7"/>
  <c r="G96" i="7" s="1"/>
  <c r="I96" i="7" s="1"/>
  <c r="F76" i="7"/>
  <c r="G76" i="7" s="1"/>
  <c r="I76" i="7" s="1"/>
  <c r="F87" i="7"/>
  <c r="G87" i="7" s="1"/>
  <c r="I87" i="7" s="1"/>
  <c r="J87" i="7" s="1"/>
  <c r="F67" i="7"/>
  <c r="G67" i="7" s="1"/>
  <c r="I67" i="7" s="1"/>
  <c r="J67" i="7" s="1"/>
  <c r="J96" i="7"/>
  <c r="T16" i="4"/>
  <c r="U16" i="4" s="1"/>
  <c r="T20" i="4"/>
  <c r="S23" i="4"/>
  <c r="F28" i="4"/>
  <c r="G28" i="4" s="1"/>
  <c r="S35" i="4"/>
  <c r="U35" i="4" s="1"/>
  <c r="F45" i="4"/>
  <c r="G45" i="4" s="1"/>
  <c r="T9" i="4"/>
  <c r="U9" i="4" s="1"/>
  <c r="G37" i="4"/>
  <c r="G40" i="4"/>
  <c r="T41" i="4"/>
  <c r="U41" i="4" s="1"/>
  <c r="J76" i="7"/>
  <c r="L3" i="4"/>
  <c r="L4" i="4" s="1"/>
  <c r="S5" i="4"/>
  <c r="E11" i="4"/>
  <c r="G11" i="4" s="1"/>
  <c r="S12" i="4"/>
  <c r="U12" i="4" s="1"/>
  <c r="F14" i="4"/>
  <c r="E14" i="4"/>
  <c r="T23" i="4"/>
  <c r="S26" i="4"/>
  <c r="S29" i="4"/>
  <c r="S32" i="4"/>
  <c r="U32" i="4" s="1"/>
  <c r="S57" i="4"/>
  <c r="U57" i="4" s="1"/>
  <c r="T5" i="4"/>
  <c r="F7" i="4"/>
  <c r="G7" i="4" s="1"/>
  <c r="T12" i="4"/>
  <c r="S19" i="4"/>
  <c r="U19" i="4" s="1"/>
  <c r="T26" i="4"/>
  <c r="T29" i="4"/>
  <c r="S43" i="4"/>
  <c r="U43" i="4" s="1"/>
  <c r="T51" i="4"/>
  <c r="E17" i="4"/>
  <c r="G17" i="4" s="1"/>
  <c r="T19" i="4"/>
  <c r="E21" i="4"/>
  <c r="F21" i="4"/>
  <c r="F24" i="4"/>
  <c r="E24" i="4"/>
  <c r="G24" i="4" s="1"/>
  <c r="T43" i="4"/>
  <c r="T49" i="4"/>
  <c r="S55" i="4"/>
  <c r="T93" i="4"/>
  <c r="F92" i="7"/>
  <c r="G92" i="7" s="1"/>
  <c r="I92" i="7" s="1"/>
  <c r="J92" i="7" s="1"/>
  <c r="J66" i="7"/>
  <c r="J86" i="7"/>
  <c r="I89" i="7"/>
  <c r="J89" i="7" s="1"/>
  <c r="E38" i="4"/>
  <c r="G38" i="4" s="1"/>
  <c r="G59" i="4"/>
  <c r="G57" i="4"/>
  <c r="J97" i="7"/>
  <c r="I79" i="7"/>
  <c r="J79" i="7" s="1"/>
  <c r="F60" i="4"/>
  <c r="E60" i="4"/>
  <c r="G60" i="4" s="1"/>
  <c r="J77" i="7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G54" i="4"/>
  <c r="F56" i="4"/>
  <c r="E56" i="4"/>
  <c r="G56" i="4" s="1"/>
  <c r="K2" i="4"/>
  <c r="G49" i="4"/>
  <c r="F75" i="7"/>
  <c r="G75" i="7" s="1"/>
  <c r="F95" i="7"/>
  <c r="G95" i="7" s="1"/>
  <c r="F78" i="7"/>
  <c r="G78" i="7" s="1"/>
  <c r="I78" i="7" s="1"/>
  <c r="J78" i="7" s="1"/>
  <c r="F98" i="7"/>
  <c r="G98" i="7" s="1"/>
  <c r="I98" i="7" s="1"/>
  <c r="J98" i="7" s="1"/>
  <c r="E58" i="4"/>
  <c r="F81" i="7"/>
  <c r="G81" i="7" s="1"/>
  <c r="I81" i="7" s="1"/>
  <c r="J81" i="7" s="1"/>
  <c r="F58" i="4"/>
  <c r="D61" i="7"/>
  <c r="F64" i="7"/>
  <c r="G64" i="7" s="1"/>
  <c r="I64" i="7" s="1"/>
  <c r="J64" i="7" s="1"/>
  <c r="F84" i="7"/>
  <c r="G84" i="7" s="1"/>
  <c r="I84" i="7" s="1"/>
  <c r="J84" i="7" s="1"/>
  <c r="B16" i="6"/>
  <c r="F70" i="7"/>
  <c r="G70" i="7" s="1"/>
  <c r="I70" i="7" s="1"/>
  <c r="J70" i="7" s="1"/>
  <c r="F90" i="7"/>
  <c r="G90" i="7" s="1"/>
  <c r="F73" i="7"/>
  <c r="G73" i="7" s="1"/>
  <c r="I73" i="7" s="1"/>
  <c r="J73" i="7" s="1"/>
  <c r="F93" i="7"/>
  <c r="G93" i="7" s="1"/>
  <c r="I93" i="7" s="1"/>
  <c r="J93" i="7" s="1"/>
  <c r="F79" i="7"/>
  <c r="G79" i="7" s="1"/>
  <c r="I90" i="7"/>
  <c r="J90" i="7" s="1"/>
  <c r="F99" i="7"/>
  <c r="G99" i="7" s="1"/>
  <c r="I99" i="7" s="1"/>
  <c r="J99" i="7" s="1"/>
  <c r="F62" i="7"/>
  <c r="F82" i="7"/>
  <c r="G82" i="7" s="1"/>
  <c r="I82" i="7" s="1"/>
  <c r="J82" i="7" s="1"/>
  <c r="B22" i="6"/>
  <c r="S80" i="5" s="1"/>
  <c r="F65" i="7"/>
  <c r="G65" i="7" s="1"/>
  <c r="F85" i="7"/>
  <c r="G85" i="7" s="1"/>
  <c r="E55" i="4"/>
  <c r="G55" i="4" s="1"/>
  <c r="F68" i="7"/>
  <c r="G68" i="7" s="1"/>
  <c r="I68" i="7" s="1"/>
  <c r="J68" i="7" s="1"/>
  <c r="F88" i="7"/>
  <c r="G88" i="7" s="1"/>
  <c r="I88" i="7" s="1"/>
  <c r="B5" i="6"/>
  <c r="F74" i="7"/>
  <c r="G74" i="7" s="1"/>
  <c r="F94" i="7"/>
  <c r="G94" i="7" s="1"/>
  <c r="I94" i="7" s="1"/>
  <c r="J94" i="7" s="1"/>
  <c r="M14" i="7"/>
  <c r="D19" i="7"/>
  <c r="D24" i="7"/>
  <c r="D29" i="7"/>
  <c r="D34" i="7"/>
  <c r="D39" i="7"/>
  <c r="D44" i="7"/>
  <c r="D49" i="7"/>
  <c r="D54" i="7"/>
  <c r="D59" i="7"/>
  <c r="I71" i="7"/>
  <c r="F80" i="7"/>
  <c r="G80" i="7" s="1"/>
  <c r="I91" i="7"/>
  <c r="F100" i="7"/>
  <c r="F63" i="7"/>
  <c r="G63" i="7" s="1"/>
  <c r="I63" i="7" s="1"/>
  <c r="J63" i="7" s="1"/>
  <c r="I74" i="7"/>
  <c r="J74" i="7" s="1"/>
  <c r="F83" i="7"/>
  <c r="G83" i="7" s="1"/>
  <c r="I83" i="7" s="1"/>
  <c r="J83" i="7" s="1"/>
  <c r="D3" i="7"/>
  <c r="F66" i="7"/>
  <c r="G66" i="7" s="1"/>
  <c r="I66" i="7" s="1"/>
  <c r="F86" i="7"/>
  <c r="G86" i="7" s="1"/>
  <c r="I86" i="7" s="1"/>
  <c r="F69" i="7"/>
  <c r="G69" i="7" s="1"/>
  <c r="I69" i="7" s="1"/>
  <c r="J69" i="7" s="1"/>
  <c r="I80" i="7"/>
  <c r="J80" i="7" s="1"/>
  <c r="F89" i="7"/>
  <c r="G89" i="7" s="1"/>
  <c r="M15" i="7"/>
  <c r="F72" i="7"/>
  <c r="G72" i="7" s="1"/>
  <c r="I72" i="7" s="1"/>
  <c r="J72" i="7" s="1"/>
  <c r="S88" i="5" l="1"/>
  <c r="S84" i="5"/>
  <c r="M7" i="7"/>
  <c r="M9" i="7"/>
  <c r="M8" i="7"/>
  <c r="U59" i="4"/>
  <c r="S71" i="5"/>
  <c r="U51" i="4"/>
  <c r="U60" i="4"/>
  <c r="S96" i="5"/>
  <c r="S86" i="5"/>
  <c r="S76" i="5"/>
  <c r="S66" i="5"/>
  <c r="S92" i="5"/>
  <c r="S82" i="5"/>
  <c r="S72" i="5"/>
  <c r="S62" i="5"/>
  <c r="S79" i="5"/>
  <c r="S99" i="5"/>
  <c r="S69" i="5"/>
  <c r="S89" i="5"/>
  <c r="M10" i="7"/>
  <c r="G62" i="7"/>
  <c r="I62" i="7" s="1"/>
  <c r="S87" i="5"/>
  <c r="U5" i="4"/>
  <c r="S95" i="5"/>
  <c r="U40" i="4"/>
  <c r="S98" i="5"/>
  <c r="S94" i="5"/>
  <c r="U4" i="4"/>
  <c r="U53" i="4"/>
  <c r="U89" i="4"/>
  <c r="B7" i="6"/>
  <c r="B9" i="6" s="1"/>
  <c r="B11" i="6" s="1"/>
  <c r="G21" i="4"/>
  <c r="U29" i="4"/>
  <c r="U80" i="4"/>
  <c r="U62" i="4"/>
  <c r="S78" i="5"/>
  <c r="E99" i="5"/>
  <c r="E89" i="5"/>
  <c r="E79" i="5"/>
  <c r="E69" i="5"/>
  <c r="E44" i="5"/>
  <c r="E24" i="5"/>
  <c r="E4" i="5"/>
  <c r="E57" i="5"/>
  <c r="E37" i="5"/>
  <c r="E17" i="5"/>
  <c r="E100" i="5"/>
  <c r="E90" i="5"/>
  <c r="E80" i="5"/>
  <c r="E70" i="5"/>
  <c r="E50" i="5"/>
  <c r="E30" i="5"/>
  <c r="E10" i="5"/>
  <c r="E43" i="5"/>
  <c r="E23" i="5"/>
  <c r="E3" i="5"/>
  <c r="E91" i="5"/>
  <c r="E81" i="5"/>
  <c r="E71" i="5"/>
  <c r="E56" i="5"/>
  <c r="E36" i="5"/>
  <c r="E16" i="5"/>
  <c r="E55" i="5"/>
  <c r="E35" i="5"/>
  <c r="E15" i="5"/>
  <c r="E93" i="5"/>
  <c r="E83" i="5"/>
  <c r="E73" i="5"/>
  <c r="E63" i="5"/>
  <c r="E48" i="5"/>
  <c r="E28" i="5"/>
  <c r="E8" i="5"/>
  <c r="E61" i="5"/>
  <c r="E41" i="5"/>
  <c r="E21" i="5"/>
  <c r="E94" i="5"/>
  <c r="E84" i="5"/>
  <c r="E74" i="5"/>
  <c r="E64" i="5"/>
  <c r="E54" i="5"/>
  <c r="E34" i="5"/>
  <c r="E14" i="5"/>
  <c r="E47" i="5"/>
  <c r="E27" i="5"/>
  <c r="E7" i="5"/>
  <c r="E95" i="5"/>
  <c r="E85" i="5"/>
  <c r="E75" i="5"/>
  <c r="E65" i="5"/>
  <c r="E60" i="5"/>
  <c r="E40" i="5"/>
  <c r="E20" i="5"/>
  <c r="E53" i="5"/>
  <c r="E33" i="5"/>
  <c r="E13" i="5"/>
  <c r="E96" i="5"/>
  <c r="E86" i="5"/>
  <c r="E76" i="5"/>
  <c r="E66" i="5"/>
  <c r="E46" i="5"/>
  <c r="E26" i="5"/>
  <c r="E6" i="5"/>
  <c r="E59" i="5"/>
  <c r="E39" i="5"/>
  <c r="E19" i="5"/>
  <c r="E97" i="5"/>
  <c r="E87" i="5"/>
  <c r="E77" i="5"/>
  <c r="E67" i="5"/>
  <c r="E52" i="5"/>
  <c r="E32" i="5"/>
  <c r="E12" i="5"/>
  <c r="E45" i="5"/>
  <c r="E25" i="5"/>
  <c r="E5" i="5"/>
  <c r="E98" i="5"/>
  <c r="E88" i="5"/>
  <c r="E78" i="5"/>
  <c r="E68" i="5"/>
  <c r="E58" i="5"/>
  <c r="E38" i="5"/>
  <c r="E18" i="5"/>
  <c r="E51" i="5"/>
  <c r="E31" i="5"/>
  <c r="E11" i="5"/>
  <c r="E42" i="5"/>
  <c r="E72" i="5"/>
  <c r="E22" i="5"/>
  <c r="E9" i="5"/>
  <c r="E82" i="5"/>
  <c r="E2" i="5"/>
  <c r="E49" i="5"/>
  <c r="E29" i="5"/>
  <c r="E92" i="5"/>
  <c r="E62" i="5"/>
  <c r="S68" i="5"/>
  <c r="S64" i="5"/>
  <c r="U26" i="4"/>
  <c r="G53" i="4"/>
  <c r="U45" i="4"/>
  <c r="U84" i="4"/>
  <c r="U66" i="4"/>
  <c r="G9" i="4"/>
  <c r="S93" i="5"/>
  <c r="U82" i="4"/>
  <c r="S81" i="5"/>
  <c r="S97" i="5"/>
  <c r="G14" i="4"/>
  <c r="G4" i="4"/>
  <c r="U75" i="4"/>
  <c r="U46" i="4"/>
  <c r="U86" i="4"/>
  <c r="S74" i="5"/>
  <c r="S75" i="5"/>
  <c r="S100" i="5"/>
  <c r="S63" i="5"/>
  <c r="G58" i="4"/>
  <c r="U33" i="4"/>
  <c r="U87" i="4"/>
  <c r="U98" i="4"/>
  <c r="S85" i="5"/>
  <c r="M11" i="7"/>
  <c r="G100" i="7"/>
  <c r="I100" i="7" s="1"/>
  <c r="J100" i="7" s="1"/>
  <c r="S65" i="5"/>
  <c r="S83" i="5"/>
  <c r="S77" i="5"/>
  <c r="S90" i="5"/>
  <c r="U55" i="4"/>
  <c r="U91" i="4"/>
  <c r="U65" i="4"/>
  <c r="G27" i="4"/>
  <c r="S91" i="5"/>
  <c r="U23" i="4"/>
  <c r="S73" i="5"/>
  <c r="U52" i="4"/>
  <c r="U95" i="4"/>
  <c r="U49" i="4"/>
  <c r="S67" i="5"/>
  <c r="S70" i="5"/>
  <c r="U14" i="4"/>
  <c r="U99" i="4"/>
  <c r="U73" i="4"/>
  <c r="O84" i="5" l="1"/>
  <c r="P84" i="5" s="1"/>
  <c r="L84" i="5"/>
  <c r="N84" i="5" s="1"/>
  <c r="K84" i="5"/>
  <c r="M84" i="5" s="1"/>
  <c r="H84" i="5"/>
  <c r="G84" i="5"/>
  <c r="F84" i="5"/>
  <c r="Q84" i="5"/>
  <c r="R84" i="5"/>
  <c r="K92" i="5"/>
  <c r="M92" i="5" s="1"/>
  <c r="H92" i="5"/>
  <c r="G92" i="5"/>
  <c r="L92" i="5"/>
  <c r="N92" i="5" s="1"/>
  <c r="F92" i="5"/>
  <c r="Q92" i="5"/>
  <c r="O92" i="5"/>
  <c r="P92" i="5" s="1"/>
  <c r="R92" i="5"/>
  <c r="G70" i="5"/>
  <c r="F70" i="5"/>
  <c r="Q70" i="5"/>
  <c r="O70" i="5"/>
  <c r="P70" i="5" s="1"/>
  <c r="L70" i="5"/>
  <c r="N70" i="5" s="1"/>
  <c r="K70" i="5"/>
  <c r="M70" i="5" s="1"/>
  <c r="H70" i="5"/>
  <c r="R70" i="5"/>
  <c r="H91" i="5"/>
  <c r="G91" i="5"/>
  <c r="F91" i="5"/>
  <c r="L91" i="5"/>
  <c r="N91" i="5" s="1"/>
  <c r="K91" i="5"/>
  <c r="M91" i="5" s="1"/>
  <c r="O91" i="5"/>
  <c r="P91" i="5" s="1"/>
  <c r="Q91" i="5"/>
  <c r="R91" i="5"/>
  <c r="K82" i="5"/>
  <c r="M82" i="5" s="1"/>
  <c r="H82" i="5"/>
  <c r="G82" i="5"/>
  <c r="L82" i="5"/>
  <c r="N82" i="5" s="1"/>
  <c r="F82" i="5"/>
  <c r="R82" i="5"/>
  <c r="O82" i="5"/>
  <c r="P82" i="5" s="1"/>
  <c r="Q82" i="5"/>
  <c r="R67" i="5"/>
  <c r="Q67" i="5"/>
  <c r="L67" i="5"/>
  <c r="N67" i="5" s="1"/>
  <c r="K67" i="5"/>
  <c r="M67" i="5" s="1"/>
  <c r="H67" i="5"/>
  <c r="G67" i="5"/>
  <c r="F67" i="5"/>
  <c r="O67" i="5"/>
  <c r="P67" i="5" s="1"/>
  <c r="Q65" i="5"/>
  <c r="H65" i="5"/>
  <c r="G65" i="5"/>
  <c r="F65" i="5"/>
  <c r="R65" i="5"/>
  <c r="L65" i="5"/>
  <c r="N65" i="5" s="1"/>
  <c r="K65" i="5"/>
  <c r="M65" i="5" s="1"/>
  <c r="O65" i="5"/>
  <c r="P65" i="5" s="1"/>
  <c r="L63" i="5"/>
  <c r="N63" i="5" s="1"/>
  <c r="K63" i="5"/>
  <c r="M63" i="5" s="1"/>
  <c r="F63" i="5"/>
  <c r="R63" i="5"/>
  <c r="G63" i="5"/>
  <c r="H63" i="5"/>
  <c r="O63" i="5"/>
  <c r="P63" i="5" s="1"/>
  <c r="Q63" i="5"/>
  <c r="G80" i="5"/>
  <c r="F80" i="5"/>
  <c r="Q80" i="5"/>
  <c r="O80" i="5"/>
  <c r="P80" i="5" s="1"/>
  <c r="L80" i="5"/>
  <c r="N80" i="5" s="1"/>
  <c r="K80" i="5"/>
  <c r="M80" i="5" s="1"/>
  <c r="H80" i="5"/>
  <c r="R80" i="5"/>
  <c r="G90" i="5"/>
  <c r="F90" i="5"/>
  <c r="Q90" i="5"/>
  <c r="O90" i="5"/>
  <c r="P90" i="5" s="1"/>
  <c r="L90" i="5"/>
  <c r="N90" i="5" s="1"/>
  <c r="K90" i="5"/>
  <c r="M90" i="5" s="1"/>
  <c r="H90" i="5"/>
  <c r="R90" i="5"/>
  <c r="R99" i="5"/>
  <c r="L99" i="5"/>
  <c r="N99" i="5" s="1"/>
  <c r="K99" i="5"/>
  <c r="M99" i="5" s="1"/>
  <c r="H99" i="5"/>
  <c r="G99" i="5"/>
  <c r="F99" i="5"/>
  <c r="O99" i="5"/>
  <c r="P99" i="5" s="1"/>
  <c r="Q99" i="5"/>
  <c r="L98" i="5"/>
  <c r="N98" i="5" s="1"/>
  <c r="K98" i="5"/>
  <c r="M98" i="5" s="1"/>
  <c r="H98" i="5"/>
  <c r="G98" i="5"/>
  <c r="F98" i="5"/>
  <c r="Q98" i="5"/>
  <c r="R98" i="5"/>
  <c r="O98" i="5"/>
  <c r="P98" i="5" s="1"/>
  <c r="K72" i="5"/>
  <c r="M72" i="5" s="1"/>
  <c r="H72" i="5"/>
  <c r="G72" i="5"/>
  <c r="L72" i="5"/>
  <c r="N72" i="5" s="1"/>
  <c r="F72" i="5"/>
  <c r="O72" i="5"/>
  <c r="P72" i="5" s="1"/>
  <c r="Q72" i="5"/>
  <c r="R72" i="5"/>
  <c r="L86" i="5"/>
  <c r="N86" i="5" s="1"/>
  <c r="K86" i="5"/>
  <c r="M86" i="5" s="1"/>
  <c r="H86" i="5"/>
  <c r="G86" i="5"/>
  <c r="F86" i="5"/>
  <c r="Q86" i="5"/>
  <c r="R86" i="5"/>
  <c r="O86" i="5"/>
  <c r="P86" i="5" s="1"/>
  <c r="O94" i="5"/>
  <c r="P94" i="5" s="1"/>
  <c r="L94" i="5"/>
  <c r="N94" i="5" s="1"/>
  <c r="K94" i="5"/>
  <c r="M94" i="5" s="1"/>
  <c r="H94" i="5"/>
  <c r="G94" i="5"/>
  <c r="F94" i="5"/>
  <c r="R94" i="5"/>
  <c r="Q94" i="5"/>
  <c r="I91" i="5"/>
  <c r="I81" i="5"/>
  <c r="I71" i="5"/>
  <c r="K62" i="5"/>
  <c r="M62" i="5" s="1"/>
  <c r="I92" i="5"/>
  <c r="I82" i="5"/>
  <c r="I72" i="5"/>
  <c r="I62" i="5"/>
  <c r="H62" i="5"/>
  <c r="I93" i="5"/>
  <c r="I83" i="5"/>
  <c r="I73" i="5"/>
  <c r="I63" i="5"/>
  <c r="G62" i="5"/>
  <c r="B23" i="6"/>
  <c r="I95" i="5"/>
  <c r="I85" i="5"/>
  <c r="I75" i="5"/>
  <c r="I65" i="5"/>
  <c r="B21" i="6"/>
  <c r="I96" i="5"/>
  <c r="I86" i="5"/>
  <c r="I76" i="5"/>
  <c r="I66" i="5"/>
  <c r="I97" i="5"/>
  <c r="I87" i="5"/>
  <c r="I77" i="5"/>
  <c r="I67" i="5"/>
  <c r="I98" i="5"/>
  <c r="I88" i="5"/>
  <c r="I78" i="5"/>
  <c r="I68" i="5"/>
  <c r="B15" i="6"/>
  <c r="I99" i="5"/>
  <c r="I89" i="5"/>
  <c r="I79" i="5"/>
  <c r="I69" i="5"/>
  <c r="I100" i="5"/>
  <c r="I90" i="5"/>
  <c r="I80" i="5"/>
  <c r="I70" i="5"/>
  <c r="L62" i="5"/>
  <c r="N62" i="5" s="1"/>
  <c r="I74" i="5"/>
  <c r="I94" i="5"/>
  <c r="I64" i="5"/>
  <c r="I84" i="5"/>
  <c r="F62" i="5"/>
  <c r="Q62" i="5"/>
  <c r="O62" i="5"/>
  <c r="R62" i="5"/>
  <c r="G100" i="5"/>
  <c r="F100" i="5"/>
  <c r="B24" i="6"/>
  <c r="Q100" i="5"/>
  <c r="O100" i="5"/>
  <c r="P100" i="5" s="1"/>
  <c r="L100" i="5"/>
  <c r="N100" i="5" s="1"/>
  <c r="K100" i="5"/>
  <c r="M100" i="5" s="1"/>
  <c r="H100" i="5"/>
  <c r="R100" i="5"/>
  <c r="B14" i="6"/>
  <c r="B13" i="6"/>
  <c r="Q75" i="5"/>
  <c r="H75" i="5"/>
  <c r="G75" i="5"/>
  <c r="F75" i="5"/>
  <c r="R75" i="5"/>
  <c r="L75" i="5"/>
  <c r="N75" i="5" s="1"/>
  <c r="K75" i="5"/>
  <c r="M75" i="5" s="1"/>
  <c r="O75" i="5"/>
  <c r="P75" i="5" s="1"/>
  <c r="L73" i="5"/>
  <c r="N73" i="5" s="1"/>
  <c r="K73" i="5"/>
  <c r="M73" i="5" s="1"/>
  <c r="F73" i="5"/>
  <c r="R73" i="5"/>
  <c r="H73" i="5"/>
  <c r="G73" i="5"/>
  <c r="Q73" i="5"/>
  <c r="O73" i="5"/>
  <c r="P73" i="5" s="1"/>
  <c r="Q85" i="5"/>
  <c r="H85" i="5"/>
  <c r="G85" i="5"/>
  <c r="F85" i="5"/>
  <c r="R85" i="5"/>
  <c r="K85" i="5"/>
  <c r="M85" i="5" s="1"/>
  <c r="L85" i="5"/>
  <c r="N85" i="5" s="1"/>
  <c r="O85" i="5"/>
  <c r="P85" i="5" s="1"/>
  <c r="R97" i="5"/>
  <c r="Q97" i="5"/>
  <c r="L97" i="5"/>
  <c r="N97" i="5" s="1"/>
  <c r="K97" i="5"/>
  <c r="M97" i="5" s="1"/>
  <c r="H97" i="5"/>
  <c r="G97" i="5"/>
  <c r="F97" i="5"/>
  <c r="O97" i="5"/>
  <c r="P97" i="5" s="1"/>
  <c r="L93" i="5"/>
  <c r="N93" i="5" s="1"/>
  <c r="K93" i="5"/>
  <c r="M93" i="5" s="1"/>
  <c r="F93" i="5"/>
  <c r="R93" i="5"/>
  <c r="G93" i="5"/>
  <c r="H93" i="5"/>
  <c r="Q93" i="5"/>
  <c r="O93" i="5"/>
  <c r="P93" i="5" s="1"/>
  <c r="J62" i="7"/>
  <c r="M13" i="7"/>
  <c r="M12" i="7"/>
  <c r="R69" i="5"/>
  <c r="L69" i="5"/>
  <c r="N69" i="5" s="1"/>
  <c r="K69" i="5"/>
  <c r="M69" i="5" s="1"/>
  <c r="H69" i="5"/>
  <c r="G69" i="5"/>
  <c r="F69" i="5"/>
  <c r="O69" i="5"/>
  <c r="P69" i="5" s="1"/>
  <c r="Q69" i="5"/>
  <c r="R79" i="5"/>
  <c r="L79" i="5"/>
  <c r="N79" i="5" s="1"/>
  <c r="K79" i="5"/>
  <c r="M79" i="5" s="1"/>
  <c r="H79" i="5"/>
  <c r="G79" i="5"/>
  <c r="F79" i="5"/>
  <c r="Q79" i="5"/>
  <c r="O79" i="5"/>
  <c r="P79" i="5" s="1"/>
  <c r="L88" i="5"/>
  <c r="N88" i="5" s="1"/>
  <c r="K88" i="5"/>
  <c r="M88" i="5" s="1"/>
  <c r="H88" i="5"/>
  <c r="G88" i="5"/>
  <c r="F88" i="5"/>
  <c r="Q88" i="5"/>
  <c r="R88" i="5"/>
  <c r="O88" i="5"/>
  <c r="P88" i="5" s="1"/>
  <c r="L96" i="5"/>
  <c r="N96" i="5" s="1"/>
  <c r="K96" i="5"/>
  <c r="M96" i="5" s="1"/>
  <c r="H96" i="5"/>
  <c r="G96" i="5"/>
  <c r="F96" i="5"/>
  <c r="O96" i="5"/>
  <c r="P96" i="5" s="1"/>
  <c r="Q96" i="5"/>
  <c r="R96" i="5"/>
  <c r="R77" i="5"/>
  <c r="Q77" i="5"/>
  <c r="L77" i="5"/>
  <c r="N77" i="5" s="1"/>
  <c r="K77" i="5"/>
  <c r="M77" i="5" s="1"/>
  <c r="H77" i="5"/>
  <c r="G77" i="5"/>
  <c r="F77" i="5"/>
  <c r="O77" i="5"/>
  <c r="P77" i="5" s="1"/>
  <c r="R87" i="5"/>
  <c r="Q87" i="5"/>
  <c r="L87" i="5"/>
  <c r="N87" i="5" s="1"/>
  <c r="K87" i="5"/>
  <c r="M87" i="5" s="1"/>
  <c r="H87" i="5"/>
  <c r="G87" i="5"/>
  <c r="F87" i="5"/>
  <c r="O87" i="5"/>
  <c r="P87" i="5" s="1"/>
  <c r="L83" i="5"/>
  <c r="N83" i="5" s="1"/>
  <c r="K83" i="5"/>
  <c r="M83" i="5" s="1"/>
  <c r="F83" i="5"/>
  <c r="R83" i="5"/>
  <c r="G83" i="5"/>
  <c r="H83" i="5"/>
  <c r="O83" i="5"/>
  <c r="P83" i="5" s="1"/>
  <c r="Q83" i="5"/>
  <c r="Q95" i="5"/>
  <c r="H95" i="5"/>
  <c r="G95" i="5"/>
  <c r="F95" i="5"/>
  <c r="R95" i="5"/>
  <c r="L95" i="5"/>
  <c r="N95" i="5" s="1"/>
  <c r="K95" i="5"/>
  <c r="M95" i="5" s="1"/>
  <c r="O95" i="5"/>
  <c r="P95" i="5" s="1"/>
  <c r="L68" i="5"/>
  <c r="N68" i="5" s="1"/>
  <c r="K68" i="5"/>
  <c r="M68" i="5" s="1"/>
  <c r="H68" i="5"/>
  <c r="G68" i="5"/>
  <c r="F68" i="5"/>
  <c r="Q68" i="5"/>
  <c r="R68" i="5"/>
  <c r="O68" i="5"/>
  <c r="P68" i="5" s="1"/>
  <c r="L66" i="5"/>
  <c r="N66" i="5" s="1"/>
  <c r="K66" i="5"/>
  <c r="M66" i="5" s="1"/>
  <c r="H66" i="5"/>
  <c r="G66" i="5"/>
  <c r="F66" i="5"/>
  <c r="O66" i="5"/>
  <c r="P66" i="5" s="1"/>
  <c r="R66" i="5"/>
  <c r="Q66" i="5"/>
  <c r="O64" i="5"/>
  <c r="P64" i="5" s="1"/>
  <c r="L64" i="5"/>
  <c r="N64" i="5" s="1"/>
  <c r="K64" i="5"/>
  <c r="M64" i="5" s="1"/>
  <c r="H64" i="5"/>
  <c r="G64" i="5"/>
  <c r="F64" i="5"/>
  <c r="Q64" i="5"/>
  <c r="R64" i="5"/>
  <c r="H71" i="5"/>
  <c r="G71" i="5"/>
  <c r="F71" i="5"/>
  <c r="L71" i="5"/>
  <c r="N71" i="5" s="1"/>
  <c r="K71" i="5"/>
  <c r="M71" i="5" s="1"/>
  <c r="Q71" i="5"/>
  <c r="O71" i="5"/>
  <c r="P71" i="5" s="1"/>
  <c r="R71" i="5"/>
  <c r="L78" i="5"/>
  <c r="N78" i="5" s="1"/>
  <c r="K78" i="5"/>
  <c r="M78" i="5" s="1"/>
  <c r="H78" i="5"/>
  <c r="G78" i="5"/>
  <c r="F78" i="5"/>
  <c r="R78" i="5"/>
  <c r="Q78" i="5"/>
  <c r="O78" i="5"/>
  <c r="P78" i="5" s="1"/>
  <c r="L76" i="5"/>
  <c r="N76" i="5" s="1"/>
  <c r="K76" i="5"/>
  <c r="M76" i="5" s="1"/>
  <c r="H76" i="5"/>
  <c r="G76" i="5"/>
  <c r="F76" i="5"/>
  <c r="R76" i="5"/>
  <c r="O76" i="5"/>
  <c r="P76" i="5" s="1"/>
  <c r="Q76" i="5"/>
  <c r="O74" i="5"/>
  <c r="P74" i="5" s="1"/>
  <c r="L74" i="5"/>
  <c r="N74" i="5" s="1"/>
  <c r="K74" i="5"/>
  <c r="M74" i="5" s="1"/>
  <c r="H74" i="5"/>
  <c r="G74" i="5"/>
  <c r="F74" i="5"/>
  <c r="Q74" i="5"/>
  <c r="R74" i="5"/>
  <c r="H81" i="5"/>
  <c r="G81" i="5"/>
  <c r="F81" i="5"/>
  <c r="L81" i="5"/>
  <c r="N81" i="5" s="1"/>
  <c r="K81" i="5"/>
  <c r="M81" i="5" s="1"/>
  <c r="R81" i="5"/>
  <c r="O81" i="5"/>
  <c r="P81" i="5" s="1"/>
  <c r="Q81" i="5"/>
  <c r="R89" i="5"/>
  <c r="L89" i="5"/>
  <c r="N89" i="5" s="1"/>
  <c r="K89" i="5"/>
  <c r="M89" i="5" s="1"/>
  <c r="H89" i="5"/>
  <c r="G89" i="5"/>
  <c r="F89" i="5"/>
  <c r="O89" i="5"/>
  <c r="P89" i="5" s="1"/>
  <c r="Q89" i="5"/>
  <c r="J69" i="5" l="1"/>
  <c r="T69" i="5"/>
  <c r="J75" i="5"/>
  <c r="T75" i="5"/>
  <c r="J85" i="5"/>
  <c r="T85" i="5"/>
  <c r="T68" i="5"/>
  <c r="J68" i="5"/>
  <c r="J73" i="5"/>
  <c r="T73" i="5"/>
  <c r="T78" i="5"/>
  <c r="J78" i="5"/>
  <c r="T90" i="5"/>
  <c r="J90" i="5"/>
  <c r="J95" i="5"/>
  <c r="T95" i="5"/>
  <c r="J99" i="5"/>
  <c r="T99" i="5"/>
  <c r="J65" i="5"/>
  <c r="T65" i="5"/>
  <c r="J79" i="5"/>
  <c r="T79" i="5"/>
  <c r="J63" i="5"/>
  <c r="T63" i="5"/>
  <c r="J83" i="5"/>
  <c r="T83" i="5"/>
  <c r="B20" i="6"/>
  <c r="T88" i="5"/>
  <c r="J88" i="5"/>
  <c r="J93" i="5"/>
  <c r="T93" i="5"/>
  <c r="B17" i="6"/>
  <c r="P62" i="5"/>
  <c r="B19" i="6"/>
  <c r="T98" i="5"/>
  <c r="J98" i="5"/>
  <c r="T100" i="5"/>
  <c r="J100" i="5"/>
  <c r="B18" i="6"/>
  <c r="T67" i="5"/>
  <c r="J67" i="5"/>
  <c r="J62" i="5"/>
  <c r="T62" i="5"/>
  <c r="T77" i="5"/>
  <c r="J77" i="5"/>
  <c r="J72" i="5"/>
  <c r="T72" i="5"/>
  <c r="T84" i="5"/>
  <c r="J84" i="5"/>
  <c r="T87" i="5"/>
  <c r="J87" i="5"/>
  <c r="J82" i="5"/>
  <c r="T82" i="5"/>
  <c r="T64" i="5"/>
  <c r="J64" i="5"/>
  <c r="T97" i="5"/>
  <c r="J97" i="5"/>
  <c r="J92" i="5"/>
  <c r="T92" i="5"/>
  <c r="T94" i="5"/>
  <c r="J94" i="5"/>
  <c r="J66" i="5"/>
  <c r="T66" i="5"/>
  <c r="J89" i="5"/>
  <c r="T89" i="5"/>
  <c r="T74" i="5"/>
  <c r="J74" i="5"/>
  <c r="J76" i="5"/>
  <c r="T76" i="5"/>
  <c r="T71" i="5"/>
  <c r="J71" i="5"/>
  <c r="T80" i="5"/>
  <c r="J80" i="5"/>
  <c r="J86" i="5"/>
  <c r="T86" i="5"/>
  <c r="T81" i="5"/>
  <c r="J81" i="5"/>
  <c r="T70" i="5"/>
  <c r="J70" i="5"/>
  <c r="J96" i="5"/>
  <c r="T96" i="5"/>
  <c r="T91" i="5"/>
  <c r="J91" i="5"/>
</calcChain>
</file>

<file path=xl/sharedStrings.xml><?xml version="1.0" encoding="utf-8"?>
<sst xmlns="http://schemas.openxmlformats.org/spreadsheetml/2006/main" count="8521" uniqueCount="1252">
  <si>
    <t>javax.faces.component.UIPanel@7d089a51</t>
  </si>
  <si>
    <t>State</t>
  </si>
  <si>
    <t>Covered Entity Type</t>
  </si>
  <si>
    <t>Individuals Affected</t>
  </si>
  <si>
    <t>Breach Submission Date</t>
  </si>
  <si>
    <t>Type of Breach</t>
  </si>
  <si>
    <t>Location of Breached Information</t>
  </si>
  <si>
    <t>javax.faces.component.UIPanel@4427ba5</t>
  </si>
  <si>
    <t>Web Description</t>
  </si>
  <si>
    <t>Integrative Emergency Services, LLC</t>
  </si>
  <si>
    <t>TX</t>
  </si>
  <si>
    <t>Business Associate</t>
  </si>
  <si>
    <t>08/14/2026</t>
  </si>
  <si>
    <t>Hacking/IT Incident</t>
  </si>
  <si>
    <t>Email</t>
  </si>
  <si>
    <t>Yes</t>
  </si>
  <si>
    <t>14</t>
  </si>
  <si>
    <t>Mountain Rheumatology Professional, LLC</t>
  </si>
  <si>
    <t>CO</t>
  </si>
  <si>
    <t>Healthcare Provider</t>
  </si>
  <si>
    <t>Network Server</t>
  </si>
  <si>
    <t>No</t>
  </si>
  <si>
    <t xml:space="preserve">Baylor Genetics </t>
  </si>
  <si>
    <t>Deseye, PLLC d/b/a Princeton Family Eye Care</t>
  </si>
  <si>
    <t>08/07/2026</t>
  </si>
  <si>
    <t>Indico Data Solutions, Inc.</t>
  </si>
  <si>
    <t>MA</t>
  </si>
  <si>
    <t>Horizon Eye Care Laser &amp; Eye Surgery Center</t>
  </si>
  <si>
    <t>NJ</t>
  </si>
  <si>
    <t>NFI North, Inc.</t>
  </si>
  <si>
    <t>NH</t>
  </si>
  <si>
    <t>08/05/2026</t>
  </si>
  <si>
    <t xml:space="preserve">PAMCAH-UA Local 675 Health and Welfare Fund </t>
  </si>
  <si>
    <t>HI</t>
  </si>
  <si>
    <t>Health Plan</t>
  </si>
  <si>
    <t>08/03/2026</t>
  </si>
  <si>
    <t>Interim HealthCare of Oklahoma City, Inc.</t>
  </si>
  <si>
    <t>OK</t>
  </si>
  <si>
    <t>07/31/2026</t>
  </si>
  <si>
    <t>Email, Network Server</t>
  </si>
  <si>
    <t>Manning Regional Healthcare Center</t>
  </si>
  <si>
    <t>IA</t>
  </si>
  <si>
    <t>Aesto, LLC</t>
  </si>
  <si>
    <t>AL</t>
  </si>
  <si>
    <t xml:space="preserve">Monongalia County General Hospital Company </t>
  </si>
  <si>
    <t>WV</t>
  </si>
  <si>
    <t>Asheville US Seventy NC Opco LLC d/b/a Swannanoa Valley Health and Rehabilitation</t>
  </si>
  <si>
    <t>NC</t>
  </si>
  <si>
    <t>Desktop Computer, Network Server</t>
  </si>
  <si>
    <t>Asheville Victoria NC Opco LLC d/b/a Elevate Health &amp; Rehabilitation</t>
  </si>
  <si>
    <t>Asheville Beaverdam NC Opco LLC d/b/a Bear Mountain Health and Rehabilitation</t>
  </si>
  <si>
    <t>Electronic Medical Record, Network Server</t>
  </si>
  <si>
    <t>MPS Enterprises, Inc.</t>
  </si>
  <si>
    <t>07/30/2026</t>
  </si>
  <si>
    <t>Pennsylvanie Dermatology Partners</t>
  </si>
  <si>
    <t>MD</t>
  </si>
  <si>
    <t>Nephrology Associates, M.D., P.A.</t>
  </si>
  <si>
    <t>KS</t>
  </si>
  <si>
    <t>07/29/2026</t>
  </si>
  <si>
    <t>Associated Endocrinologists</t>
  </si>
  <si>
    <t>MI</t>
  </si>
  <si>
    <t>Central Texas Oral Health</t>
  </si>
  <si>
    <t>Desktop Computer, Email</t>
  </si>
  <si>
    <t>Quantum Health</t>
  </si>
  <si>
    <t>OH</t>
  </si>
  <si>
    <t>TennCare</t>
  </si>
  <si>
    <t>TN</t>
  </si>
  <si>
    <t>07/27/2026</t>
  </si>
  <si>
    <t>Unauthorized Access/Disclosure</t>
  </si>
  <si>
    <t>Paper/Films</t>
  </si>
  <si>
    <t>Regional Center of Orange County</t>
  </si>
  <si>
    <t>CA</t>
  </si>
  <si>
    <t>Improper Disposal</t>
  </si>
  <si>
    <t>Jeffrey David Reuben, M.D.</t>
  </si>
  <si>
    <t>Cornerstone Behavioral Healthcare</t>
  </si>
  <si>
    <t>ME</t>
  </si>
  <si>
    <t>Bridgeway Benefit Technologies LLC</t>
  </si>
  <si>
    <t>FL</t>
  </si>
  <si>
    <t>07/24/2026</t>
  </si>
  <si>
    <t>CareCloud, Inc.</t>
  </si>
  <si>
    <t>Vanderbilt University Medical Center</t>
  </si>
  <si>
    <t xml:space="preserve">Brookhaven ENT Allergy and Facial Surgery </t>
  </si>
  <si>
    <t>MS</t>
  </si>
  <si>
    <t>Risk Program Administrators LLC</t>
  </si>
  <si>
    <t>07/23/2026</t>
  </si>
  <si>
    <t>SunCloud Health</t>
  </si>
  <si>
    <t>IL</t>
  </si>
  <si>
    <t>Suvida Healthcare, LLC</t>
  </si>
  <si>
    <t>Unlimited Technology Systems, LLC</t>
  </si>
  <si>
    <t>07/21/2026</t>
  </si>
  <si>
    <t>Beltrami County Health and Human Services</t>
  </si>
  <si>
    <t>MN</t>
  </si>
  <si>
    <t>07/20/2026</t>
  </si>
  <si>
    <t>Minnesota Health Insurance Network</t>
  </si>
  <si>
    <t>07/19/2026</t>
  </si>
  <si>
    <t>Open Door Health Center of Illinois</t>
  </si>
  <si>
    <t>WA</t>
  </si>
  <si>
    <t>07/18/2026</t>
  </si>
  <si>
    <t>Community Based Care of Brevard dba Family Partnerships of Central Florida</t>
  </si>
  <si>
    <t>07/17/2026</t>
  </si>
  <si>
    <t>ZenPatient, Inc.</t>
  </si>
  <si>
    <t>James C. Standring, DDS</t>
  </si>
  <si>
    <t>One Medical Group, Inc.</t>
  </si>
  <si>
    <t>The Association for Neurologically Impaired Brain Injured</t>
  </si>
  <si>
    <t>NY</t>
  </si>
  <si>
    <t>Lifespan Physician Group of Massachusetts, Inc. d/b/a Brown Health Medical Group-MA</t>
  </si>
  <si>
    <t>07/16/2026</t>
  </si>
  <si>
    <t>DentaQuest, LLC</t>
  </si>
  <si>
    <t>Resource Center of Dallas, Inc.</t>
  </si>
  <si>
    <t>07/15/2026</t>
  </si>
  <si>
    <t>TELUS Health (US) LTD.</t>
  </si>
  <si>
    <t>07/14/2026</t>
  </si>
  <si>
    <t>Parkhurst Chiropractic Life Center PLC</t>
  </si>
  <si>
    <t>Madera Community Hospital</t>
  </si>
  <si>
    <t>07/13/2026</t>
  </si>
  <si>
    <t>Alpine Agency of the Midlands, LLC</t>
  </si>
  <si>
    <t>SC</t>
  </si>
  <si>
    <t>Youth Home, Inc.</t>
  </si>
  <si>
    <t>AR</t>
  </si>
  <si>
    <t>Health Payment Systems, Inc.</t>
  </si>
  <si>
    <t>WI</t>
  </si>
  <si>
    <t>07/10/2026</t>
  </si>
  <si>
    <t>Sunshine Health</t>
  </si>
  <si>
    <t>Laptop, Network Server</t>
  </si>
  <si>
    <t>Heart Care Centers of Illinois</t>
  </si>
  <si>
    <t>Claremedica Viking, LLC</t>
  </si>
  <si>
    <t>07/08/2026</t>
  </si>
  <si>
    <t>SportsMed PT, LLC</t>
  </si>
  <si>
    <t>07/07/2026</t>
  </si>
  <si>
    <t>Hollister Family Dental &amp; Implant Center</t>
  </si>
  <si>
    <t>Hudson Valley Medical Billing &amp; Credentialing, LLC</t>
  </si>
  <si>
    <t>Champaign-Urbana Public Health District</t>
  </si>
  <si>
    <t>07/06/2026</t>
  </si>
  <si>
    <t>HP Dental</t>
  </si>
  <si>
    <t>The Medical Imaging Partnership dba Precision Imaging Center</t>
  </si>
  <si>
    <t>Hancock Regional Hospital</t>
  </si>
  <si>
    <t>IN</t>
  </si>
  <si>
    <t>Alta Orthopaedics Medical Group, Inc.</t>
  </si>
  <si>
    <t>PA</t>
  </si>
  <si>
    <t>07/03/2026</t>
  </si>
  <si>
    <t>Averhealth Holdings</t>
  </si>
  <si>
    <t>VA</t>
  </si>
  <si>
    <t>07/02/2026</t>
  </si>
  <si>
    <t>Family Medical Associates of Raleigh, PA</t>
  </si>
  <si>
    <t xml:space="preserve">The Connecticut Institute for the Blind Inc. d/b/a Oak Hill </t>
  </si>
  <si>
    <t>CT</t>
  </si>
  <si>
    <t>07/01/2026</t>
  </si>
  <si>
    <t>Kubota Tractor Corporation Employee Welfare Benefit Plan</t>
  </si>
  <si>
    <t>06/30/2026</t>
  </si>
  <si>
    <t>Washington Department of Social and Health Services</t>
  </si>
  <si>
    <t>Laptop</t>
  </si>
  <si>
    <t xml:space="preserve">Virta Health </t>
  </si>
  <si>
    <t>Optalis Management Solutions</t>
  </si>
  <si>
    <t>06/29/2026</t>
  </si>
  <si>
    <t>Community First Health Plans, Inc.</t>
  </si>
  <si>
    <t xml:space="preserve">Center for Hearing and Speech dba Texas Hearing Institute </t>
  </si>
  <si>
    <t xml:space="preserve">SKR Group, Inc. </t>
  </si>
  <si>
    <t>06/26/2026</t>
  </si>
  <si>
    <t>WomenвЂ™s Center for Radiology</t>
  </si>
  <si>
    <t>MCBS, LLC</t>
  </si>
  <si>
    <t>GA</t>
  </si>
  <si>
    <t xml:space="preserve">Operation PAR, Inc. </t>
  </si>
  <si>
    <t>06/25/2026</t>
  </si>
  <si>
    <t>Cure Dental</t>
  </si>
  <si>
    <t>06/23/2026</t>
  </si>
  <si>
    <t>Elara Caring</t>
  </si>
  <si>
    <t>Advocate Warriors LLC</t>
  </si>
  <si>
    <t>ID</t>
  </si>
  <si>
    <t>Anatomic and Clinical Laboratory Associates, P.C.</t>
  </si>
  <si>
    <t>NAS Recovery Solutions</t>
  </si>
  <si>
    <t>06/22/2026</t>
  </si>
  <si>
    <t>Northeast Professional Caregivers</t>
  </si>
  <si>
    <t>Chicago Family Health Center</t>
  </si>
  <si>
    <t>Colorado Health Network Inc.</t>
  </si>
  <si>
    <t>06/19/2026</t>
  </si>
  <si>
    <t>Kentucky Mountain Health Alliance</t>
  </si>
  <si>
    <t>KY</t>
  </si>
  <si>
    <t>Community Health Center of Buffalo Inc.</t>
  </si>
  <si>
    <t>Texas Medicaid and Healthcare Partnership</t>
  </si>
  <si>
    <t>Cherry Street Services, Inc.</t>
  </si>
  <si>
    <t>06/18/2026</t>
  </si>
  <si>
    <t xml:space="preserve">Columbia Orthopaedic Group </t>
  </si>
  <si>
    <t>MO</t>
  </si>
  <si>
    <t>Centers Lab NJ LLC</t>
  </si>
  <si>
    <t>Family Health Centers of Southern Indiana</t>
  </si>
  <si>
    <t>Suntree Internal Medicine</t>
  </si>
  <si>
    <t xml:space="preserve">Blue Fish Pediatrics </t>
  </si>
  <si>
    <t>06/17/2026</t>
  </si>
  <si>
    <t>Aitkin County Health and Human Services</t>
  </si>
  <si>
    <t>Decatur Diagnostic Laboratory Inc.</t>
  </si>
  <si>
    <t>06/16/2026</t>
  </si>
  <si>
    <t>Ohio Living</t>
  </si>
  <si>
    <t>06/12/2026</t>
  </si>
  <si>
    <t>Clinical Registry Solutions</t>
  </si>
  <si>
    <t>Chickasaw Nation Department of Health</t>
  </si>
  <si>
    <t>06/11/2026</t>
  </si>
  <si>
    <t>Electronic Medical Record</t>
  </si>
  <si>
    <t>Open Arms Care Corporation</t>
  </si>
  <si>
    <t>Dr. Erick Perroud</t>
  </si>
  <si>
    <t>06/10/2026</t>
  </si>
  <si>
    <t>Monaco &amp; Associates Incorporated</t>
  </si>
  <si>
    <t>06/09/2026</t>
  </si>
  <si>
    <t xml:space="preserve">Lutheran Home for the Aged </t>
  </si>
  <si>
    <t>06/08/2026</t>
  </si>
  <si>
    <t>Sierra Management Group</t>
  </si>
  <si>
    <t>06/07/2026</t>
  </si>
  <si>
    <t>Sturdy Health, Inc.</t>
  </si>
  <si>
    <t>06/05/2026</t>
  </si>
  <si>
    <t>UnitedHealth Care Services, Inc. Single Affiliated Covered Entity</t>
  </si>
  <si>
    <t>Signature Healthcare Corporation</t>
  </si>
  <si>
    <t>Minnesota Epilepsy Group, P.A.</t>
  </si>
  <si>
    <t>Xsolis, Inc.</t>
  </si>
  <si>
    <t>MVP VIP Holdco dba Heart of America Eye Care</t>
  </si>
  <si>
    <t>Gay &amp; Lesbian Community Services Center of Orange County, Inc.</t>
  </si>
  <si>
    <t>McLeod Physician Associates II</t>
  </si>
  <si>
    <t>06/04/2026</t>
  </si>
  <si>
    <t>Minidoka Memorial Hospital</t>
  </si>
  <si>
    <t>City of Middletown</t>
  </si>
  <si>
    <t>06/03/2026</t>
  </si>
  <si>
    <t>Amicus Solutions, Inc. (additional related entities may be impacted, the names of which are available upon request)</t>
  </si>
  <si>
    <t>All About Women's Care</t>
  </si>
  <si>
    <t>Henry Rossi &amp; Company, LLP</t>
  </si>
  <si>
    <t>06/02/2026</t>
  </si>
  <si>
    <t>Waveny LifeCare Network, Inc.</t>
  </si>
  <si>
    <t>Medenet Inc.</t>
  </si>
  <si>
    <t>06/01/2026</t>
  </si>
  <si>
    <t>United Medical Doctors</t>
  </si>
  <si>
    <t>05/29/2026</t>
  </si>
  <si>
    <t>Campbell University</t>
  </si>
  <si>
    <t>Networking Technology, Inc.</t>
  </si>
  <si>
    <t>Carlyle Senior Care Management Company, Inc.</t>
  </si>
  <si>
    <t>05/27/2026</t>
  </si>
  <si>
    <t>ERMI LLC</t>
  </si>
  <si>
    <t>05/26/2026</t>
  </si>
  <si>
    <t xml:space="preserve">Virta Medical PC </t>
  </si>
  <si>
    <t>05/23/2026</t>
  </si>
  <si>
    <t>Nottingham Village</t>
  </si>
  <si>
    <t>05/22/2026</t>
  </si>
  <si>
    <t>Oakwood Lutheran Senior Ministries, Inc.</t>
  </si>
  <si>
    <t xml:space="preserve">Southern Illinois Ob-Gyn Associates, S.C.  </t>
  </si>
  <si>
    <t>Acadia Healthcare Company, Inc</t>
  </si>
  <si>
    <t>South Florida Injury Centers, Inc.</t>
  </si>
  <si>
    <t>Gastro Health</t>
  </si>
  <si>
    <t>AUTOAPS LLC</t>
  </si>
  <si>
    <t>Ira L. Savetsky, MD PLLC</t>
  </si>
  <si>
    <t>05/21/2026</t>
  </si>
  <si>
    <t>Coastal Carolina Centers of Urology and Surgery, LLC</t>
  </si>
  <si>
    <t>Regence</t>
  </si>
  <si>
    <t>OR</t>
  </si>
  <si>
    <t>Radiology Associates of Richmond</t>
  </si>
  <si>
    <t>Southwest Behavioral Health Services.org</t>
  </si>
  <si>
    <t>AZ</t>
  </si>
  <si>
    <t>05/20/2026</t>
  </si>
  <si>
    <t>Singing River Health System</t>
  </si>
  <si>
    <t>05/19/2026</t>
  </si>
  <si>
    <t>Eyemart Express, LLC</t>
  </si>
  <si>
    <t>05/18/2026</t>
  </si>
  <si>
    <t>Community Connections</t>
  </si>
  <si>
    <t>DC</t>
  </si>
  <si>
    <t>Greenbaum Rowe Smith &amp; Davis LLP</t>
  </si>
  <si>
    <t>Centers for Dialysis Care</t>
  </si>
  <si>
    <t>05/15/2026</t>
  </si>
  <si>
    <t>Insurance ACE/Humana Inc.</t>
  </si>
  <si>
    <t xml:space="preserve">Liberty Solutions, Inc. </t>
  </si>
  <si>
    <t>NJ Pain Care Specialists, LLC</t>
  </si>
  <si>
    <t>05/14/2026</t>
  </si>
  <si>
    <t>Bridle Trails Family Dentistry</t>
  </si>
  <si>
    <t xml:space="preserve">Pivot Health </t>
  </si>
  <si>
    <t>05/13/2026</t>
  </si>
  <si>
    <t>Ocelot Ventures, LLC dba Excelas</t>
  </si>
  <si>
    <t>05/12/2026</t>
  </si>
  <si>
    <t>Adams County Memorial Hospital</t>
  </si>
  <si>
    <t>05/11/2026</t>
  </si>
  <si>
    <t>Saurabh N. Patel, M.D вЂ“ Florida Retina Center</t>
  </si>
  <si>
    <t>LA</t>
  </si>
  <si>
    <t>ViaQuest Psychiatric &amp; Behavioral Solutions, LLC</t>
  </si>
  <si>
    <t>05/08/2026</t>
  </si>
  <si>
    <t>Palomar Health Medical Group</t>
  </si>
  <si>
    <t xml:space="preserve">Bronsky Orthodontics </t>
  </si>
  <si>
    <t>Verber Dental Group PC</t>
  </si>
  <si>
    <t>Sanger Skilled Care, LLC dba Cornerstone Care Center</t>
  </si>
  <si>
    <t>05/07/2026</t>
  </si>
  <si>
    <t>Midland Care Connection, Inc</t>
  </si>
  <si>
    <t>05/06/2026</t>
  </si>
  <si>
    <t>Passaic County, New Jersey</t>
  </si>
  <si>
    <t>05/05/2026</t>
  </si>
  <si>
    <t>Aroostook Mental Health Center</t>
  </si>
  <si>
    <t>IKRON Corporation</t>
  </si>
  <si>
    <t>05/04/2026</t>
  </si>
  <si>
    <t>BAYADA Home Health Care, Inc.</t>
  </si>
  <si>
    <t>Western Orthopaedics, P.C.</t>
  </si>
  <si>
    <t>05/01/2026</t>
  </si>
  <si>
    <t>Integrated Pain Associates</t>
  </si>
  <si>
    <t>CUNNINGHAM PROSTHETIC CARE LLC</t>
  </si>
  <si>
    <t>NCH Corporation Employee Benefits Plan</t>
  </si>
  <si>
    <t>University of Michigan/Michigan Medicine</t>
  </si>
  <si>
    <t xml:space="preserve">Capitol Pain Institute    </t>
  </si>
  <si>
    <t>Mt. Spokane Pediatrics</t>
  </si>
  <si>
    <t>04/30/2026</t>
  </si>
  <si>
    <t>Totem Lake Family Dentistry</t>
  </si>
  <si>
    <t>Northwoods Surgery Center</t>
  </si>
  <si>
    <t>04/29/2026</t>
  </si>
  <si>
    <t>Tri-Cities Gastroenterology</t>
  </si>
  <si>
    <t>FMRS Health Systems, Inc.</t>
  </si>
  <si>
    <t>04/28/2026</t>
  </si>
  <si>
    <t xml:space="preserve">C2N Diagnostics, LLC </t>
  </si>
  <si>
    <t>04/27/2026</t>
  </si>
  <si>
    <t>Hematology Oncology Consultants</t>
  </si>
  <si>
    <t>04/24/2026</t>
  </si>
  <si>
    <t>Florida Physician Specialists</t>
  </si>
  <si>
    <t>GrayRobinson, P.A.</t>
  </si>
  <si>
    <t>Aldrich Pediatric Dentistry</t>
  </si>
  <si>
    <t>Stewart Home &amp; School</t>
  </si>
  <si>
    <t>04/23/2026</t>
  </si>
  <si>
    <t>Belmont Aesthetic and Reconstructive Plastic Surgery</t>
  </si>
  <si>
    <t>Laurel Eye Clinic</t>
  </si>
  <si>
    <t>04/22/2026</t>
  </si>
  <si>
    <t>Harbor Developmental Disabilities Foundation (d/b/a Harbor Regional Center)</t>
  </si>
  <si>
    <t xml:space="preserve">Spokane Digestive Disease Center, P.S. </t>
  </si>
  <si>
    <t>04/20/2026</t>
  </si>
  <si>
    <t>Prime Care 12 Priority Health</t>
  </si>
  <si>
    <t xml:space="preserve">ASC Ortho Management Company, LLC  d/b/a Aligned Orthopedic Partners </t>
  </si>
  <si>
    <t>04/17/2026</t>
  </si>
  <si>
    <t>Bayside Dental</t>
  </si>
  <si>
    <t>University of Nebraska Medical Center</t>
  </si>
  <si>
    <t>NE</t>
  </si>
  <si>
    <t>Innovative Scientific Solutions, LLC</t>
  </si>
  <si>
    <t>NJ Division of Developmental Disabilities - Hunterdon Developmental Center</t>
  </si>
  <si>
    <t>Mazzola Mardon, P.C.</t>
  </si>
  <si>
    <t>04/15/2026</t>
  </si>
  <si>
    <t>Defense Health Agency</t>
  </si>
  <si>
    <t>04/14/2026</t>
  </si>
  <si>
    <t xml:space="preserve">Springfield Hospital </t>
  </si>
  <si>
    <t>VT</t>
  </si>
  <si>
    <t>04/10/2026</t>
  </si>
  <si>
    <t>CARE Clinic</t>
  </si>
  <si>
    <t>Joseph J Chappell, Jr., MD, PA dba Tupelo Eye Clinic</t>
  </si>
  <si>
    <t>CardioFit Medical Group, Inc.</t>
  </si>
  <si>
    <t>04/09/2026</t>
  </si>
  <si>
    <t>Heart South Cardiovascular Group</t>
  </si>
  <si>
    <t>04/06/2026</t>
  </si>
  <si>
    <t>Hospital Caribbean Medical Center</t>
  </si>
  <si>
    <t>Shore Gardens Rehabilitation and Nursing Center, LLC</t>
  </si>
  <si>
    <t xml:space="preserve">Option Care Health, Inc. </t>
  </si>
  <si>
    <t xml:space="preserve">Grandview Family Medicine </t>
  </si>
  <si>
    <t>UT</t>
  </si>
  <si>
    <t xml:space="preserve">Rocky Mountain Associated Physicians, P.C. </t>
  </si>
  <si>
    <t>04/03/2026</t>
  </si>
  <si>
    <t xml:space="preserve">Village Heart Seller, PC d/b/a Village Heart &amp; Vein Center </t>
  </si>
  <si>
    <t xml:space="preserve">Southern Illinois Dermatology </t>
  </si>
  <si>
    <t>04/02/2026</t>
  </si>
  <si>
    <t>Interventional Pain Center, PLLC</t>
  </si>
  <si>
    <t>03/31/2026</t>
  </si>
  <si>
    <t>Waterford Surgical Center</t>
  </si>
  <si>
    <t>03/30/2026</t>
  </si>
  <si>
    <t xml:space="preserve">J. Arthur Trudeau Memorial Center </t>
  </si>
  <si>
    <t>RI</t>
  </si>
  <si>
    <t xml:space="preserve">Austin Plastic and Reconstructive Surgery </t>
  </si>
  <si>
    <t>Healthcare In Action</t>
  </si>
  <si>
    <t>Email, Other</t>
  </si>
  <si>
    <t>Nacogdoches Memorial Hospital n</t>
  </si>
  <si>
    <t>Town of Apex, North Carolina</t>
  </si>
  <si>
    <t>Lumio Dental</t>
  </si>
  <si>
    <t>03/29/2026</t>
  </si>
  <si>
    <t>Network Server, Other</t>
  </si>
  <si>
    <t>University Medical Center of Southern Nevada</t>
  </si>
  <si>
    <t>NV</t>
  </si>
  <si>
    <t>03/28/2026</t>
  </si>
  <si>
    <t>Electronic Medical Record, Other</t>
  </si>
  <si>
    <t>Penobscot Valley Hospital</t>
  </si>
  <si>
    <t>Glendora Surgery Center</t>
  </si>
  <si>
    <t>03/27/2026</t>
  </si>
  <si>
    <t xml:space="preserve">Erie Family Health Centers </t>
  </si>
  <si>
    <t>Atlantic Brain and Spine, PA</t>
  </si>
  <si>
    <t>Rocky Mountain Care</t>
  </si>
  <si>
    <t>Proxycare, Inc.</t>
  </si>
  <si>
    <t>CORPORACION DE SERVICIOS MEDICOS PRIMARIOS Y PREVENCION DE HATILLO</t>
  </si>
  <si>
    <t>03/26/2026</t>
  </si>
  <si>
    <t>Medi-Rents &amp; Sales, Inc.</t>
  </si>
  <si>
    <t>03/25/2026</t>
  </si>
  <si>
    <t>Clarinda Regional Health Center</t>
  </si>
  <si>
    <t>New York City Health and Hospitals Corporation</t>
  </si>
  <si>
    <t>03/24/2026</t>
  </si>
  <si>
    <t>Coastal Carolina Health Care, PA</t>
  </si>
  <si>
    <t>Secure Health Plans of Georgia, LLC</t>
  </si>
  <si>
    <t>03/23/2026</t>
  </si>
  <si>
    <t>Rosch Visionary Systems, Inc.</t>
  </si>
  <si>
    <t>Pennyroyal Healthcare Services</t>
  </si>
  <si>
    <t>Complete Eye Care dba Orem Eye Clinic</t>
  </si>
  <si>
    <t>03/19/2026</t>
  </si>
  <si>
    <t>New Horizons Behavioral Health</t>
  </si>
  <si>
    <t>03/18/2026</t>
  </si>
  <si>
    <t>Stockton Cardiology Medical Group</t>
  </si>
  <si>
    <t xml:space="preserve">Navia Benefit Solutions, Inc. </t>
  </si>
  <si>
    <t>The South Alabama Regional Planning Commission</t>
  </si>
  <si>
    <t xml:space="preserve">OpenLoop Health, Inc. </t>
  </si>
  <si>
    <t>03/17/2026</t>
  </si>
  <si>
    <t xml:space="preserve">Good Samaritan Health Center </t>
  </si>
  <si>
    <t>03/16/2026</t>
  </si>
  <si>
    <t>Renovo Chiropractic &amp; Wellness</t>
  </si>
  <si>
    <t>Theft</t>
  </si>
  <si>
    <t>Other, Paper/Films</t>
  </si>
  <si>
    <t>UPMC</t>
  </si>
  <si>
    <t>03/14/2026</t>
  </si>
  <si>
    <t>Other</t>
  </si>
  <si>
    <t>Georgia Vascual Specialists PC</t>
  </si>
  <si>
    <t>03/13/2026</t>
  </si>
  <si>
    <t>Trinity Health</t>
  </si>
  <si>
    <t>Bloom Circle, Inc. d/b/a Lena Health</t>
  </si>
  <si>
    <t>MedPeds Associates of Sarasota</t>
  </si>
  <si>
    <t>East Carolina Anesthesia Associates</t>
  </si>
  <si>
    <t>03/12/2026</t>
  </si>
  <si>
    <t>illumifin Corporation</t>
  </si>
  <si>
    <t>03/10/2026</t>
  </si>
  <si>
    <t>Delta Medical Systems</t>
  </si>
  <si>
    <t>Community Health Action of Staten Island</t>
  </si>
  <si>
    <t>03/09/2026</t>
  </si>
  <si>
    <t>Tampa Bay Dental Implants &amp; Periodontics</t>
  </si>
  <si>
    <t>03/08/2026</t>
  </si>
  <si>
    <t>Saint Anthony Hospital</t>
  </si>
  <si>
    <t>03/06/2026</t>
  </si>
  <si>
    <t xml:space="preserve">Barrio Comprehensive Family Health Care Center </t>
  </si>
  <si>
    <t>County of Murray dba Murray County Medical Center</t>
  </si>
  <si>
    <t>North Texas Behavioral Health Authority</t>
  </si>
  <si>
    <t>Exclusive Physicians PLLC</t>
  </si>
  <si>
    <t xml:space="preserve">Cedar Valley Hospice </t>
  </si>
  <si>
    <t xml:space="preserve">Tieu Dental Corporation </t>
  </si>
  <si>
    <t>03/05/2026</t>
  </si>
  <si>
    <t>Kin Counseling Services PLLC</t>
  </si>
  <si>
    <t>03/02/2026</t>
  </si>
  <si>
    <t>Houston Dermatology Specialists</t>
  </si>
  <si>
    <t>Access Information Management Shared Services, LLC</t>
  </si>
  <si>
    <t>02/28/2026</t>
  </si>
  <si>
    <t>Lakeside Pediatrics &amp; Adolescent Medicine, PLLC</t>
  </si>
  <si>
    <t>02/27/2026</t>
  </si>
  <si>
    <t>IPPC Inc., IPPC of New York LLC, and Innovative Pharmacy LLC (collectively вЂњIPPCвЂќ)</t>
  </si>
  <si>
    <t>Nephrology Associates Medical Group, Inc</t>
  </si>
  <si>
    <t>Manhattan Retirement Foundation d/b/a Meadowlark Hills</t>
  </si>
  <si>
    <t>02/26/2026</t>
  </si>
  <si>
    <t xml:space="preserve">Orthopaedic Specialists of Massachusetts, PC </t>
  </si>
  <si>
    <t>BMG of Kansas, Inc.</t>
  </si>
  <si>
    <t>AltaMed Health Services Corporation</t>
  </si>
  <si>
    <t>Couve Healthcare Consulting, LLC DBA Evergreen Healthcare Group</t>
  </si>
  <si>
    <t>02/24/2026</t>
  </si>
  <si>
    <t>QualDerm Partners, LLC</t>
  </si>
  <si>
    <t>02/22/2026</t>
  </si>
  <si>
    <t>02/20/2026</t>
  </si>
  <si>
    <t>Perseus House, Inc.</t>
  </si>
  <si>
    <t>The Center for Advanced Eye Care</t>
  </si>
  <si>
    <t>VNS Behavioral Health Inc. (вЂњVNS HealthвЂќ)</t>
  </si>
  <si>
    <t>02/18/2026</t>
  </si>
  <si>
    <t>Builders FirstSource Flex Plan</t>
  </si>
  <si>
    <t>Emanuel Medical Center</t>
  </si>
  <si>
    <t>02/17/2026</t>
  </si>
  <si>
    <t>Easterseals Northeast Indiana</t>
  </si>
  <si>
    <t>02/16/2026</t>
  </si>
  <si>
    <t>44North</t>
  </si>
  <si>
    <t>Wee Care Pediatrics, LLC</t>
  </si>
  <si>
    <t>02/14/2026</t>
  </si>
  <si>
    <t>National Association on Drug Abuse Problems</t>
  </si>
  <si>
    <t>02/13/2026</t>
  </si>
  <si>
    <t>VPS Medical PLLC</t>
  </si>
  <si>
    <t>Academic Urology &amp; Urogynecology of Arizona</t>
  </si>
  <si>
    <t xml:space="preserve">Cedar Valley Services </t>
  </si>
  <si>
    <t>Resource Corporation of America</t>
  </si>
  <si>
    <t>Cedar Point Health, LLC</t>
  </si>
  <si>
    <t>02/12/2026</t>
  </si>
  <si>
    <t xml:space="preserve">Counseling Center of Wayne &amp; Holmes Counties </t>
  </si>
  <si>
    <t>02/09/2026</t>
  </si>
  <si>
    <t>Wendy Foster OD</t>
  </si>
  <si>
    <t>Carolina Foot &amp; Ankle Associates</t>
  </si>
  <si>
    <t>TriZetto Provider Solutions</t>
  </si>
  <si>
    <t>02/06/2026</t>
  </si>
  <si>
    <t>Apex Spine &amp; Neurosurgery, LLC</t>
  </si>
  <si>
    <t>Triad Radiology Associates</t>
  </si>
  <si>
    <t>Cottage Hospital</t>
  </si>
  <si>
    <t>WIRX Pharmacy</t>
  </si>
  <si>
    <t>02/05/2026</t>
  </si>
  <si>
    <t>Personalis, Inc.</t>
  </si>
  <si>
    <t>02/04/2026</t>
  </si>
  <si>
    <t>Issaqueena Pediatric Dentistry PA</t>
  </si>
  <si>
    <t>About Women Ob/Gyn, PC</t>
  </si>
  <si>
    <t>Fair Oaks Ortho P.C.</t>
  </si>
  <si>
    <t>02/02/2026</t>
  </si>
  <si>
    <t>High Point Treatment Center, Inc.</t>
  </si>
  <si>
    <t>01/30/2026</t>
  </si>
  <si>
    <t>Clinic Service Corporation</t>
  </si>
  <si>
    <t>01/28/2026</t>
  </si>
  <si>
    <t>Wound Technology Network, Inc.</t>
  </si>
  <si>
    <t>WindRose Health Network</t>
  </si>
  <si>
    <t>01/27/2026</t>
  </si>
  <si>
    <t>Central States Dermatology Services, LLC</t>
  </si>
  <si>
    <t>01/26/2026</t>
  </si>
  <si>
    <t>Jefferson-Blount-St. Clair Mental Health Authority</t>
  </si>
  <si>
    <t>01/23/2026</t>
  </si>
  <si>
    <t xml:space="preserve">Precipio, Inc. </t>
  </si>
  <si>
    <t>Surgery Center of Oak Ridge, LLC dba Advanced Family Surgery Center</t>
  </si>
  <si>
    <t>True RCM, a Rapid Care Transcription, Inc., Company</t>
  </si>
  <si>
    <t>01/20/2026</t>
  </si>
  <si>
    <t>Desktop Computer</t>
  </si>
  <si>
    <t>Middlesex Sheriff's Office</t>
  </si>
  <si>
    <t>Benton County Health</t>
  </si>
  <si>
    <t>01/16/2026</t>
  </si>
  <si>
    <t>Insightin Health, Inc.</t>
  </si>
  <si>
    <t xml:space="preserve">Central Texas MHMR Center dba Center for Life Resource </t>
  </si>
  <si>
    <t>Superior Care Plus LLC d/b/a Supportive Home Health LLC</t>
  </si>
  <si>
    <t>360 Dental PC</t>
  </si>
  <si>
    <t>01/15/2026</t>
  </si>
  <si>
    <t>Southern Immediate Care, LLC</t>
  </si>
  <si>
    <t>Florence County Commission on Alcohol &amp; Drug Abuse вЂ“ dba Circle Park Behavioral Health Services (вЂњCircle ParkвЂќ)</t>
  </si>
  <si>
    <t>01/14/2026</t>
  </si>
  <si>
    <t>Pinnacle Holdings, LTD</t>
  </si>
  <si>
    <t>01/13/2026</t>
  </si>
  <si>
    <t>FullBeauty Brands, Inc. Associate Benefits Plan</t>
  </si>
  <si>
    <t>Avosina Healthcare Solutions</t>
  </si>
  <si>
    <t>01/10/2026</t>
  </si>
  <si>
    <t>Home, Hope and Healing, Inc.</t>
  </si>
  <si>
    <t>01/09/2026</t>
  </si>
  <si>
    <t xml:space="preserve">The Center for Neuropsychology and Learning, PC </t>
  </si>
  <si>
    <t>Central Ozarks Medical Center</t>
  </si>
  <si>
    <t>Devereux Foundation</t>
  </si>
  <si>
    <t>01/08/2026</t>
  </si>
  <si>
    <t>ABKSW PREFERRED HEALTH PARTNERS, PLLC d/b/a NORTH TEXAS PREFERRED HEALTH PARTNERS</t>
  </si>
  <si>
    <t>Methodist Homes of Alabama and Northwest Florida</t>
  </si>
  <si>
    <t>01/06/2026</t>
  </si>
  <si>
    <t>Pit River Health Service Inc.</t>
  </si>
  <si>
    <t>Iowa Health and Human Services</t>
  </si>
  <si>
    <t>Texas Health and Human Services Commission</t>
  </si>
  <si>
    <t>01/05/2026</t>
  </si>
  <si>
    <t>Mid Michigan Medical Billing Service, Inc.</t>
  </si>
  <si>
    <t>Pines of Sarasota Healthcare, LLC</t>
  </si>
  <si>
    <t>12/31/2025</t>
  </si>
  <si>
    <t xml:space="preserve">Standards Home Health, Inc. </t>
  </si>
  <si>
    <t>Andover Eye Associates</t>
  </si>
  <si>
    <t>Steel Encounters, Inc.</t>
  </si>
  <si>
    <t>Mid-South Pulmonary &amp; Sleep Specialists P.C.</t>
  </si>
  <si>
    <t>12/30/2025</t>
  </si>
  <si>
    <t>Advantage Capital Holdings LLC</t>
  </si>
  <si>
    <t>Associated Radiologists of the Finger Lakes, P.C.</t>
  </si>
  <si>
    <t>12/29/2025</t>
  </si>
  <si>
    <t>Docs Medical Group, Inc. dba Pulse Urgent Care</t>
  </si>
  <si>
    <t>12/28/2025</t>
  </si>
  <si>
    <t>CareOregon</t>
  </si>
  <si>
    <t>12/26/2025</t>
  </si>
  <si>
    <t>Glendale Obstetrics &amp; Gynecology PCA</t>
  </si>
  <si>
    <t>12/24/2025</t>
  </si>
  <si>
    <t xml:space="preserve">AllerVie Health </t>
  </si>
  <si>
    <t>12/23/2025</t>
  </si>
  <si>
    <t>Reproductive Medicine Associates of Michigan</t>
  </si>
  <si>
    <t>12/19/2025</t>
  </si>
  <si>
    <t>Mitchell County Department of Social Services</t>
  </si>
  <si>
    <t>Medical Center, LLP</t>
  </si>
  <si>
    <t>North East Medical Services</t>
  </si>
  <si>
    <t>12/18/2025</t>
  </si>
  <si>
    <t>Excellent Home Care Services, LLC</t>
  </si>
  <si>
    <t>12/17/2025</t>
  </si>
  <si>
    <t>FPMCM LLC</t>
  </si>
  <si>
    <t>12/15/2025</t>
  </si>
  <si>
    <t>OCAT, LLC dba Evoke Wellness at Hilliard</t>
  </si>
  <si>
    <t>12/12/2025</t>
  </si>
  <si>
    <t>Fieldtex Products, Inc.</t>
  </si>
  <si>
    <t>Heywood Healthcare Inc. including Henry Heywood Memorial Hospital, Athol Memorial Hospital, and Heywood Medical Group, Inc. (вЂњHeywoodвЂќ)</t>
  </si>
  <si>
    <t>Atrium Centers Inc.</t>
  </si>
  <si>
    <t>Brevard Skin and Cancer Center</t>
  </si>
  <si>
    <t>Baltimore Medical System, Inc.</t>
  </si>
  <si>
    <t>Centric Health</t>
  </si>
  <si>
    <t>12/10/2025</t>
  </si>
  <si>
    <t>Southern Oregon Neurosurgical and Spine Associates, PC</t>
  </si>
  <si>
    <t>12/09/2025</t>
  </si>
  <si>
    <t>Green Imaging, LLC</t>
  </si>
  <si>
    <t>Ochsner LSU Health вЂ“ Regional Urology</t>
  </si>
  <si>
    <t>TriCity Family Services</t>
  </si>
  <si>
    <t>12/08/2025</t>
  </si>
  <si>
    <t>Vida Y Salud-Health Systems, Inc.</t>
  </si>
  <si>
    <t>AgeRight Clinical Services</t>
  </si>
  <si>
    <t>12/05/2025</t>
  </si>
  <si>
    <t>Columbia Medical Practice</t>
  </si>
  <si>
    <t xml:space="preserve">Greater St. Louis Oral &amp; Maxillofacial Surgery PC </t>
  </si>
  <si>
    <t>12/04/2025</t>
  </si>
  <si>
    <t>12/03/2025</t>
  </si>
  <si>
    <t>MedStar Health, Inc.</t>
  </si>
  <si>
    <t>West Texas Health, PLLC</t>
  </si>
  <si>
    <t>12/02/2025</t>
  </si>
  <si>
    <t>Madison Healthcare Services</t>
  </si>
  <si>
    <t>FedEx Corporation Group Health Plan</t>
  </si>
  <si>
    <t>12/01/2025</t>
  </si>
  <si>
    <t>Cerenade</t>
  </si>
  <si>
    <t>11/30/2025</t>
  </si>
  <si>
    <t>Richmond Behavioral Health Authority</t>
  </si>
  <si>
    <t>11/28/2025</t>
  </si>
  <si>
    <t>Spindletop Center</t>
  </si>
  <si>
    <t>Henry Ford Health</t>
  </si>
  <si>
    <t>11/26/2025</t>
  </si>
  <si>
    <t xml:space="preserve">Persante Health Care </t>
  </si>
  <si>
    <t>Keystone Alliance, Inc.</t>
  </si>
  <si>
    <t>Center for Urologic Care of Berks CO</t>
  </si>
  <si>
    <t>Tanner Medical Center</t>
  </si>
  <si>
    <t>11/25/2025</t>
  </si>
  <si>
    <t>Central Kansas Mental Health Center</t>
  </si>
  <si>
    <t xml:space="preserve">Greater Meridian Health Clinic, Inc. </t>
  </si>
  <si>
    <t>11/24/2025</t>
  </si>
  <si>
    <t>Davies, McFarland &amp; Carroll LLC</t>
  </si>
  <si>
    <t>VITAS Hospice Services, LLC</t>
  </si>
  <si>
    <t>Millcreek Pediatrics</t>
  </si>
  <si>
    <t>DE</t>
  </si>
  <si>
    <t>11/21/2025</t>
  </si>
  <si>
    <t>Nura PLLC</t>
  </si>
  <si>
    <t>11/20/2025</t>
  </si>
  <si>
    <t>Dr. Michael Kaplan DO PC DBA Long Island Weight Loss Institute</t>
  </si>
  <si>
    <t>Wyandot Behavioral Health Network</t>
  </si>
  <si>
    <t>Personic Management Company LLC</t>
  </si>
  <si>
    <t>11/19/2025</t>
  </si>
  <si>
    <t>County of Catawba</t>
  </si>
  <si>
    <t>NAHGA Claim Services</t>
  </si>
  <si>
    <t xml:space="preserve">Anchorage Neighborhood Health Center </t>
  </si>
  <si>
    <t>AK</t>
  </si>
  <si>
    <t>Dermatology Associates of Concord</t>
  </si>
  <si>
    <t>11/18/2025</t>
  </si>
  <si>
    <t>Marrs Ear, Nose &amp; Throat, PA</t>
  </si>
  <si>
    <t>Cary Pediatric Center, PA</t>
  </si>
  <si>
    <t>11/17/2025</t>
  </si>
  <si>
    <t>Morton Drug Company</t>
  </si>
  <si>
    <t>11/10/2025</t>
  </si>
  <si>
    <t xml:space="preserve">Marshfield Clinic Health System </t>
  </si>
  <si>
    <t>11/07/2025</t>
  </si>
  <si>
    <t>Loving and Living Center, PC dba Awakenings Center</t>
  </si>
  <si>
    <t>The Chase Group Employee Benefit Plan</t>
  </si>
  <si>
    <t>NM</t>
  </si>
  <si>
    <t>11/06/2025</t>
  </si>
  <si>
    <t>Archer Health</t>
  </si>
  <si>
    <t>Tampa Bay Treatment Associates</t>
  </si>
  <si>
    <t>11/05/2025</t>
  </si>
  <si>
    <t>Denton MHMR Center</t>
  </si>
  <si>
    <t>Tri Century Eye Care PC</t>
  </si>
  <si>
    <t>10/31/2025</t>
  </si>
  <si>
    <t>Expert MRI</t>
  </si>
  <si>
    <t>Judson Center</t>
  </si>
  <si>
    <t>Beverly Hills Oncology Medical Group</t>
  </si>
  <si>
    <t>Better Vision Eyecare, LLC</t>
  </si>
  <si>
    <t>10/28/2025</t>
  </si>
  <si>
    <t>Northwest Radiologists, Inc./Mount Baker Imaging</t>
  </si>
  <si>
    <t>Health Management Systems of America</t>
  </si>
  <si>
    <t>10/27/2025</t>
  </si>
  <si>
    <t>REACH, Inc</t>
  </si>
  <si>
    <t>VirMedice, LLC</t>
  </si>
  <si>
    <t>10/25/2025</t>
  </si>
  <si>
    <t>Physicians to Children &amp; Adolescents</t>
  </si>
  <si>
    <t>10/24/2025</t>
  </si>
  <si>
    <t>Southwest Urology</t>
  </si>
  <si>
    <t>Michael R. Schwartz, MD Inc.</t>
  </si>
  <si>
    <t>10/23/2025</t>
  </si>
  <si>
    <t>Legacy Health, LLC</t>
  </si>
  <si>
    <t>Express Canna Cards, LLC</t>
  </si>
  <si>
    <t>10/20/2025</t>
  </si>
  <si>
    <t>Firetree, Ltd</t>
  </si>
  <si>
    <t>10/17/2025</t>
  </si>
  <si>
    <t xml:space="preserve">Heartland Health Center </t>
  </si>
  <si>
    <t>North Atlantic States Carpenters Health Benefits Fund</t>
  </si>
  <si>
    <t>Modernizing Medicine, Inc.</t>
  </si>
  <si>
    <t>River City Eye Care, LLC</t>
  </si>
  <si>
    <t>10/16/2025</t>
  </si>
  <si>
    <t>Coalesce, LLC dba Benefitelect</t>
  </si>
  <si>
    <t>10/15/2025</t>
  </si>
  <si>
    <t xml:space="preserve">Kadlec Clinic вЂ“ Fertility Center </t>
  </si>
  <si>
    <t>10/14/2025</t>
  </si>
  <si>
    <t xml:space="preserve">Aunt MarthaвЂ™s Health &amp; Wellness, Inc. </t>
  </si>
  <si>
    <t>10/13/2025</t>
  </si>
  <si>
    <t>Visiting Nurse Association of Texas, LLC</t>
  </si>
  <si>
    <t>10/10/2025</t>
  </si>
  <si>
    <t>Open Practice Solutions, LTD</t>
  </si>
  <si>
    <t>Bay Medical LLC</t>
  </si>
  <si>
    <t>10/09/2025</t>
  </si>
  <si>
    <t>Conduent Business Services LLC</t>
  </si>
  <si>
    <t>10/08/2025</t>
  </si>
  <si>
    <t>Wellpoint, Inc.</t>
  </si>
  <si>
    <t>10/07/2025</t>
  </si>
  <si>
    <t>Sierra Vista Hospital &amp; Clinics</t>
  </si>
  <si>
    <t>10/06/2025</t>
  </si>
  <si>
    <t xml:space="preserve">OB-GYN Associates, Ltd. dba OBGYN Associates </t>
  </si>
  <si>
    <t xml:space="preserve">Cardiovascular Medicine Associates (doing business as MyCardiologist) </t>
  </si>
  <si>
    <t>Space Coast Vascular</t>
  </si>
  <si>
    <t>Southwest C.A.R.E. Center</t>
  </si>
  <si>
    <t>10/03/2025</t>
  </si>
  <si>
    <t>Brightstar Global Solutions Corporation</t>
  </si>
  <si>
    <t>Arizona Health Care Cost Containment System- State Medicaid Agency</t>
  </si>
  <si>
    <t xml:space="preserve">Harris County Hospital District d/b/a Harris Health </t>
  </si>
  <si>
    <t>Harbor</t>
  </si>
  <si>
    <t>09/30/2025</t>
  </si>
  <si>
    <t>Emergency Responders Health Center</t>
  </si>
  <si>
    <t>09/26/2025</t>
  </si>
  <si>
    <t xml:space="preserve">Valley Radiology </t>
  </si>
  <si>
    <t>09/25/2025</t>
  </si>
  <si>
    <t>Rockhill WomenвЂ™s Care</t>
  </si>
  <si>
    <t>Susan B. Allen Memorial Hospital</t>
  </si>
  <si>
    <t>Philadelphia Corporation for Aging (PCA)</t>
  </si>
  <si>
    <t>09/23/2025</t>
  </si>
  <si>
    <t>Healthcare Interactive</t>
  </si>
  <si>
    <t>09/22/2025</t>
  </si>
  <si>
    <t xml:space="preserve">Veradigm LLC   </t>
  </si>
  <si>
    <t xml:space="preserve">City of St. Joseph, MO Health Department </t>
  </si>
  <si>
    <t>People Encouraging People</t>
  </si>
  <si>
    <t>09/19/2025</t>
  </si>
  <si>
    <t>Ennoble Care &amp; Circa Health, LLC</t>
  </si>
  <si>
    <t>09/18/2025</t>
  </si>
  <si>
    <t>Sun Valley Surgery Center</t>
  </si>
  <si>
    <t>Navesink Rehab</t>
  </si>
  <si>
    <t>09/17/2025</t>
  </si>
  <si>
    <t>Millennium Health Systems, LLC</t>
  </si>
  <si>
    <t>09/15/2025</t>
  </si>
  <si>
    <t>Survival Flight, Inc.</t>
  </si>
  <si>
    <t xml:space="preserve">Sandhills Medical Foundation </t>
  </si>
  <si>
    <t>09/14/2025</t>
  </si>
  <si>
    <t xml:space="preserve">Saint Anthony Hospital </t>
  </si>
  <si>
    <t>09/12/2025</t>
  </si>
  <si>
    <t>North Penn Comprehensive Health Services d.b.a Laurel Health Centers</t>
  </si>
  <si>
    <t>PGA Development, Inc.</t>
  </si>
  <si>
    <t>09/10/2025</t>
  </si>
  <si>
    <t>Texas Center for Infectious Disease Associates</t>
  </si>
  <si>
    <t xml:space="preserve">R.F.M.S. Inc. </t>
  </si>
  <si>
    <t>09/09/2025</t>
  </si>
  <si>
    <t>Coos County Family Health Services</t>
  </si>
  <si>
    <t>09/05/2025</t>
  </si>
  <si>
    <t>Medical Associates of Brevard, LLC</t>
  </si>
  <si>
    <t>Twin Cities Pain Clinic</t>
  </si>
  <si>
    <t>09/04/2025</t>
  </si>
  <si>
    <t>Retina Group of Florida</t>
  </si>
  <si>
    <t>09/03/2025</t>
  </si>
  <si>
    <t>Teamsters Union 25 Health Services &amp; Insurance Plan</t>
  </si>
  <si>
    <t>La Perouse, LLC</t>
  </si>
  <si>
    <t>09/02/2025</t>
  </si>
  <si>
    <t>North Oaks Health System</t>
  </si>
  <si>
    <t>Carrollton Ear, Nose and Throat, PC</t>
  </si>
  <si>
    <t>08/29/2025</t>
  </si>
  <si>
    <t>Reimagine Network</t>
  </si>
  <si>
    <t xml:space="preserve">Anthony L. Jordan Health Corporation </t>
  </si>
  <si>
    <t>Greater Pittsburgh Orthopaedics Associates</t>
  </si>
  <si>
    <t>08/27/2025</t>
  </si>
  <si>
    <t>College Hometown Pharmacy</t>
  </si>
  <si>
    <t>08/25/2025</t>
  </si>
  <si>
    <t>College Parkside Pharmacy</t>
  </si>
  <si>
    <t>Assisted Living Pharmacy Service, LLC</t>
  </si>
  <si>
    <t>Prime Therapeutics LLC</t>
  </si>
  <si>
    <t>Pacific Imaging Management, LLC</t>
  </si>
  <si>
    <t>C. B. King Memorial School</t>
  </si>
  <si>
    <t>08/22/2025</t>
  </si>
  <si>
    <t xml:space="preserve">Beech Acres Parenting Center </t>
  </si>
  <si>
    <t>Vance County Department of Social Services</t>
  </si>
  <si>
    <t>Independent Health Association, Inc.</t>
  </si>
  <si>
    <t>McEwen &amp; Associates</t>
  </si>
  <si>
    <t>08/21/2025</t>
  </si>
  <si>
    <t>Vital Imaging Medical Diagnostic Centers, LLC</t>
  </si>
  <si>
    <t>Arkansas Primary Care Clinic</t>
  </si>
  <si>
    <t>08/20/2025</t>
  </si>
  <si>
    <t>MRI Associates of St. Pete, Inc. d/b/a Saint Pete MRI</t>
  </si>
  <si>
    <t>08/19/2025</t>
  </si>
  <si>
    <t>Revere Health PC</t>
  </si>
  <si>
    <t>CareTracker, Inc.</t>
  </si>
  <si>
    <t>08/18/2025</t>
  </si>
  <si>
    <t>Bevel Health Medical Group</t>
  </si>
  <si>
    <t>Pediatric Otolaryngology Head &amp; Neck Surgery Associates, P.A.</t>
  </si>
  <si>
    <t xml:space="preserve">CPAP Medical Supplies and Services Inc. </t>
  </si>
  <si>
    <t>08/15/2025</t>
  </si>
  <si>
    <t>Lake City Cancer Care, LLC</t>
  </si>
  <si>
    <t>Alert Medical Alarms</t>
  </si>
  <si>
    <t>Mower County Health and Human Services</t>
  </si>
  <si>
    <t>Welcome Dentistry-Anaheim</t>
  </si>
  <si>
    <t>Welcome Dentistry-Los Angeles</t>
  </si>
  <si>
    <t>08/13/2025</t>
  </si>
  <si>
    <t xml:space="preserve">Tombigbee Healthcare Authority dba Whitfield Regional Hospital </t>
  </si>
  <si>
    <t>08/12/2025</t>
  </si>
  <si>
    <t>Zelis Healthcare LLC</t>
  </si>
  <si>
    <t>Dr. Doug's Pediatric Dentistry</t>
  </si>
  <si>
    <t>08/11/2025</t>
  </si>
  <si>
    <t>Mission City Community Network, Inc.</t>
  </si>
  <si>
    <t>08/09/2025</t>
  </si>
  <si>
    <t>Aflac Incorporated (вЂњAflacвЂќ)</t>
  </si>
  <si>
    <t>08/08/2025</t>
  </si>
  <si>
    <t>Friesen Group</t>
  </si>
  <si>
    <t>Center for Disability Services, Inc.</t>
  </si>
  <si>
    <t>South Coast Pediatrics</t>
  </si>
  <si>
    <t>08/05/2025</t>
  </si>
  <si>
    <t>Oglethorpe, Inc.</t>
  </si>
  <si>
    <t>Westminster Village Greenwood, Inc.</t>
  </si>
  <si>
    <t>08/04/2025</t>
  </si>
  <si>
    <t xml:space="preserve">MDLand International Corporation </t>
  </si>
  <si>
    <t>Highlands Oncology Group PA</t>
  </si>
  <si>
    <t>08/01/2025</t>
  </si>
  <si>
    <t>Langdon &amp; Company, LLP Certified Public Accountants</t>
  </si>
  <si>
    <t>DaVita Inc.</t>
  </si>
  <si>
    <t>David A. Nover, M.D., P.C.</t>
  </si>
  <si>
    <t>07/31/2025</t>
  </si>
  <si>
    <t>Vail Summit Orthopaedics</t>
  </si>
  <si>
    <t>The Center at Cordera</t>
  </si>
  <si>
    <t>07/29/2025</t>
  </si>
  <si>
    <t>Compass Counseling Services, LLC</t>
  </si>
  <si>
    <t>Alera Group, Inc.</t>
  </si>
  <si>
    <t>PhyNet Dermatology, LLC</t>
  </si>
  <si>
    <t xml:space="preserve">Northwest Denture Center, Inc. </t>
  </si>
  <si>
    <t>07/25/2025</t>
  </si>
  <si>
    <t>Nova Recovery Center, LLC d/b/a Nova Recovery Center</t>
  </si>
  <si>
    <t>07/24/2025</t>
  </si>
  <si>
    <t>McKenzie Memorial Hospital</t>
  </si>
  <si>
    <t xml:space="preserve">Gastroenterology Consultants of South Texas </t>
  </si>
  <si>
    <t>07/22/2025</t>
  </si>
  <si>
    <t>Boutin Jones</t>
  </si>
  <si>
    <t>07/21/2025</t>
  </si>
  <si>
    <t>Kettering Adventist Healthcare</t>
  </si>
  <si>
    <t>Dr. Michael Bilikas and Associates d.b.a. 32 Pearls</t>
  </si>
  <si>
    <t>Equilibria Mental Health Services</t>
  </si>
  <si>
    <t>07/20/2025</t>
  </si>
  <si>
    <t>Keys Pathology Associates, PA</t>
  </si>
  <si>
    <t>07/19/2025</t>
  </si>
  <si>
    <t>Human Development Services of Westchester</t>
  </si>
  <si>
    <t>07/18/2025</t>
  </si>
  <si>
    <t>Clinica Family Health Services</t>
  </si>
  <si>
    <t>07/14/2025</t>
  </si>
  <si>
    <t>Williamsburg Area Medical Assistance Corporation d/b/a Olde Towne Medical and Dental Center (OTMDC)</t>
  </si>
  <si>
    <t>07/13/2025</t>
  </si>
  <si>
    <t>Picis Clinical Solutions, Inc. d/b/a Medstreaming</t>
  </si>
  <si>
    <t>07/11/2025</t>
  </si>
  <si>
    <t xml:space="preserve">Covenant Health </t>
  </si>
  <si>
    <t xml:space="preserve">Anne Arundel Dermatology </t>
  </si>
  <si>
    <t>Mountain Laurel Dermatology</t>
  </si>
  <si>
    <t>07/10/2025</t>
  </si>
  <si>
    <t>Naper Grove Vision Care</t>
  </si>
  <si>
    <t>Florida Lung, Asthma &amp; Sleep Specialists (FLASS)</t>
  </si>
  <si>
    <t>07/09/2025</t>
  </si>
  <si>
    <t>City of Franklin</t>
  </si>
  <si>
    <t>07/03/2025</t>
  </si>
  <si>
    <t>Zumpano Patricios, P.A.</t>
  </si>
  <si>
    <t xml:space="preserve">Cierant Corporation </t>
  </si>
  <si>
    <t>Arbor Associates, Inc.</t>
  </si>
  <si>
    <t>Urology Associates of Charleston</t>
  </si>
  <si>
    <t>Radiology Associates of Richmond, Inc.</t>
  </si>
  <si>
    <t>07/01/2025</t>
  </si>
  <si>
    <t>Heart of America Medical Center (вЂњHAMCвЂќ)</t>
  </si>
  <si>
    <t>ND</t>
  </si>
  <si>
    <t>06/30/2025</t>
  </si>
  <si>
    <t>Centers for Medicare &amp; Medicaid Services</t>
  </si>
  <si>
    <t>Clinical Practices of the University of Pennsylvania</t>
  </si>
  <si>
    <t>PDCM Insurance</t>
  </si>
  <si>
    <t>06/27/2025</t>
  </si>
  <si>
    <t>Amalgamated Meat Cutters and Retail Food Store Employees Union Local 342 Health Care Fund</t>
  </si>
  <si>
    <t>06/26/2025</t>
  </si>
  <si>
    <t>Clement Manor</t>
  </si>
  <si>
    <t>06/25/2025</t>
  </si>
  <si>
    <t>McLaren Health Care</t>
  </si>
  <si>
    <t>06/24/2025</t>
  </si>
  <si>
    <t>Minneapolis VA Medical Center</t>
  </si>
  <si>
    <t>Mainline Health Systems Inc</t>
  </si>
  <si>
    <t>06/23/2025</t>
  </si>
  <si>
    <t>Blue Shield of California</t>
  </si>
  <si>
    <t xml:space="preserve">Esse Health </t>
  </si>
  <si>
    <t>06/20/2025</t>
  </si>
  <si>
    <t>Los Angeles County Developmental Services Fdn., Inc. dba Frank D. Lanterman Regional Ctr.</t>
  </si>
  <si>
    <t>Retina Associates of Cleveland, Inc.</t>
  </si>
  <si>
    <t>Skin Care Specialty Physicians</t>
  </si>
  <si>
    <t>06/19/2025</t>
  </si>
  <si>
    <t>Marquette County Medical Care Facility</t>
  </si>
  <si>
    <t>06/18/2025</t>
  </si>
  <si>
    <t>Winkler County Hospital District</t>
  </si>
  <si>
    <t>06/17/2025</t>
  </si>
  <si>
    <t>Broadwest Specialty Surgical Center</t>
  </si>
  <si>
    <t>Central Kentucky Radiology</t>
  </si>
  <si>
    <t>06/13/2025</t>
  </si>
  <si>
    <t>Diversified Services Enterprises</t>
  </si>
  <si>
    <t>Mount Rogers Community Services</t>
  </si>
  <si>
    <t>Imperial Beach Community Clinic</t>
  </si>
  <si>
    <t>06/12/2025</t>
  </si>
  <si>
    <t>Kelley Drye &amp; Warren LLP</t>
  </si>
  <si>
    <t xml:space="preserve">Rural Health Services </t>
  </si>
  <si>
    <t>Clarkston Chiropractic Sports &amp; Wellness</t>
  </si>
  <si>
    <t>06/11/2025</t>
  </si>
  <si>
    <t>Repay Management Services, LLC</t>
  </si>
  <si>
    <t>06/10/2025</t>
  </si>
  <si>
    <t>Episource, LLC</t>
  </si>
  <si>
    <t>06/06/2025</t>
  </si>
  <si>
    <t>Sharp Community Medical Group</t>
  </si>
  <si>
    <t>Public Health Trust of Miami Dade County DBA Jackson Health System</t>
  </si>
  <si>
    <t>Sharp HealthCare</t>
  </si>
  <si>
    <t>Huron Regional Medical Center, Inc.</t>
  </si>
  <si>
    <t>SD</t>
  </si>
  <si>
    <t>Centivo Corporation</t>
  </si>
  <si>
    <t>NYC Health + Hospitals</t>
  </si>
  <si>
    <t>Upper Dublin Family Dentistry</t>
  </si>
  <si>
    <t>05/30/2025</t>
  </si>
  <si>
    <t xml:space="preserve">Oliver Street Dermatology Management LLC </t>
  </si>
  <si>
    <t>Providia Home Care, LLC dba Preferred Care Home Health Services</t>
  </si>
  <si>
    <t>Horizon Blue Cross Blue Shield NJ</t>
  </si>
  <si>
    <t>Next Step Healthcare LLC</t>
  </si>
  <si>
    <t>Northwestern Community Services Board</t>
  </si>
  <si>
    <t>05/29/2025</t>
  </si>
  <si>
    <t xml:space="preserve">Gateway Community Services, Inc. </t>
  </si>
  <si>
    <t>The Smith Institute for Urology</t>
  </si>
  <si>
    <t>05/28/2025</t>
  </si>
  <si>
    <t>Covenant Surgical Partners, Inc.</t>
  </si>
  <si>
    <t>Mary B. Toporcer, MD, P.C.</t>
  </si>
  <si>
    <t>NHPP Physical Medicine and Rehabilitation</t>
  </si>
  <si>
    <t>05/23/2025</t>
  </si>
  <si>
    <t>Sports Physical Therapy, Occupational Therapy and Rehabilitation Services of the North Shore, P.L.L.C</t>
  </si>
  <si>
    <t>North Shore University Hospital Sleep Disorders Center</t>
  </si>
  <si>
    <t>The Cooper Health System</t>
  </si>
  <si>
    <t>Community Hospital of Anaconda</t>
  </si>
  <si>
    <t>MT</t>
  </si>
  <si>
    <t>05/19/2025</t>
  </si>
  <si>
    <t>Insulet Corporation</t>
  </si>
  <si>
    <t>05/16/2025</t>
  </si>
  <si>
    <t>Mercy Surgical Dressing Group, Inc.</t>
  </si>
  <si>
    <t>Compassion Health Care, Inc.</t>
  </si>
  <si>
    <t>Harbin Clinic, LLC</t>
  </si>
  <si>
    <t>Weiser Valley Hospital District dba Weiser Memorial Hospital</t>
  </si>
  <si>
    <t>05/15/2025</t>
  </si>
  <si>
    <t>CareNexa, LLC, doing business as Molecular Testing Labs</t>
  </si>
  <si>
    <t>Hunter Health Clinic</t>
  </si>
  <si>
    <t>Anne Arundel County Department of Health</t>
  </si>
  <si>
    <t>Washington Gastroenterology</t>
  </si>
  <si>
    <t>05/09/2025</t>
  </si>
  <si>
    <t>Blue Cross Blue Shield of Texas</t>
  </si>
  <si>
    <t>Tri-City Cardiology Consultants, P.C.</t>
  </si>
  <si>
    <t>05/08/2025</t>
  </si>
  <si>
    <t>Allied Services Division Welfare Fund</t>
  </si>
  <si>
    <t>05/07/2025</t>
  </si>
  <si>
    <t>The Carpenter Health Network</t>
  </si>
  <si>
    <t>05/06/2025</t>
  </si>
  <si>
    <t>Minnesota Orthodontics and Dentofacial Orthopedics, P.A.</t>
  </si>
  <si>
    <t>05/05/2025</t>
  </si>
  <si>
    <t>Monongalia Health System, Inc.</t>
  </si>
  <si>
    <t>05/03/2025</t>
  </si>
  <si>
    <t>CardioVascular Health Clinic</t>
  </si>
  <si>
    <t>Absolute Dental Group, LLC</t>
  </si>
  <si>
    <t>05/02/2025</t>
  </si>
  <si>
    <t>DermCare Management</t>
  </si>
  <si>
    <t>Canby Clinic</t>
  </si>
  <si>
    <t>04/30/2025</t>
  </si>
  <si>
    <t>Berkeley Research Group, LLC</t>
  </si>
  <si>
    <t>Physician Wound Solutions, LLC dba Apollo Medical Supply</t>
  </si>
  <si>
    <t>04/29/2025</t>
  </si>
  <si>
    <t>Minnesota Epilepsy Group</t>
  </si>
  <si>
    <t>04/28/2025</t>
  </si>
  <si>
    <t>Ascension Health</t>
  </si>
  <si>
    <t>Carlton County Public Health and Human Services</t>
  </si>
  <si>
    <t>04/25/2025</t>
  </si>
  <si>
    <t>Brainard Surgery Center LLC</t>
  </si>
  <si>
    <t>04/24/2025</t>
  </si>
  <si>
    <t>Palo Verde Hospital</t>
  </si>
  <si>
    <t>Drug and Alcohol Treatment Services, Inc.</t>
  </si>
  <si>
    <t xml:space="preserve">Cache Valley Ear Nose &amp; Throat </t>
  </si>
  <si>
    <t>Orthopaedic Specialists of Connecticut</t>
  </si>
  <si>
    <t>04/23/2025</t>
  </si>
  <si>
    <t>Icon Family Healthcare LLC</t>
  </si>
  <si>
    <t>04/22/2025</t>
  </si>
  <si>
    <t>HEALTH AND WELLNESS OF TEXAS</t>
  </si>
  <si>
    <t>04/16/2025</t>
  </si>
  <si>
    <t>Electronic Medical Record, Email</t>
  </si>
  <si>
    <t>Bell Ambulance, Inc.</t>
  </si>
  <si>
    <t>04/14/2025</t>
  </si>
  <si>
    <t>Summit Healthcare Medical Associates</t>
  </si>
  <si>
    <t>04/11/2025</t>
  </si>
  <si>
    <t>Altior Healthcare, LLC</t>
  </si>
  <si>
    <t>Endue Software</t>
  </si>
  <si>
    <t>The Gatesworth Senior Living St. Louis</t>
  </si>
  <si>
    <t>Parc Provence Memory Care Facility</t>
  </si>
  <si>
    <t xml:space="preserve">Kelly &amp; Associates Insurance Group, Inc. </t>
  </si>
  <si>
    <t>04/09/2025</t>
  </si>
  <si>
    <t>Alabama Ophthalmology Associates</t>
  </si>
  <si>
    <t>04/08/2025</t>
  </si>
  <si>
    <t>Friendship House, Inc.</t>
  </si>
  <si>
    <t>04/04/2025</t>
  </si>
  <si>
    <t xml:space="preserve">Loretto Hospital </t>
  </si>
  <si>
    <t>Newburgh Healthcare Residential Center, Inc.</t>
  </si>
  <si>
    <t>Dameron Hospital</t>
  </si>
  <si>
    <t>04/02/2025</t>
  </si>
  <si>
    <t>Allegany Council on Alcoholism &amp; Substance Abuse, Inc.</t>
  </si>
  <si>
    <t>Health Services LLC</t>
  </si>
  <si>
    <t>04/01/2025</t>
  </si>
  <si>
    <t>Central District Health Department of Nebraska</t>
  </si>
  <si>
    <t>Willamette Family, Inc.</t>
  </si>
  <si>
    <t>03/31/2025</t>
  </si>
  <si>
    <t xml:space="preserve">Community Dental Care, Inc.  </t>
  </si>
  <si>
    <t>03/28/2025</t>
  </si>
  <si>
    <t>Baptist Hospitals of Southeast Texas</t>
  </si>
  <si>
    <t>Frederick Health</t>
  </si>
  <si>
    <t>James J. Lynch, MD Ltd. dba Swift Institute</t>
  </si>
  <si>
    <t>03/25/2025</t>
  </si>
  <si>
    <t>Bigfork Valley Hospital</t>
  </si>
  <si>
    <t>MedicareCompareUSA</t>
  </si>
  <si>
    <t>03/21/2025</t>
  </si>
  <si>
    <t>MedRevenu, LLC</t>
  </si>
  <si>
    <t xml:space="preserve">Mid Florida Primary Care, PA </t>
  </si>
  <si>
    <t xml:space="preserve">AmeriHealth Caritas Louisiana </t>
  </si>
  <si>
    <t>Fyzical Acquisition Holdings, LLC</t>
  </si>
  <si>
    <t>Millennium Home Health Care</t>
  </si>
  <si>
    <t>03/19/2025</t>
  </si>
  <si>
    <t>Presbyterian Health Plan</t>
  </si>
  <si>
    <t>03/18/2025</t>
  </si>
  <si>
    <t>Lena Pope Home Inc.</t>
  </si>
  <si>
    <t>03/17/2025</t>
  </si>
  <si>
    <t>CDHA Management, LLC and Spark DSO, LLC dba Chord Specialty Dental Partners</t>
  </si>
  <si>
    <t>03/14/2025</t>
  </si>
  <si>
    <t>Baylor Scott &amp; White Texas Spine &amp; Joint Hospital</t>
  </si>
  <si>
    <t xml:space="preserve">Columbia Eye Clinic </t>
  </si>
  <si>
    <t>Nice Healthcare Management Company, Inc</t>
  </si>
  <si>
    <t>03/10/2025</t>
  </si>
  <si>
    <t>SCLARC</t>
  </si>
  <si>
    <t>03/06/2025</t>
  </si>
  <si>
    <t>Laptop, Other Portable Electronic Device, Paper/Films</t>
  </si>
  <si>
    <t xml:space="preserve">Fort Wayne Medical Education Program </t>
  </si>
  <si>
    <t xml:space="preserve">Madison County, MS </t>
  </si>
  <si>
    <t>03/05/2025</t>
  </si>
  <si>
    <t>Manchester Rehabilitation and Healthcare Center</t>
  </si>
  <si>
    <t>03/03/2025</t>
  </si>
  <si>
    <t>Community Care Alliance</t>
  </si>
  <si>
    <t>03/01/2025</t>
  </si>
  <si>
    <t xml:space="preserve">Total Medical Imaging </t>
  </si>
  <si>
    <t>02/28/2025</t>
  </si>
  <si>
    <t xml:space="preserve">Gaylord Hospital, Inc </t>
  </si>
  <si>
    <t>Southeast Series of Lockton Companies, LLC (Lockton)</t>
  </si>
  <si>
    <t>Kronick Moskovitz Tiedemann &amp; Girard</t>
  </si>
  <si>
    <t>CEI Vision Partners, LLC</t>
  </si>
  <si>
    <t>East Hawaii Rehab, Inc. DBA Lehua Physical Therapy and Rehab</t>
  </si>
  <si>
    <t>Other, Other Portable Electronic Device, Paper/Films</t>
  </si>
  <si>
    <t>Lake Washington Vascular</t>
  </si>
  <si>
    <t>02/25/2025</t>
  </si>
  <si>
    <t>Consultants in Pain Medicine</t>
  </si>
  <si>
    <t>02/16/2025</t>
  </si>
  <si>
    <t>Spring Management OK, LLC</t>
  </si>
  <si>
    <t>02/14/2025</t>
  </si>
  <si>
    <t>Restorix Health, Inc.</t>
  </si>
  <si>
    <t>Cornerstones of Care</t>
  </si>
  <si>
    <t>UNITED BACKCARE PS dba Pacific Rehabilitation Centers</t>
  </si>
  <si>
    <t>02/11/2025</t>
  </si>
  <si>
    <t>Columbus Division of Fire</t>
  </si>
  <si>
    <t>02/10/2025</t>
  </si>
  <si>
    <t>CPS Solutions, LLC</t>
  </si>
  <si>
    <t xml:space="preserve">Escambia Community Clinics, Inc. dba Community Health Northwest Florida </t>
  </si>
  <si>
    <t>02/03/2025</t>
  </si>
  <si>
    <t>ARC Community Services, Inc.</t>
  </si>
  <si>
    <t>02/02/2025</t>
  </si>
  <si>
    <t>PIH Health, Inc.</t>
  </si>
  <si>
    <t>01/31/2025</t>
  </si>
  <si>
    <t xml:space="preserve">Mental Health Association Inc. </t>
  </si>
  <si>
    <t>Community Health Center, Inc.</t>
  </si>
  <si>
    <t>01/30/2025</t>
  </si>
  <si>
    <t>Spring River Mental Health &amp; Wellness</t>
  </si>
  <si>
    <t>01/24/2025</t>
  </si>
  <si>
    <t xml:space="preserve">Inlet Health dba Communicare </t>
  </si>
  <si>
    <t>01/22/2025</t>
  </si>
  <si>
    <t xml:space="preserve">Holdrege Memorial Homes, Inc. </t>
  </si>
  <si>
    <t>01/20/2025</t>
  </si>
  <si>
    <t>Behavioral Health Resources</t>
  </si>
  <si>
    <t>01/17/2025</t>
  </si>
  <si>
    <t>Alpine Ears, Nose &amp; Throat, P.L.L.C.</t>
  </si>
  <si>
    <t>Community Treatment Solutions</t>
  </si>
  <si>
    <t>01/16/2025</t>
  </si>
  <si>
    <t xml:space="preserve">Mid America Physician Services </t>
  </si>
  <si>
    <t>01/13/2025</t>
  </si>
  <si>
    <t>Samaritan Counseling Center of the Fox Valley</t>
  </si>
  <si>
    <t>01/10/2025</t>
  </si>
  <si>
    <t>Medusind Inc.</t>
  </si>
  <si>
    <t>01/07/2025</t>
  </si>
  <si>
    <t>Buffalo Surgery Center</t>
  </si>
  <si>
    <t>01/04/2025</t>
  </si>
  <si>
    <t>The Plastic Surgery Center</t>
  </si>
  <si>
    <t>01/03/2025</t>
  </si>
  <si>
    <t>Watsonville Community Hospital</t>
  </si>
  <si>
    <t>12/31/2024</t>
  </si>
  <si>
    <t>Legacy Treatment Services, Inc.</t>
  </si>
  <si>
    <t>Omaha Surgical Center</t>
  </si>
  <si>
    <t>12/30/2024</t>
  </si>
  <si>
    <t>Dragonfly Health</t>
  </si>
  <si>
    <t>12/27/2024</t>
  </si>
  <si>
    <t>Polaris Endeavors</t>
  </si>
  <si>
    <t>12/24/2024</t>
  </si>
  <si>
    <t>Khalil Foundation (DBA Khalil Center)</t>
  </si>
  <si>
    <t>12/22/2024</t>
  </si>
  <si>
    <t>Effortless Office Enterprises, LLC</t>
  </si>
  <si>
    <t>12/20/2024</t>
  </si>
  <si>
    <t>HealthEquity, Inc.</t>
  </si>
  <si>
    <t>PracticeSuite, Inc.</t>
  </si>
  <si>
    <t>12/17/2024</t>
  </si>
  <si>
    <t xml:space="preserve">Community Connections </t>
  </si>
  <si>
    <t>12/11/2024</t>
  </si>
  <si>
    <t>River Region Cardiology</t>
  </si>
  <si>
    <t>Texas Tech University Health Sciences Center El Paso</t>
  </si>
  <si>
    <t>11/25/2024</t>
  </si>
  <si>
    <t>Texas Tech University Health Sciences Center</t>
  </si>
  <si>
    <t>Citadel of Northbrook</t>
  </si>
  <si>
    <t>Conceptions Reproductive Associates of Colorado</t>
  </si>
  <si>
    <t>East Central Missouri Behavioral Health Services, Inc.</t>
  </si>
  <si>
    <t>11/21/2024</t>
  </si>
  <si>
    <t xml:space="preserve">Laboratory Services Cooperative </t>
  </si>
  <si>
    <t>11/20/2024</t>
  </si>
  <si>
    <t>Terrace of Hialeah</t>
  </si>
  <si>
    <t>11/18/2024</t>
  </si>
  <si>
    <t>Dolton Nursing &amp; Rehab, LLC</t>
  </si>
  <si>
    <t>ESHA, Inc.</t>
  </si>
  <si>
    <t>11/15/2024</t>
  </si>
  <si>
    <t>ASPEN HEALTHCARE SERVICES INC</t>
  </si>
  <si>
    <t xml:space="preserve">Rocky Mountain Gastroenterology Associates PLLC </t>
  </si>
  <si>
    <t>11/13/2024</t>
  </si>
  <si>
    <t>Radiologic Medical Services, P.C.</t>
  </si>
  <si>
    <t>11/12/2024</t>
  </si>
  <si>
    <t>Humboldt Independent Practice Association (Humboldt IPA)</t>
  </si>
  <si>
    <t>11/11/2024</t>
  </si>
  <si>
    <t>Huron Inc. Health Plan</t>
  </si>
  <si>
    <t>11/08/2024</t>
  </si>
  <si>
    <t>Great Plains Regional Medical Center</t>
  </si>
  <si>
    <t>11/07/2024</t>
  </si>
  <si>
    <t>Mohawk Valley Cardiology, P.C.</t>
  </si>
  <si>
    <t>11/04/2024</t>
  </si>
  <si>
    <t>Northeast Professional Home Care, Inc.</t>
  </si>
  <si>
    <t>11/01/2024</t>
  </si>
  <si>
    <t>Brain &amp; Eye Connection Vision Clinic, PC</t>
  </si>
  <si>
    <t xml:space="preserve">Gandara Mental Health Center </t>
  </si>
  <si>
    <t>10/24/2024</t>
  </si>
  <si>
    <t>Mystic Valley Elder Services - Business Associate</t>
  </si>
  <si>
    <t>10/22/2024</t>
  </si>
  <si>
    <t>Clay Platte Family Medicine</t>
  </si>
  <si>
    <t>10/18/2024</t>
  </si>
  <si>
    <t>Advanced Recovery Equipment &amp; Supplies, LLC</t>
  </si>
  <si>
    <t>Detroit Wayne Integrated Health Network</t>
  </si>
  <si>
    <t>RRCA Accounts Management Inc.</t>
  </si>
  <si>
    <t>Summit Pathology and Summit Pathology Laboratories, Inc.</t>
  </si>
  <si>
    <t xml:space="preserve">Ad Valorem Records, Inc. </t>
  </si>
  <si>
    <t>10/11/2024</t>
  </si>
  <si>
    <t>Wilmington Community Clinic</t>
  </si>
  <si>
    <t>TheraCom, L.L.C.</t>
  </si>
  <si>
    <t>10/08/2024</t>
  </si>
  <si>
    <t>Schneider Regional Medical Center</t>
  </si>
  <si>
    <t>10/07/2024</t>
  </si>
  <si>
    <t>Ciox Health LLC, d/b/a Datavant Group</t>
  </si>
  <si>
    <t>ATSG, Inc</t>
  </si>
  <si>
    <t>10/04/2024</t>
  </si>
  <si>
    <t>Muskogee City County Enhanced 911 Trust Authority</t>
  </si>
  <si>
    <t>09/20/2024</t>
  </si>
  <si>
    <t>Jacobsen Construction Co., Inc. Health Plan</t>
  </si>
  <si>
    <t>Southern Bone &amp; Joint Specialists, PA (вЂњSouthern BoneвЂќ)</t>
  </si>
  <si>
    <t>09/17/2024</t>
  </si>
  <si>
    <t>Maryville Academy</t>
  </si>
  <si>
    <t>09/13/2024</t>
  </si>
  <si>
    <t>Nationwide Recovery Services, Inc.</t>
  </si>
  <si>
    <t>09/09/2024</t>
  </si>
  <si>
    <t>Welcome Health</t>
  </si>
  <si>
    <t>09/06/2024</t>
  </si>
  <si>
    <t>CODAC Inc dba CODAC Behavioral Health and CODAC Healthcare, LLC</t>
  </si>
  <si>
    <t>08/27/2024</t>
  </si>
  <si>
    <t>Excelsior Orthopaedics, LLC</t>
  </si>
  <si>
    <t>08/21/2024</t>
  </si>
  <si>
    <t>Community Counseling of Bristol County, Inc.</t>
  </si>
  <si>
    <t>07/19/2024</t>
  </si>
  <si>
    <t>Regional Obstetrical Consultants PC</t>
  </si>
  <si>
    <t>07/02/2024</t>
  </si>
  <si>
    <t>Georgia Kidney Associates, Inc.</t>
  </si>
  <si>
    <t>06/28/2024</t>
  </si>
  <si>
    <t>Medical Express Ambulance Inc.  D/B/A Medex Ambulance</t>
  </si>
  <si>
    <t>05/02/2024</t>
  </si>
  <si>
    <t xml:space="preserve">Cumberland Heights Foundation, Inc. </t>
  </si>
  <si>
    <t>04/19/2024</t>
  </si>
  <si>
    <t xml:space="preserve">Bradford Health Services, LLC </t>
  </si>
  <si>
    <t>02/06/2024</t>
  </si>
  <si>
    <t>Claxton-Hepburn Medical Center</t>
  </si>
  <si>
    <t>11/02/2023</t>
  </si>
  <si>
    <t>Premier Health Partners and wholly owned covered entities listed in description section below</t>
  </si>
  <si>
    <t>10/12/2023</t>
  </si>
  <si>
    <t>Неделя</t>
  </si>
  <si>
    <t xml:space="preserve">Кол-во инцидентов </t>
  </si>
  <si>
    <t>Прогнозируемое значени</t>
  </si>
  <si>
    <t>Относительная ошибка</t>
  </si>
  <si>
    <t>Абсолютная ошибка</t>
  </si>
  <si>
    <t>t</t>
  </si>
  <si>
    <t>Инциденты y_t</t>
  </si>
  <si>
    <t>Максимум до t</t>
  </si>
  <si>
    <t>Минимум до t</t>
  </si>
  <si>
    <t>u_t</t>
  </si>
  <si>
    <t>l_t</t>
  </si>
  <si>
    <t>d_t = u_t-l_t</t>
  </si>
  <si>
    <t>1/t</t>
  </si>
  <si>
    <t>a</t>
  </si>
  <si>
    <t xml:space="preserve"> b</t>
  </si>
  <si>
    <t>Неделя t</t>
  </si>
  <si>
    <t>Дата недели</t>
  </si>
  <si>
    <t>Факт (только 1–60)</t>
  </si>
  <si>
    <t>Свободный член a</t>
  </si>
  <si>
    <t>Вклад наклона b·t</t>
  </si>
  <si>
    <t>Линия тренда a+b·t</t>
  </si>
  <si>
    <t>Период</t>
  </si>
  <si>
    <t>Номер недели</t>
  </si>
  <si>
    <t>Известное x_t</t>
  </si>
  <si>
    <t>Факт для проверки</t>
  </si>
  <si>
    <t>Линейный тренд / прогноз</t>
  </si>
  <si>
    <t>Прогноз округлённый</t>
  </si>
  <si>
    <t>Цепной прирост</t>
  </si>
  <si>
    <t>Базисный прирост к x_60</t>
  </si>
  <si>
    <t>Накоплено инцидентов</t>
  </si>
  <si>
    <t>Накопленный прирост к x_60</t>
  </si>
  <si>
    <t>Цепной темп роста, %</t>
  </si>
  <si>
    <t>Базисный темп роста, %</t>
  </si>
  <si>
    <t>Цепной темп прироста, %</t>
  </si>
  <si>
    <t>Базисный темп прироста, %</t>
  </si>
  <si>
    <t>Относительная ошибка, %</t>
  </si>
  <si>
    <t>Квадрат ошибки</t>
  </si>
  <si>
    <t>sMAPE, %</t>
  </si>
  <si>
    <t>Учебный метод Δ̄</t>
  </si>
  <si>
    <t>Накопленный итог с 1-й недели</t>
  </si>
  <si>
    <t>Показатель</t>
  </si>
  <si>
    <t>Значение</t>
  </si>
  <si>
    <t>Известных недель</t>
  </si>
  <si>
    <t>Проверочных недель</t>
  </si>
  <si>
    <t>Уровень доверия</t>
  </si>
  <si>
    <t>Наклон линейного тренда</t>
  </si>
  <si>
    <t>Свободный член</t>
  </si>
  <si>
    <t>Верхних рекордов U</t>
  </si>
  <si>
    <t>Нижних рекордов L</t>
  </si>
  <si>
    <t>D = U-L</t>
  </si>
  <si>
    <t>Стандартная ошибка D</t>
  </si>
  <si>
    <t>Статистика Z</t>
  </si>
  <si>
    <t>Критическое значение Z</t>
  </si>
  <si>
    <t>Двусторонний p-value</t>
  </si>
  <si>
    <t>Вывод о тренде</t>
  </si>
  <si>
    <t>Сумма прогноза 61–99</t>
  </si>
  <si>
    <t>Сумма факта 61–99</t>
  </si>
  <si>
    <t>MAE</t>
  </si>
  <si>
    <t>RMSE</t>
  </si>
  <si>
    <t>WAPE, %</t>
  </si>
  <si>
    <t>Смещение прогноза</t>
  </si>
  <si>
    <t>Средний абсолютный прирост 1–60</t>
  </si>
  <si>
    <t>Прогноз на неделю 61</t>
  </si>
  <si>
    <t>Прогноз на неделю 99</t>
  </si>
  <si>
    <t>Номер t</t>
  </si>
  <si>
    <t>Факт 1–60</t>
  </si>
  <si>
    <t>Цепной абсолютный прирост</t>
  </si>
  <si>
    <t>Средний абсолютный прирост</t>
  </si>
  <si>
    <t>Прогноз без округления</t>
  </si>
  <si>
    <t>Прогноз, инциденты</t>
  </si>
  <si>
    <t>Факт 61–99 для проверки</t>
  </si>
  <si>
    <t>Обучающих наблюдений n</t>
  </si>
  <si>
    <t>Первое значение y₁</t>
  </si>
  <si>
    <t>Последнее значение y₆₀</t>
  </si>
  <si>
    <t>Средний абсолютный прирост Δ̄</t>
  </si>
  <si>
    <t>СКО цепных приростов</t>
  </si>
  <si>
    <t>Минимальный прирост</t>
  </si>
  <si>
    <t>Максимальный прирост</t>
  </si>
  <si>
    <t>Прогноз на t=61, без округления</t>
  </si>
  <si>
    <t>Прогноз на t=99, без округления</t>
  </si>
  <si>
    <t>MAE по 39 контрольным строкам</t>
  </si>
  <si>
    <t>WAPE по 39 контрольным строкам, %</t>
  </si>
  <si>
    <t>Среднее y₁…y₂₀</t>
  </si>
  <si>
    <t>Среднее y₂₁…y₄₀</t>
  </si>
  <si>
    <t>Среднее y₄₁…y₆₀</t>
  </si>
  <si>
    <t>Формула: ŷ₆₀₊ₕ = y₆₀ + h·Δ̄, где h=1…39.</t>
  </si>
  <si>
    <t>Контрольные факты не участвуют в расчёте Δ̄ и прогноза.</t>
  </si>
  <si>
    <t>Ограничение: низкое y₆₀ делает средний прирост близким к нулю.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</si>
</sst>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#,##0.0000000000"/>
    <numFmt numFmtId="167" formatCode="0.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0"/>
      <color rgb="FFFFFFFF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rgb="FFFFFFFF"/>
      <name val="Calibri"/>
      <family val="2"/>
      <scheme val="minor"/>
    </font>
    <font>
      <sz val="10"/>
      <color rgb="FF243247"/>
      <name val="Calibri"/>
      <family val="2"/>
      <scheme val="minor"/>
    </font>
    <font>
      <i/>
      <sz val="10"/>
      <color rgb="FF697586"/>
      <name val="Calibri"/>
      <family val="2"/>
      <scheme val="minor"/>
    </font>
    <font>
      <i/>
      <sz val="10"/>
      <color rgb="FFC0473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4415F"/>
      </patternFill>
    </fill>
    <fill>
      <patternFill patternType="solid">
        <fgColor rgb="FFFFFF00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A5F"/>
      </patternFill>
    </fill>
    <fill>
      <patternFill patternType="solid">
        <fgColor rgb="FFE8EEF6"/>
      </patternFill>
    </fill>
    <fill>
      <patternFill patternType="solid">
        <fgColor rgb="FFEAF3FF"/>
      </patternFill>
    </fill>
    <fill>
      <patternFill patternType="solid">
        <fgColor rgb="FFF6F7F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56697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/>
    <xf numFmtId="1" fontId="0" fillId="0" borderId="0" xfId="0" applyNumberFormat="1" applyFont="1" applyFill="1" applyBorder="1"/>
    <xf numFmtId="165" fontId="0" fillId="0" borderId="0" xfId="0" applyNumberFormat="1" applyFont="1" applyFill="1" applyBorder="1"/>
    <xf numFmtId="10" fontId="0" fillId="0" borderId="0" xfId="0" applyNumberFormat="1" applyFont="1" applyFill="1" applyBorder="1"/>
    <xf numFmtId="0" fontId="3" fillId="0" borderId="1" xfId="0" applyFont="1" applyBorder="1"/>
    <xf numFmtId="164" fontId="1" fillId="0" borderId="1" xfId="0" applyNumberFormat="1" applyFont="1" applyFill="1" applyBorder="1" applyAlignment="1">
      <alignment horizontal="right"/>
    </xf>
    <xf numFmtId="1" fontId="1" fillId="0" borderId="1" xfId="0" applyNumberFormat="1" applyFont="1" applyFill="1" applyBorder="1"/>
    <xf numFmtId="3" fontId="1" fillId="0" borderId="2" xfId="0" applyNumberFormat="1" applyFont="1" applyFill="1" applyBorder="1" applyAlignment="1">
      <alignment horizontal="right"/>
    </xf>
    <xf numFmtId="164" fontId="1" fillId="0" borderId="2" xfId="0" applyNumberFormat="1" applyFont="1" applyFill="1" applyBorder="1" applyAlignment="1">
      <alignment horizontal="right"/>
    </xf>
    <xf numFmtId="1" fontId="1" fillId="0" borderId="2" xfId="0" applyNumberFormat="1" applyFont="1" applyFill="1" applyBorder="1"/>
    <xf numFmtId="0" fontId="0" fillId="0" borderId="0" xfId="0"/>
    <xf numFmtId="16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3" fontId="0" fillId="0" borderId="0" xfId="0" applyNumberFormat="1"/>
    <xf numFmtId="166" fontId="1" fillId="0" borderId="1" xfId="0" applyNumberFormat="1" applyFont="1" applyBorder="1" applyAlignment="1">
      <alignment horizontal="right"/>
    </xf>
    <xf numFmtId="166" fontId="3" fillId="0" borderId="1" xfId="0" applyNumberFormat="1" applyFont="1" applyBorder="1"/>
    <xf numFmtId="0" fontId="5" fillId="5" borderId="0" xfId="0" applyNumberFormat="1" applyFont="1" applyFill="1" applyBorder="1"/>
    <xf numFmtId="0" fontId="5" fillId="5" borderId="0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/>
    <xf numFmtId="164" fontId="6" fillId="0" borderId="0" xfId="0" applyNumberFormat="1" applyFont="1" applyFill="1" applyBorder="1"/>
    <xf numFmtId="1" fontId="6" fillId="0" borderId="0" xfId="0" applyNumberFormat="1" applyFont="1" applyFill="1" applyBorder="1"/>
    <xf numFmtId="165" fontId="6" fillId="0" borderId="0" xfId="0" applyNumberFormat="1" applyFont="1" applyFill="1" applyBorder="1"/>
    <xf numFmtId="2" fontId="6" fillId="0" borderId="0" xfId="0" applyNumberFormat="1" applyFont="1" applyFill="1" applyBorder="1"/>
    <xf numFmtId="0" fontId="7" fillId="0" borderId="0" xfId="0" applyNumberFormat="1" applyFont="1" applyFill="1" applyBorder="1"/>
    <xf numFmtId="0" fontId="8" fillId="0" borderId="0" xfId="0" applyNumberFormat="1" applyFont="1" applyFill="1" applyBorder="1"/>
    <xf numFmtId="0" fontId="6" fillId="6" borderId="0" xfId="0" applyNumberFormat="1" applyFont="1" applyFill="1" applyBorder="1"/>
    <xf numFmtId="164" fontId="6" fillId="6" borderId="0" xfId="0" applyNumberFormat="1" applyFont="1" applyFill="1" applyBorder="1"/>
    <xf numFmtId="1" fontId="6" fillId="6" borderId="0" xfId="0" applyNumberFormat="1" applyFont="1" applyFill="1" applyBorder="1"/>
    <xf numFmtId="165" fontId="6" fillId="6" borderId="0" xfId="0" applyNumberFormat="1" applyFont="1" applyFill="1" applyBorder="1"/>
    <xf numFmtId="165" fontId="6" fillId="7" borderId="0" xfId="0" applyNumberFormat="1" applyFont="1" applyFill="1" applyBorder="1"/>
    <xf numFmtId="1" fontId="6" fillId="7" borderId="0" xfId="0" applyNumberFormat="1" applyFont="1" applyFill="1" applyBorder="1"/>
    <xf numFmtId="1" fontId="6" fillId="8" borderId="0" xfId="0" applyNumberFormat="1" applyFont="1" applyFill="1" applyBorder="1"/>
    <xf numFmtId="167" fontId="6" fillId="8" borderId="0" xfId="0" applyNumberFormat="1" applyFont="1" applyFill="1" applyBorder="1"/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ru-RU"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Кол-во получения </a:t>
            </a:r>
            <a:r>
              <a:rPr lang="en-US"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shell-</a:t>
            </a:r>
            <a:r>
              <a:rPr lang="ru-RU"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доступа к сетевым устройствам в медицинских учереждениях США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Кол-во инцидентов 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</c:spPr>
            <c:txPr>
              <a:bodyPr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Лист2!$A$2:$A$100</c:f>
              <c:numCache>
                <c:formatCode>yyyy\-mm\-dd</c:formatCode>
                <c:ptCount val="99"/>
                <c:pt idx="0">
                  <c:v>45537</c:v>
                </c:pt>
                <c:pt idx="1">
                  <c:v>45544</c:v>
                </c:pt>
                <c:pt idx="2">
                  <c:v>45551</c:v>
                </c:pt>
                <c:pt idx="3">
                  <c:v>45565</c:v>
                </c:pt>
                <c:pt idx="4">
                  <c:v>45572</c:v>
                </c:pt>
                <c:pt idx="5">
                  <c:v>45579</c:v>
                </c:pt>
                <c:pt idx="6">
                  <c:v>45586</c:v>
                </c:pt>
                <c:pt idx="7">
                  <c:v>45593</c:v>
                </c:pt>
                <c:pt idx="8">
                  <c:v>45600</c:v>
                </c:pt>
                <c:pt idx="9">
                  <c:v>45607</c:v>
                </c:pt>
                <c:pt idx="10">
                  <c:v>45614</c:v>
                </c:pt>
                <c:pt idx="11">
                  <c:v>45621</c:v>
                </c:pt>
                <c:pt idx="12">
                  <c:v>45635</c:v>
                </c:pt>
                <c:pt idx="13">
                  <c:v>45642</c:v>
                </c:pt>
                <c:pt idx="14">
                  <c:v>45649</c:v>
                </c:pt>
                <c:pt idx="15">
                  <c:v>45656</c:v>
                </c:pt>
                <c:pt idx="16">
                  <c:v>45663</c:v>
                </c:pt>
                <c:pt idx="17">
                  <c:v>45670</c:v>
                </c:pt>
                <c:pt idx="18">
                  <c:v>45677</c:v>
                </c:pt>
                <c:pt idx="19">
                  <c:v>45684</c:v>
                </c:pt>
                <c:pt idx="20">
                  <c:v>45691</c:v>
                </c:pt>
                <c:pt idx="21">
                  <c:v>45698</c:v>
                </c:pt>
                <c:pt idx="22">
                  <c:v>45712</c:v>
                </c:pt>
                <c:pt idx="23">
                  <c:v>45719</c:v>
                </c:pt>
                <c:pt idx="24">
                  <c:v>45726</c:v>
                </c:pt>
                <c:pt idx="25">
                  <c:v>45733</c:v>
                </c:pt>
                <c:pt idx="26">
                  <c:v>45740</c:v>
                </c:pt>
                <c:pt idx="27">
                  <c:v>45747</c:v>
                </c:pt>
                <c:pt idx="28">
                  <c:v>45754</c:v>
                </c:pt>
                <c:pt idx="29">
                  <c:v>45761</c:v>
                </c:pt>
                <c:pt idx="30">
                  <c:v>45768</c:v>
                </c:pt>
                <c:pt idx="31">
                  <c:v>45775</c:v>
                </c:pt>
                <c:pt idx="32">
                  <c:v>45782</c:v>
                </c:pt>
                <c:pt idx="33">
                  <c:v>45789</c:v>
                </c:pt>
                <c:pt idx="34">
                  <c:v>45796</c:v>
                </c:pt>
                <c:pt idx="35">
                  <c:v>45803</c:v>
                </c:pt>
                <c:pt idx="36">
                  <c:v>45810</c:v>
                </c:pt>
                <c:pt idx="37">
                  <c:v>45817</c:v>
                </c:pt>
                <c:pt idx="38">
                  <c:v>45824</c:v>
                </c:pt>
                <c:pt idx="39">
                  <c:v>45831</c:v>
                </c:pt>
                <c:pt idx="40">
                  <c:v>45838</c:v>
                </c:pt>
                <c:pt idx="41">
                  <c:v>45845</c:v>
                </c:pt>
                <c:pt idx="42">
                  <c:v>45852</c:v>
                </c:pt>
                <c:pt idx="43">
                  <c:v>45859</c:v>
                </c:pt>
                <c:pt idx="44">
                  <c:v>45866</c:v>
                </c:pt>
                <c:pt idx="45">
                  <c:v>45873</c:v>
                </c:pt>
                <c:pt idx="46">
                  <c:v>45880</c:v>
                </c:pt>
                <c:pt idx="47">
                  <c:v>45887</c:v>
                </c:pt>
                <c:pt idx="48">
                  <c:v>45894</c:v>
                </c:pt>
                <c:pt idx="49">
                  <c:v>45901</c:v>
                </c:pt>
                <c:pt idx="50">
                  <c:v>45908</c:v>
                </c:pt>
                <c:pt idx="51">
                  <c:v>45915</c:v>
                </c:pt>
                <c:pt idx="52">
                  <c:v>45922</c:v>
                </c:pt>
                <c:pt idx="53">
                  <c:v>45929</c:v>
                </c:pt>
                <c:pt idx="54">
                  <c:v>45936</c:v>
                </c:pt>
                <c:pt idx="55">
                  <c:v>45943</c:v>
                </c:pt>
                <c:pt idx="56">
                  <c:v>45950</c:v>
                </c:pt>
                <c:pt idx="57">
                  <c:v>45957</c:v>
                </c:pt>
                <c:pt idx="58">
                  <c:v>45964</c:v>
                </c:pt>
                <c:pt idx="59">
                  <c:v>45971</c:v>
                </c:pt>
                <c:pt idx="60">
                  <c:v>45978</c:v>
                </c:pt>
                <c:pt idx="61">
                  <c:v>45985</c:v>
                </c:pt>
                <c:pt idx="62">
                  <c:v>45992</c:v>
                </c:pt>
                <c:pt idx="63">
                  <c:v>45999</c:v>
                </c:pt>
                <c:pt idx="64">
                  <c:v>46006</c:v>
                </c:pt>
                <c:pt idx="65">
                  <c:v>46013</c:v>
                </c:pt>
                <c:pt idx="66">
                  <c:v>46020</c:v>
                </c:pt>
                <c:pt idx="67">
                  <c:v>46027</c:v>
                </c:pt>
                <c:pt idx="68">
                  <c:v>46034</c:v>
                </c:pt>
                <c:pt idx="69">
                  <c:v>46041</c:v>
                </c:pt>
                <c:pt idx="70">
                  <c:v>46048</c:v>
                </c:pt>
                <c:pt idx="71">
                  <c:v>46055</c:v>
                </c:pt>
                <c:pt idx="72">
                  <c:v>46062</c:v>
                </c:pt>
                <c:pt idx="73">
                  <c:v>46069</c:v>
                </c:pt>
                <c:pt idx="74">
                  <c:v>46076</c:v>
                </c:pt>
                <c:pt idx="75">
                  <c:v>46083</c:v>
                </c:pt>
                <c:pt idx="76">
                  <c:v>46090</c:v>
                </c:pt>
                <c:pt idx="77">
                  <c:v>46097</c:v>
                </c:pt>
                <c:pt idx="78">
                  <c:v>46104</c:v>
                </c:pt>
                <c:pt idx="79">
                  <c:v>46111</c:v>
                </c:pt>
                <c:pt idx="80">
                  <c:v>46118</c:v>
                </c:pt>
                <c:pt idx="81">
                  <c:v>46125</c:v>
                </c:pt>
                <c:pt idx="82">
                  <c:v>46132</c:v>
                </c:pt>
                <c:pt idx="83">
                  <c:v>46139</c:v>
                </c:pt>
                <c:pt idx="84">
                  <c:v>46146</c:v>
                </c:pt>
                <c:pt idx="85">
                  <c:v>46153</c:v>
                </c:pt>
                <c:pt idx="86">
                  <c:v>46160</c:v>
                </c:pt>
                <c:pt idx="87">
                  <c:v>46167</c:v>
                </c:pt>
                <c:pt idx="88">
                  <c:v>46174</c:v>
                </c:pt>
                <c:pt idx="89">
                  <c:v>46181</c:v>
                </c:pt>
                <c:pt idx="90">
                  <c:v>46188</c:v>
                </c:pt>
                <c:pt idx="91">
                  <c:v>46195</c:v>
                </c:pt>
                <c:pt idx="92">
                  <c:v>46202</c:v>
                </c:pt>
                <c:pt idx="93">
                  <c:v>46209</c:v>
                </c:pt>
                <c:pt idx="94">
                  <c:v>46216</c:v>
                </c:pt>
                <c:pt idx="95">
                  <c:v>46223</c:v>
                </c:pt>
                <c:pt idx="96">
                  <c:v>46230</c:v>
                </c:pt>
                <c:pt idx="97">
                  <c:v>46237</c:v>
                </c:pt>
                <c:pt idx="98">
                  <c:v>46244</c:v>
                </c:pt>
              </c:numCache>
            </c:numRef>
          </c:cat>
          <c:val>
            <c:numRef>
              <c:f>Лист2!$B$2:$B$100</c:f>
              <c:numCache>
                <c:formatCode>#,##0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  <c:pt idx="60">
                  <c:v>22</c:v>
                </c:pt>
                <c:pt idx="61">
                  <c:v>21</c:v>
                </c:pt>
                <c:pt idx="62">
                  <c:v>19</c:v>
                </c:pt>
                <c:pt idx="63">
                  <c:v>21</c:v>
                </c:pt>
                <c:pt idx="64">
                  <c:v>10</c:v>
                </c:pt>
                <c:pt idx="65">
                  <c:v>7</c:v>
                </c:pt>
                <c:pt idx="66">
                  <c:v>11</c:v>
                </c:pt>
                <c:pt idx="67">
                  <c:v>21</c:v>
                </c:pt>
                <c:pt idx="68">
                  <c:v>15</c:v>
                </c:pt>
                <c:pt idx="69">
                  <c:v>9</c:v>
                </c:pt>
                <c:pt idx="70">
                  <c:v>10</c:v>
                </c:pt>
                <c:pt idx="71">
                  <c:v>15</c:v>
                </c:pt>
                <c:pt idx="72">
                  <c:v>20</c:v>
                </c:pt>
                <c:pt idx="73">
                  <c:v>15</c:v>
                </c:pt>
                <c:pt idx="74">
                  <c:v>15</c:v>
                </c:pt>
                <c:pt idx="75">
                  <c:v>16</c:v>
                </c:pt>
                <c:pt idx="76">
                  <c:v>14</c:v>
                </c:pt>
                <c:pt idx="77">
                  <c:v>15</c:v>
                </c:pt>
                <c:pt idx="78">
                  <c:v>30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14</c:v>
                </c:pt>
                <c:pt idx="86">
                  <c:v>30</c:v>
                </c:pt>
                <c:pt idx="87">
                  <c:v>9</c:v>
                </c:pt>
                <c:pt idx="88">
                  <c:v>31</c:v>
                </c:pt>
                <c:pt idx="89">
                  <c:v>12</c:v>
                </c:pt>
                <c:pt idx="90">
                  <c:v>23</c:v>
                </c:pt>
                <c:pt idx="91">
                  <c:v>18</c:v>
                </c:pt>
                <c:pt idx="92">
                  <c:v>17</c:v>
                </c:pt>
                <c:pt idx="93">
                  <c:v>16</c:v>
                </c:pt>
                <c:pt idx="94">
                  <c:v>26</c:v>
                </c:pt>
                <c:pt idx="95">
                  <c:v>12</c:v>
                </c:pt>
                <c:pt idx="96">
                  <c:v>29</c:v>
                </c:pt>
                <c:pt idx="97">
                  <c:v>8</c:v>
                </c:pt>
                <c:pt idx="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8-458C-87F1-15792978B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663055"/>
        <c:axId val="589656399"/>
      </c:lineChart>
      <c:dateAx>
        <c:axId val="589663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defTabSz="91440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lang="ru-RU" sz="1400" b="0" i="0" baseline="0"/>
                  <a:t>Период (неделя)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589656399"/>
        <c:crosses val="autoZero"/>
        <c:auto val="1"/>
        <c:lblOffset val="100"/>
        <c:baseTimeUnit val="days"/>
      </c:dateAx>
      <c:valAx>
        <c:axId val="589656399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marL="0" marR="0" indent="0" defTabSz="91440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lang="ru-RU" sz="1400" b="0" i="0" baseline="0"/>
                  <a:t>Кол-во инцидентов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58966305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975">
                <a:latin typeface="Arial"/>
                <a:ea typeface="Arial"/>
                <a:cs typeface="Arial"/>
              </a:rPr>
              <a:t>Наблюдения 1–60 и экстраполяция тренда 61–99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 (только 1–60)</c:v>
          </c:tx>
          <c:spPr>
            <a:ln w="19050">
              <a:solidFill>
                <a:srgbClr val="B85655"/>
              </a:solidFill>
              <a:prstDash val="solid"/>
            </a:ln>
          </c:spPr>
          <c:marker>
            <c:symbol val="none"/>
          </c:marker>
          <c:cat>
            <c:numRef>
              <c:f>'Фостер Стюарт'!$P$2:$P$100</c:f>
              <c:numCache>
                <c:formatCode>#,##0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'Фостер Стюарт'!$R$2:$R$61</c:f>
              <c:numCache>
                <c:formatCode>0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D-457E-BFAF-34CDE6D78005}"/>
            </c:ext>
          </c:extLst>
        </c:ser>
        <c:ser>
          <c:idx val="1"/>
          <c:order val="1"/>
          <c:tx>
            <c:v>Линия тренда a+b·t</c:v>
          </c:tx>
          <c:spPr>
            <a:ln w="19050">
              <a:solidFill>
                <a:srgbClr val="2459B3"/>
              </a:solidFill>
              <a:prstDash val="dash"/>
            </a:ln>
          </c:spPr>
          <c:marker>
            <c:symbol val="none"/>
          </c:marker>
          <c:cat>
            <c:numRef>
              <c:f>'Фостер Стюарт'!$P$2:$P$100</c:f>
              <c:numCache>
                <c:formatCode>#,##0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'Фостер Стюарт'!$U$2:$U$100</c:f>
              <c:numCache>
                <c:formatCode>General</c:formatCode>
                <c:ptCount val="99"/>
                <c:pt idx="0" formatCode="#\ ##0.0000000000">
                  <c:v>1.7486338797814207</c:v>
                </c:pt>
                <c:pt idx="1">
                  <c:v>1.90856719459109</c:v>
                </c:pt>
                <c:pt idx="2">
                  <c:v>2.0685005094007596</c:v>
                </c:pt>
                <c:pt idx="3">
                  <c:v>2.2284338242104287</c:v>
                </c:pt>
                <c:pt idx="4">
                  <c:v>2.3883671390200982</c:v>
                </c:pt>
                <c:pt idx="5">
                  <c:v>2.5483004538297678</c:v>
                </c:pt>
                <c:pt idx="6">
                  <c:v>2.7082337686394369</c:v>
                </c:pt>
                <c:pt idx="7">
                  <c:v>2.868167083449106</c:v>
                </c:pt>
                <c:pt idx="8">
                  <c:v>3.0281003982587755</c:v>
                </c:pt>
                <c:pt idx="9">
                  <c:v>3.1880337130684451</c:v>
                </c:pt>
                <c:pt idx="10">
                  <c:v>3.3479670278781142</c:v>
                </c:pt>
                <c:pt idx="11">
                  <c:v>3.5079003426877837</c:v>
                </c:pt>
                <c:pt idx="12">
                  <c:v>3.6678336574974528</c:v>
                </c:pt>
                <c:pt idx="13">
                  <c:v>3.8277669723071224</c:v>
                </c:pt>
                <c:pt idx="14">
                  <c:v>3.9877002871167915</c:v>
                </c:pt>
                <c:pt idx="15">
                  <c:v>4.1476336019264615</c:v>
                </c:pt>
                <c:pt idx="16">
                  <c:v>4.3075669167361301</c:v>
                </c:pt>
                <c:pt idx="17">
                  <c:v>4.4675002315457997</c:v>
                </c:pt>
                <c:pt idx="18">
                  <c:v>4.6274335463554692</c:v>
                </c:pt>
                <c:pt idx="19">
                  <c:v>4.7873668611651379</c:v>
                </c:pt>
                <c:pt idx="20">
                  <c:v>4.9473001759748083</c:v>
                </c:pt>
                <c:pt idx="21">
                  <c:v>5.107233490784477</c:v>
                </c:pt>
                <c:pt idx="22">
                  <c:v>5.2671668055941465</c:v>
                </c:pt>
                <c:pt idx="23">
                  <c:v>5.4271001204038161</c:v>
                </c:pt>
                <c:pt idx="24">
                  <c:v>5.5870334352134847</c:v>
                </c:pt>
                <c:pt idx="25">
                  <c:v>5.7469667500231543</c:v>
                </c:pt>
                <c:pt idx="26">
                  <c:v>5.9069000648328238</c:v>
                </c:pt>
                <c:pt idx="27">
                  <c:v>6.0668333796424934</c:v>
                </c:pt>
                <c:pt idx="28">
                  <c:v>6.2267666944521629</c:v>
                </c:pt>
                <c:pt idx="29">
                  <c:v>6.3867000092618316</c:v>
                </c:pt>
                <c:pt idx="30">
                  <c:v>6.5466333240715011</c:v>
                </c:pt>
                <c:pt idx="31">
                  <c:v>6.7065666388811707</c:v>
                </c:pt>
                <c:pt idx="32">
                  <c:v>6.8664999536908402</c:v>
                </c:pt>
                <c:pt idx="33">
                  <c:v>7.0264332685005098</c:v>
                </c:pt>
                <c:pt idx="34">
                  <c:v>7.1863665833101784</c:v>
                </c:pt>
                <c:pt idx="35">
                  <c:v>7.346299898119848</c:v>
                </c:pt>
                <c:pt idx="36">
                  <c:v>7.5062332129295175</c:v>
                </c:pt>
                <c:pt idx="37">
                  <c:v>7.6661665277391871</c:v>
                </c:pt>
                <c:pt idx="38">
                  <c:v>7.8260998425488557</c:v>
                </c:pt>
                <c:pt idx="39">
                  <c:v>7.9860331573585253</c:v>
                </c:pt>
                <c:pt idx="40">
                  <c:v>8.1459664721681939</c:v>
                </c:pt>
                <c:pt idx="41">
                  <c:v>8.3058997869778644</c:v>
                </c:pt>
                <c:pt idx="42">
                  <c:v>8.4658331017875348</c:v>
                </c:pt>
                <c:pt idx="43">
                  <c:v>8.6257664165972017</c:v>
                </c:pt>
                <c:pt idx="44">
                  <c:v>8.7856997314068721</c:v>
                </c:pt>
                <c:pt idx="45">
                  <c:v>8.9456330462165425</c:v>
                </c:pt>
                <c:pt idx="46">
                  <c:v>9.1055663610262112</c:v>
                </c:pt>
                <c:pt idx="47">
                  <c:v>9.2654996758358799</c:v>
                </c:pt>
                <c:pt idx="48">
                  <c:v>9.4254329906455503</c:v>
                </c:pt>
                <c:pt idx="49">
                  <c:v>9.5853663054552189</c:v>
                </c:pt>
                <c:pt idx="50">
                  <c:v>9.7452996202648876</c:v>
                </c:pt>
                <c:pt idx="51">
                  <c:v>9.905232935074558</c:v>
                </c:pt>
                <c:pt idx="52">
                  <c:v>10.065166249884228</c:v>
                </c:pt>
                <c:pt idx="53">
                  <c:v>10.225099564693895</c:v>
                </c:pt>
                <c:pt idx="54">
                  <c:v>10.385032879503566</c:v>
                </c:pt>
                <c:pt idx="55">
                  <c:v>10.544966194313236</c:v>
                </c:pt>
                <c:pt idx="56">
                  <c:v>10.704899509122903</c:v>
                </c:pt>
                <c:pt idx="57">
                  <c:v>10.864832823932574</c:v>
                </c:pt>
                <c:pt idx="58">
                  <c:v>11.024766138742244</c:v>
                </c:pt>
                <c:pt idx="59">
                  <c:v>11.184699453551911</c:v>
                </c:pt>
                <c:pt idx="60">
                  <c:v>11.344632768361581</c:v>
                </c:pt>
                <c:pt idx="61">
                  <c:v>11.504566083171252</c:v>
                </c:pt>
                <c:pt idx="62">
                  <c:v>11.664499397980922</c:v>
                </c:pt>
                <c:pt idx="63">
                  <c:v>11.824432712790589</c:v>
                </c:pt>
                <c:pt idx="64">
                  <c:v>11.984366027600259</c:v>
                </c:pt>
                <c:pt idx="65">
                  <c:v>12.14429934240993</c:v>
                </c:pt>
                <c:pt idx="66">
                  <c:v>12.304232657219597</c:v>
                </c:pt>
                <c:pt idx="67">
                  <c:v>12.464165972029267</c:v>
                </c:pt>
                <c:pt idx="68">
                  <c:v>12.624099286838938</c:v>
                </c:pt>
                <c:pt idx="69">
                  <c:v>12.784032601648605</c:v>
                </c:pt>
                <c:pt idx="70">
                  <c:v>12.943965916458275</c:v>
                </c:pt>
                <c:pt idx="71">
                  <c:v>13.103899231267945</c:v>
                </c:pt>
                <c:pt idx="72">
                  <c:v>13.263832546077616</c:v>
                </c:pt>
                <c:pt idx="73">
                  <c:v>13.423765860887283</c:v>
                </c:pt>
                <c:pt idx="74">
                  <c:v>13.583699175696953</c:v>
                </c:pt>
                <c:pt idx="75">
                  <c:v>13.743632490506624</c:v>
                </c:pt>
                <c:pt idx="76">
                  <c:v>13.90356580531629</c:v>
                </c:pt>
                <c:pt idx="77">
                  <c:v>14.063499120125961</c:v>
                </c:pt>
                <c:pt idx="78">
                  <c:v>14.223432434935631</c:v>
                </c:pt>
                <c:pt idx="79">
                  <c:v>14.383365749745298</c:v>
                </c:pt>
                <c:pt idx="80">
                  <c:v>14.543299064554969</c:v>
                </c:pt>
                <c:pt idx="81">
                  <c:v>14.703232379364639</c:v>
                </c:pt>
                <c:pt idx="82">
                  <c:v>14.863165694174306</c:v>
                </c:pt>
                <c:pt idx="83">
                  <c:v>15.023099008983976</c:v>
                </c:pt>
                <c:pt idx="84">
                  <c:v>15.183032323793647</c:v>
                </c:pt>
                <c:pt idx="85">
                  <c:v>15.342965638603317</c:v>
                </c:pt>
                <c:pt idx="86">
                  <c:v>15.502898953412984</c:v>
                </c:pt>
                <c:pt idx="87">
                  <c:v>15.662832268222655</c:v>
                </c:pt>
                <c:pt idx="88">
                  <c:v>15.822765583032325</c:v>
                </c:pt>
                <c:pt idx="89">
                  <c:v>15.982698897841992</c:v>
                </c:pt>
                <c:pt idx="90">
                  <c:v>16.142632212651662</c:v>
                </c:pt>
                <c:pt idx="91">
                  <c:v>16.302565527461333</c:v>
                </c:pt>
                <c:pt idx="92">
                  <c:v>16.462498842271</c:v>
                </c:pt>
                <c:pt idx="93">
                  <c:v>16.62243215708067</c:v>
                </c:pt>
                <c:pt idx="94">
                  <c:v>16.782365471890341</c:v>
                </c:pt>
                <c:pt idx="95">
                  <c:v>16.942298786700011</c:v>
                </c:pt>
                <c:pt idx="96">
                  <c:v>17.102232101509678</c:v>
                </c:pt>
                <c:pt idx="97">
                  <c:v>17.262165416319348</c:v>
                </c:pt>
                <c:pt idx="98">
                  <c:v>17.422098731129019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D-457E-BFAF-34CDE6D78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Время, номер недели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At val="0"/>
        <c:auto val="1"/>
        <c:lblAlgn val="ctr"/>
        <c:lblOffset val="100"/>
        <c:tickLblSkip val="1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Инцидентов за неделю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Известный ряд, факт и прогноз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Известное x_t</c:v>
          </c:tx>
          <c:marker>
            <c:symbol val="none"/>
          </c:marker>
          <c:cat>
            <c:numRef>
              <c:f>'Прогноз 60 39'!$A$2:$A$100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'Прогноз 60 39'!$C$2:$C$100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2-427E-AF02-1C7BBCC90178}"/>
            </c:ext>
          </c:extLst>
        </c:ser>
        <c:ser>
          <c:idx val="1"/>
          <c:order val="1"/>
          <c:tx>
            <c:v>Факт для проверки</c:v>
          </c:tx>
          <c:marker>
            <c:symbol val="none"/>
          </c:marker>
          <c:cat>
            <c:numRef>
              <c:f>'Прогноз 60 39'!$A$2:$A$100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'Прогноз 60 39'!$D$2:$D$100</c:f>
              <c:numCache>
                <c:formatCode>General</c:formatCode>
                <c:ptCount val="99"/>
                <c:pt idx="60">
                  <c:v>22</c:v>
                </c:pt>
                <c:pt idx="61">
                  <c:v>21</c:v>
                </c:pt>
                <c:pt idx="62">
                  <c:v>19</c:v>
                </c:pt>
                <c:pt idx="63">
                  <c:v>21</c:v>
                </c:pt>
                <c:pt idx="64">
                  <c:v>10</c:v>
                </c:pt>
                <c:pt idx="65">
                  <c:v>7</c:v>
                </c:pt>
                <c:pt idx="66">
                  <c:v>11</c:v>
                </c:pt>
                <c:pt idx="67">
                  <c:v>21</c:v>
                </c:pt>
                <c:pt idx="68">
                  <c:v>15</c:v>
                </c:pt>
                <c:pt idx="69">
                  <c:v>9</c:v>
                </c:pt>
                <c:pt idx="70">
                  <c:v>10</c:v>
                </c:pt>
                <c:pt idx="71">
                  <c:v>15</c:v>
                </c:pt>
                <c:pt idx="72">
                  <c:v>20</c:v>
                </c:pt>
                <c:pt idx="73">
                  <c:v>15</c:v>
                </c:pt>
                <c:pt idx="74">
                  <c:v>15</c:v>
                </c:pt>
                <c:pt idx="75">
                  <c:v>16</c:v>
                </c:pt>
                <c:pt idx="76">
                  <c:v>14</c:v>
                </c:pt>
                <c:pt idx="77">
                  <c:v>15</c:v>
                </c:pt>
                <c:pt idx="78">
                  <c:v>30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14</c:v>
                </c:pt>
                <c:pt idx="86">
                  <c:v>30</c:v>
                </c:pt>
                <c:pt idx="87">
                  <c:v>9</c:v>
                </c:pt>
                <c:pt idx="88">
                  <c:v>31</c:v>
                </c:pt>
                <c:pt idx="89">
                  <c:v>12</c:v>
                </c:pt>
                <c:pt idx="90">
                  <c:v>23</c:v>
                </c:pt>
                <c:pt idx="91">
                  <c:v>18</c:v>
                </c:pt>
                <c:pt idx="92">
                  <c:v>17</c:v>
                </c:pt>
                <c:pt idx="93">
                  <c:v>16</c:v>
                </c:pt>
                <c:pt idx="94">
                  <c:v>26</c:v>
                </c:pt>
                <c:pt idx="95">
                  <c:v>12</c:v>
                </c:pt>
                <c:pt idx="96">
                  <c:v>29</c:v>
                </c:pt>
                <c:pt idx="97">
                  <c:v>8</c:v>
                </c:pt>
                <c:pt idx="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22-427E-AF02-1C7BBCC90178}"/>
            </c:ext>
          </c:extLst>
        </c:ser>
        <c:ser>
          <c:idx val="2"/>
          <c:order val="2"/>
          <c:tx>
            <c:v>Линейный тренд / прогноз</c:v>
          </c:tx>
          <c:marker>
            <c:symbol val="none"/>
          </c:marker>
          <c:cat>
            <c:numRef>
              <c:f>'Прогноз 60 39'!$A$2:$A$100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'Прогноз 60 39'!$E$2:$E$100</c:f>
              <c:numCache>
                <c:formatCode>0.00</c:formatCode>
                <c:ptCount val="99"/>
                <c:pt idx="0">
                  <c:v>1.7502732240437175</c:v>
                </c:pt>
                <c:pt idx="1">
                  <c:v>1.9101509678614448</c:v>
                </c:pt>
                <c:pt idx="2">
                  <c:v>2.0700287116791718</c:v>
                </c:pt>
                <c:pt idx="3">
                  <c:v>2.229906455496899</c:v>
                </c:pt>
                <c:pt idx="4">
                  <c:v>2.3897841993146258</c:v>
                </c:pt>
                <c:pt idx="5">
                  <c:v>2.5496619431323531</c:v>
                </c:pt>
                <c:pt idx="6">
                  <c:v>2.7095396869500803</c:v>
                </c:pt>
                <c:pt idx="7">
                  <c:v>2.8694174307678075</c:v>
                </c:pt>
                <c:pt idx="8">
                  <c:v>3.0292951745855343</c:v>
                </c:pt>
                <c:pt idx="9">
                  <c:v>3.1891729184032616</c:v>
                </c:pt>
                <c:pt idx="10">
                  <c:v>3.3490506622209884</c:v>
                </c:pt>
                <c:pt idx="11">
                  <c:v>3.5089284060387156</c:v>
                </c:pt>
                <c:pt idx="12">
                  <c:v>3.6688061498564428</c:v>
                </c:pt>
                <c:pt idx="13">
                  <c:v>3.8286838936741701</c:v>
                </c:pt>
                <c:pt idx="14">
                  <c:v>3.9885616374918968</c:v>
                </c:pt>
                <c:pt idx="15">
                  <c:v>4.1484393813096236</c:v>
                </c:pt>
                <c:pt idx="16">
                  <c:v>4.3083171251273509</c:v>
                </c:pt>
                <c:pt idx="17">
                  <c:v>4.4681948689450781</c:v>
                </c:pt>
                <c:pt idx="18">
                  <c:v>4.6280726127628053</c:v>
                </c:pt>
                <c:pt idx="19">
                  <c:v>4.7879503565805326</c:v>
                </c:pt>
                <c:pt idx="20">
                  <c:v>4.9478281003982598</c:v>
                </c:pt>
                <c:pt idx="21">
                  <c:v>5.1077058442159871</c:v>
                </c:pt>
                <c:pt idx="22">
                  <c:v>5.2675835880337143</c:v>
                </c:pt>
                <c:pt idx="23">
                  <c:v>5.4274613318514406</c:v>
                </c:pt>
                <c:pt idx="24">
                  <c:v>5.5873390756691679</c:v>
                </c:pt>
                <c:pt idx="25">
                  <c:v>5.7472168194868951</c:v>
                </c:pt>
                <c:pt idx="26">
                  <c:v>5.9070945633046223</c:v>
                </c:pt>
                <c:pt idx="27">
                  <c:v>6.0669723071223496</c:v>
                </c:pt>
                <c:pt idx="28">
                  <c:v>6.2268500509400759</c:v>
                </c:pt>
                <c:pt idx="29">
                  <c:v>6.3867277947578032</c:v>
                </c:pt>
                <c:pt idx="30">
                  <c:v>6.5466055385755304</c:v>
                </c:pt>
                <c:pt idx="31">
                  <c:v>6.7064832823932576</c:v>
                </c:pt>
                <c:pt idx="32">
                  <c:v>6.8663610262109849</c:v>
                </c:pt>
                <c:pt idx="33">
                  <c:v>7.0262387700287121</c:v>
                </c:pt>
                <c:pt idx="34">
                  <c:v>7.1861165138464393</c:v>
                </c:pt>
                <c:pt idx="35">
                  <c:v>7.3459942576641657</c:v>
                </c:pt>
                <c:pt idx="36">
                  <c:v>7.5058720014818929</c:v>
                </c:pt>
                <c:pt idx="37">
                  <c:v>7.6657497452996202</c:v>
                </c:pt>
                <c:pt idx="38">
                  <c:v>7.8256274891173474</c:v>
                </c:pt>
                <c:pt idx="39">
                  <c:v>7.9855052329350746</c:v>
                </c:pt>
                <c:pt idx="40">
                  <c:v>8.1453829767528028</c:v>
                </c:pt>
                <c:pt idx="41">
                  <c:v>8.3052607205705282</c:v>
                </c:pt>
                <c:pt idx="42">
                  <c:v>8.4651384643882555</c:v>
                </c:pt>
                <c:pt idx="43">
                  <c:v>8.6250162082059827</c:v>
                </c:pt>
                <c:pt idx="44">
                  <c:v>8.7848939520237099</c:v>
                </c:pt>
                <c:pt idx="45">
                  <c:v>8.9447716958414372</c:v>
                </c:pt>
                <c:pt idx="46">
                  <c:v>9.1046494396591644</c:v>
                </c:pt>
                <c:pt idx="47">
                  <c:v>9.2645271834768899</c:v>
                </c:pt>
                <c:pt idx="48">
                  <c:v>9.4244049272946171</c:v>
                </c:pt>
                <c:pt idx="49">
                  <c:v>9.5842826711123443</c:v>
                </c:pt>
                <c:pt idx="50">
                  <c:v>9.7441604149300716</c:v>
                </c:pt>
                <c:pt idx="51">
                  <c:v>9.9040381587477988</c:v>
                </c:pt>
                <c:pt idx="52">
                  <c:v>10.063915902565526</c:v>
                </c:pt>
                <c:pt idx="53">
                  <c:v>10.223793646383253</c:v>
                </c:pt>
                <c:pt idx="54">
                  <c:v>10.383671390200981</c:v>
                </c:pt>
                <c:pt idx="55">
                  <c:v>10.543549134018708</c:v>
                </c:pt>
                <c:pt idx="56">
                  <c:v>10.703426877836435</c:v>
                </c:pt>
                <c:pt idx="57">
                  <c:v>10.863304621654162</c:v>
                </c:pt>
                <c:pt idx="58">
                  <c:v>11.023182365471889</c:v>
                </c:pt>
                <c:pt idx="59">
                  <c:v>11.183060109289617</c:v>
                </c:pt>
                <c:pt idx="60">
                  <c:v>11.342937853107344</c:v>
                </c:pt>
                <c:pt idx="61">
                  <c:v>11.502815596925071</c:v>
                </c:pt>
                <c:pt idx="62">
                  <c:v>11.662693340742798</c:v>
                </c:pt>
                <c:pt idx="63">
                  <c:v>11.822571084560526</c:v>
                </c:pt>
                <c:pt idx="64">
                  <c:v>11.982448828378253</c:v>
                </c:pt>
                <c:pt idx="65">
                  <c:v>12.14232657219598</c:v>
                </c:pt>
                <c:pt idx="66">
                  <c:v>12.302204316013707</c:v>
                </c:pt>
                <c:pt idx="67">
                  <c:v>12.462082059831435</c:v>
                </c:pt>
                <c:pt idx="68">
                  <c:v>12.621959803649162</c:v>
                </c:pt>
                <c:pt idx="69">
                  <c:v>12.781837547466889</c:v>
                </c:pt>
                <c:pt idx="70">
                  <c:v>12.941715291284613</c:v>
                </c:pt>
                <c:pt idx="71">
                  <c:v>13.10159303510234</c:v>
                </c:pt>
                <c:pt idx="72">
                  <c:v>13.261470778920067</c:v>
                </c:pt>
                <c:pt idx="73">
                  <c:v>13.421348522737794</c:v>
                </c:pt>
                <c:pt idx="74">
                  <c:v>13.581226266555522</c:v>
                </c:pt>
                <c:pt idx="75">
                  <c:v>13.741104010373249</c:v>
                </c:pt>
                <c:pt idx="76">
                  <c:v>13.900981754190976</c:v>
                </c:pt>
                <c:pt idx="77">
                  <c:v>14.060859498008703</c:v>
                </c:pt>
                <c:pt idx="78">
                  <c:v>14.220737241826431</c:v>
                </c:pt>
                <c:pt idx="79">
                  <c:v>14.380614985644158</c:v>
                </c:pt>
                <c:pt idx="80">
                  <c:v>14.540492729461885</c:v>
                </c:pt>
                <c:pt idx="81">
                  <c:v>14.700370473279612</c:v>
                </c:pt>
                <c:pt idx="82">
                  <c:v>14.86024821709734</c:v>
                </c:pt>
                <c:pt idx="83">
                  <c:v>15.020125960915067</c:v>
                </c:pt>
                <c:pt idx="84">
                  <c:v>15.180003704732794</c:v>
                </c:pt>
                <c:pt idx="85">
                  <c:v>15.339881448550521</c:v>
                </c:pt>
                <c:pt idx="86">
                  <c:v>15.499759192368249</c:v>
                </c:pt>
                <c:pt idx="87">
                  <c:v>15.659636936185976</c:v>
                </c:pt>
                <c:pt idx="88">
                  <c:v>15.819514680003703</c:v>
                </c:pt>
                <c:pt idx="89">
                  <c:v>15.97939242382143</c:v>
                </c:pt>
                <c:pt idx="90">
                  <c:v>16.139270167639157</c:v>
                </c:pt>
                <c:pt idx="91">
                  <c:v>16.299147911456885</c:v>
                </c:pt>
                <c:pt idx="92">
                  <c:v>16.459025655274612</c:v>
                </c:pt>
                <c:pt idx="93">
                  <c:v>16.618903399092339</c:v>
                </c:pt>
                <c:pt idx="94">
                  <c:v>16.778781142910066</c:v>
                </c:pt>
                <c:pt idx="95">
                  <c:v>16.93865888672779</c:v>
                </c:pt>
                <c:pt idx="96">
                  <c:v>17.098536630545517</c:v>
                </c:pt>
                <c:pt idx="97">
                  <c:v>17.258414374363245</c:v>
                </c:pt>
                <c:pt idx="98">
                  <c:v>17.418292118180972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22-427E-AF02-1C7BBCC90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Накопление прогноза и прироста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39'!$I$61:$I$100</c:f>
              <c:numCache>
                <c:formatCode>0.00</c:formatCode>
                <c:ptCount val="40"/>
                <c:pt idx="1">
                  <c:v>11.342937853107344</c:v>
                </c:pt>
                <c:pt idx="2">
                  <c:v>22.845753450032415</c:v>
                </c:pt>
                <c:pt idx="3">
                  <c:v>34.50844679077521</c:v>
                </c:pt>
                <c:pt idx="4">
                  <c:v>46.331017875335732</c:v>
                </c:pt>
                <c:pt idx="5">
                  <c:v>58.313466703713985</c:v>
                </c:pt>
                <c:pt idx="6">
                  <c:v>70.455793275909969</c:v>
                </c:pt>
                <c:pt idx="7">
                  <c:v>82.757997591923669</c:v>
                </c:pt>
                <c:pt idx="8">
                  <c:v>95.2200796517551</c:v>
                </c:pt>
                <c:pt idx="9">
                  <c:v>107.84203945540426</c:v>
                </c:pt>
                <c:pt idx="10">
                  <c:v>120.62387700287115</c:v>
                </c:pt>
                <c:pt idx="11">
                  <c:v>133.56559229415578</c:v>
                </c:pt>
                <c:pt idx="12">
                  <c:v>146.66718532925813</c:v>
                </c:pt>
                <c:pt idx="13">
                  <c:v>159.92865610817819</c:v>
                </c:pt>
                <c:pt idx="14">
                  <c:v>173.35000463091598</c:v>
                </c:pt>
                <c:pt idx="15">
                  <c:v>186.93123089747149</c:v>
                </c:pt>
                <c:pt idx="16">
                  <c:v>200.67233490784474</c:v>
                </c:pt>
                <c:pt idx="17">
                  <c:v>214.57331666203572</c:v>
                </c:pt>
                <c:pt idx="18">
                  <c:v>228.63417616004443</c:v>
                </c:pt>
                <c:pt idx="19">
                  <c:v>242.85491340187087</c:v>
                </c:pt>
                <c:pt idx="20">
                  <c:v>257.23552838751505</c:v>
                </c:pt>
                <c:pt idx="21">
                  <c:v>271.77602111697695</c:v>
                </c:pt>
                <c:pt idx="22">
                  <c:v>286.47639159025658</c:v>
                </c:pt>
                <c:pt idx="23">
                  <c:v>301.33663980735395</c:v>
                </c:pt>
                <c:pt idx="24">
                  <c:v>316.35676576826904</c:v>
                </c:pt>
                <c:pt idx="25">
                  <c:v>331.53676947300181</c:v>
                </c:pt>
                <c:pt idx="26">
                  <c:v>346.87665092155231</c:v>
                </c:pt>
                <c:pt idx="27">
                  <c:v>362.37641011392054</c:v>
                </c:pt>
                <c:pt idx="28">
                  <c:v>378.0360470501065</c:v>
                </c:pt>
                <c:pt idx="29">
                  <c:v>393.8555617301102</c:v>
                </c:pt>
                <c:pt idx="30">
                  <c:v>409.83495415393162</c:v>
                </c:pt>
                <c:pt idx="31">
                  <c:v>425.97422432157077</c:v>
                </c:pt>
                <c:pt idx="32">
                  <c:v>442.27337223302766</c:v>
                </c:pt>
                <c:pt idx="33">
                  <c:v>458.73239788830227</c:v>
                </c:pt>
                <c:pt idx="34">
                  <c:v>475.35130128739462</c:v>
                </c:pt>
                <c:pt idx="35">
                  <c:v>492.1300824303047</c:v>
                </c:pt>
                <c:pt idx="36">
                  <c:v>509.0687413170325</c:v>
                </c:pt>
                <c:pt idx="37">
                  <c:v>526.16727794757799</c:v>
                </c:pt>
                <c:pt idx="38">
                  <c:v>543.42569232194126</c:v>
                </c:pt>
                <c:pt idx="39">
                  <c:v>560.8439844401222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B-4D45-AA37-0FE90EB579C1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39'!$J$61:$J$100</c:f>
              <c:numCache>
                <c:formatCode>0.00</c:formatCode>
                <c:ptCount val="40"/>
                <c:pt idx="1">
                  <c:v>9.3429378531073439</c:v>
                </c:pt>
                <c:pt idx="2">
                  <c:v>18.845753450032415</c:v>
                </c:pt>
                <c:pt idx="3">
                  <c:v>28.50844679077521</c:v>
                </c:pt>
                <c:pt idx="4">
                  <c:v>38.331017875335732</c:v>
                </c:pt>
                <c:pt idx="5">
                  <c:v>48.313466703713985</c:v>
                </c:pt>
                <c:pt idx="6">
                  <c:v>58.455793275909969</c:v>
                </c:pt>
                <c:pt idx="7">
                  <c:v>68.757997591923669</c:v>
                </c:pt>
                <c:pt idx="8">
                  <c:v>79.2200796517551</c:v>
                </c:pt>
                <c:pt idx="9">
                  <c:v>89.842039455404262</c:v>
                </c:pt>
                <c:pt idx="10">
                  <c:v>100.62387700287115</c:v>
                </c:pt>
                <c:pt idx="11">
                  <c:v>111.56559229415578</c:v>
                </c:pt>
                <c:pt idx="12">
                  <c:v>122.66718532925813</c:v>
                </c:pt>
                <c:pt idx="13">
                  <c:v>133.92865610817819</c:v>
                </c:pt>
                <c:pt idx="14">
                  <c:v>145.35000463091598</c:v>
                </c:pt>
                <c:pt idx="15">
                  <c:v>156.93123089747149</c:v>
                </c:pt>
                <c:pt idx="16">
                  <c:v>168.67233490784474</c:v>
                </c:pt>
                <c:pt idx="17">
                  <c:v>180.57331666203572</c:v>
                </c:pt>
                <c:pt idx="18">
                  <c:v>192.63417616004443</c:v>
                </c:pt>
                <c:pt idx="19">
                  <c:v>204.85491340187087</c:v>
                </c:pt>
                <c:pt idx="20">
                  <c:v>217.23552838751505</c:v>
                </c:pt>
                <c:pt idx="21">
                  <c:v>229.77602111697695</c:v>
                </c:pt>
                <c:pt idx="22">
                  <c:v>242.47639159025658</c:v>
                </c:pt>
                <c:pt idx="23">
                  <c:v>255.33663980735395</c:v>
                </c:pt>
                <c:pt idx="24">
                  <c:v>268.35676576826904</c:v>
                </c:pt>
                <c:pt idx="25">
                  <c:v>281.53676947300181</c:v>
                </c:pt>
                <c:pt idx="26">
                  <c:v>294.87665092155231</c:v>
                </c:pt>
                <c:pt idx="27">
                  <c:v>308.37641011392054</c:v>
                </c:pt>
                <c:pt idx="28">
                  <c:v>322.0360470501065</c:v>
                </c:pt>
                <c:pt idx="29">
                  <c:v>335.8555617301102</c:v>
                </c:pt>
                <c:pt idx="30">
                  <c:v>349.83495415393162</c:v>
                </c:pt>
                <c:pt idx="31">
                  <c:v>363.97422432157077</c:v>
                </c:pt>
                <c:pt idx="32">
                  <c:v>378.27337223302766</c:v>
                </c:pt>
                <c:pt idx="33">
                  <c:v>392.73239788830227</c:v>
                </c:pt>
                <c:pt idx="34">
                  <c:v>407.35130128739462</c:v>
                </c:pt>
                <c:pt idx="35">
                  <c:v>422.1300824303047</c:v>
                </c:pt>
                <c:pt idx="36">
                  <c:v>437.0687413170325</c:v>
                </c:pt>
                <c:pt idx="37">
                  <c:v>452.16727794757799</c:v>
                </c:pt>
                <c:pt idx="38">
                  <c:v>467.42569232194126</c:v>
                </c:pt>
                <c:pt idx="39">
                  <c:v>482.8439844401222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B-4D45-AA37-0FE90EB57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Цепной и базисный темпы роста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39'!$K$61:$K$100</c:f>
              <c:numCache>
                <c:formatCode>0.00</c:formatCode>
                <c:ptCount val="40"/>
                <c:pt idx="1">
                  <c:v>567.1468926553672</c:v>
                </c:pt>
                <c:pt idx="2">
                  <c:v>101.40949149054828</c:v>
                </c:pt>
                <c:pt idx="3">
                  <c:v>101.38990095486244</c:v>
                </c:pt>
                <c:pt idx="4">
                  <c:v>101.37084753192649</c:v>
                </c:pt>
                <c:pt idx="5">
                  <c:v>101.35230943146129</c:v>
                </c:pt>
                <c:pt idx="6">
                  <c:v>101.3342660261489</c:v>
                </c:pt>
                <c:pt idx="7">
                  <c:v>101.31669777506909</c:v>
                </c:pt>
                <c:pt idx="8">
                  <c:v>101.29958615310603</c:v>
                </c:pt>
                <c:pt idx="9">
                  <c:v>101.2829135857888</c:v>
                </c:pt>
                <c:pt idx="10">
                  <c:v>101.26666338908403</c:v>
                </c:pt>
                <c:pt idx="11">
                  <c:v>101.25081971370705</c:v>
                </c:pt>
                <c:pt idx="12">
                  <c:v>101.23536749356089</c:v>
                </c:pt>
                <c:pt idx="13">
                  <c:v>101.2202923979502</c:v>
                </c:pt>
                <c:pt idx="14">
                  <c:v>101.20558078725222</c:v>
                </c:pt>
                <c:pt idx="15">
                  <c:v>101.19121967175558</c:v>
                </c:pt>
                <c:pt idx="16">
                  <c:v>101.1771966734067</c:v>
                </c:pt>
                <c:pt idx="17">
                  <c:v>101.16349999022664</c:v>
                </c:pt>
                <c:pt idx="18">
                  <c:v>101.15011836318342</c:v>
                </c:pt>
                <c:pt idx="19">
                  <c:v>101.13704104532421</c:v>
                </c:pt>
                <c:pt idx="20">
                  <c:v>101.12425777299008</c:v>
                </c:pt>
                <c:pt idx="21">
                  <c:v>101.11175873895053</c:v>
                </c:pt>
                <c:pt idx="22">
                  <c:v>101.09953456731067</c:v>
                </c:pt>
                <c:pt idx="23">
                  <c:v>101.08757629005562</c:v>
                </c:pt>
                <c:pt idx="24">
                  <c:v>101.07587532510918</c:v>
                </c:pt>
                <c:pt idx="25">
                  <c:v>101.06442345579363</c:v>
                </c:pt>
                <c:pt idx="26">
                  <c:v>101.05321281158766</c:v>
                </c:pt>
                <c:pt idx="27">
                  <c:v>101.04223585008758</c:v>
                </c:pt>
                <c:pt idx="28">
                  <c:v>101.03148534008481</c:v>
                </c:pt>
                <c:pt idx="29">
                  <c:v>101.02095434568017</c:v>
                </c:pt>
                <c:pt idx="30">
                  <c:v>101.01063621136126</c:v>
                </c:pt>
                <c:pt idx="31">
                  <c:v>101.00052454797586</c:v>
                </c:pt>
                <c:pt idx="32">
                  <c:v>100.99061321953889</c:v>
                </c:pt>
                <c:pt idx="33">
                  <c:v>100.98089633081584</c:v>
                </c:pt>
                <c:pt idx="34">
                  <c:v>100.97136821563002</c:v>
                </c:pt>
                <c:pt idx="35">
                  <c:v>100.96202342584444</c:v>
                </c:pt>
                <c:pt idx="36">
                  <c:v>100.95285672097391</c:v>
                </c:pt>
                <c:pt idx="37">
                  <c:v>100.94386305838532</c:v>
                </c:pt>
                <c:pt idx="38">
                  <c:v>100.93503758404749</c:v>
                </c:pt>
                <c:pt idx="39">
                  <c:v>100.92637562379554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3-4745-916D-74A684F564EC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39'!$L$61:$L$100</c:f>
              <c:numCache>
                <c:formatCode>0.00</c:formatCode>
                <c:ptCount val="40"/>
                <c:pt idx="1">
                  <c:v>567.1468926553672</c:v>
                </c:pt>
                <c:pt idx="2">
                  <c:v>575.14077984625351</c:v>
                </c:pt>
                <c:pt idx="3">
                  <c:v>583.13466703713993</c:v>
                </c:pt>
                <c:pt idx="4">
                  <c:v>591.12855422802625</c:v>
                </c:pt>
                <c:pt idx="5">
                  <c:v>599.12244141891267</c:v>
                </c:pt>
                <c:pt idx="6">
                  <c:v>607.11632860979898</c:v>
                </c:pt>
                <c:pt idx="7">
                  <c:v>615.11021580068541</c:v>
                </c:pt>
                <c:pt idx="8">
                  <c:v>623.10410299157172</c:v>
                </c:pt>
                <c:pt idx="9">
                  <c:v>631.09799018245803</c:v>
                </c:pt>
                <c:pt idx="10">
                  <c:v>639.09187737334446</c:v>
                </c:pt>
                <c:pt idx="11">
                  <c:v>647.08576456423066</c:v>
                </c:pt>
                <c:pt idx="12">
                  <c:v>655.07965175511697</c:v>
                </c:pt>
                <c:pt idx="13">
                  <c:v>663.0735389460034</c:v>
                </c:pt>
                <c:pt idx="14">
                  <c:v>671.06742613688971</c:v>
                </c:pt>
                <c:pt idx="15">
                  <c:v>679.06131332777613</c:v>
                </c:pt>
                <c:pt idx="16">
                  <c:v>687.05520051866245</c:v>
                </c:pt>
                <c:pt idx="17">
                  <c:v>695.04908770954876</c:v>
                </c:pt>
                <c:pt idx="18">
                  <c:v>703.04297490043518</c:v>
                </c:pt>
                <c:pt idx="19">
                  <c:v>711.0368620913215</c:v>
                </c:pt>
                <c:pt idx="20">
                  <c:v>719.03074928220792</c:v>
                </c:pt>
                <c:pt idx="21">
                  <c:v>727.02463647309423</c:v>
                </c:pt>
                <c:pt idx="22">
                  <c:v>735.01852366398066</c:v>
                </c:pt>
                <c:pt idx="23">
                  <c:v>743.01241085486697</c:v>
                </c:pt>
                <c:pt idx="24">
                  <c:v>751.00629804575328</c:v>
                </c:pt>
                <c:pt idx="25">
                  <c:v>759.00018523663971</c:v>
                </c:pt>
                <c:pt idx="26">
                  <c:v>766.99407242752602</c:v>
                </c:pt>
                <c:pt idx="27">
                  <c:v>774.98795961841245</c:v>
                </c:pt>
                <c:pt idx="28">
                  <c:v>782.98184680929876</c:v>
                </c:pt>
                <c:pt idx="29">
                  <c:v>790.97573400018518</c:v>
                </c:pt>
                <c:pt idx="30">
                  <c:v>798.9696211910715</c:v>
                </c:pt>
                <c:pt idx="31">
                  <c:v>806.96350838195792</c:v>
                </c:pt>
                <c:pt idx="32">
                  <c:v>814.95739557284423</c:v>
                </c:pt>
                <c:pt idx="33">
                  <c:v>822.95128276373055</c:v>
                </c:pt>
                <c:pt idx="34">
                  <c:v>830.94516995461697</c:v>
                </c:pt>
                <c:pt idx="35">
                  <c:v>838.93905714550328</c:v>
                </c:pt>
                <c:pt idx="36">
                  <c:v>846.93294433638948</c:v>
                </c:pt>
                <c:pt idx="37">
                  <c:v>854.92683152727591</c:v>
                </c:pt>
                <c:pt idx="38">
                  <c:v>862.92071871816222</c:v>
                </c:pt>
                <c:pt idx="39">
                  <c:v>870.91460590904853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3-4745-916D-74A684F56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900">
                <a:latin typeface="Arial"/>
                <a:ea typeface="Arial"/>
                <a:cs typeface="Arial"/>
              </a:rPr>
              <a:t>Прогноз по среднему абсолютному приросту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 1–60</c:v>
          </c:tx>
          <c:spPr>
            <a:ln w="19050">
              <a:solidFill>
                <a:srgbClr val="2463AD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'Прирост цепной и абсолютный '!$C$2:$C$100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8-4A99-9BFC-3112E1B8E2FC}"/>
            </c:ext>
          </c:extLst>
        </c:ser>
        <c:ser>
          <c:idx val="1"/>
          <c:order val="1"/>
          <c:tx>
            <c:v>Прогноз, инциденты</c:v>
          </c:tx>
          <c:spPr>
            <a:ln w="19050">
              <a:solidFill>
                <a:srgbClr val="E3A12B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'Прирост цепной и абсолютный '!$G$2:$G$100</c:f>
              <c:numCache>
                <c:formatCode>General</c:formatCode>
                <c:ptCount val="99"/>
                <c:pt idx="59" formatCode="0">
                  <c:v>2</c:v>
                </c:pt>
                <c:pt idx="60" formatCode="0">
                  <c:v>2</c:v>
                </c:pt>
                <c:pt idx="61" formatCode="0">
                  <c:v>2</c:v>
                </c:pt>
                <c:pt idx="62" formatCode="0">
                  <c:v>2</c:v>
                </c:pt>
                <c:pt idx="63" formatCode="0">
                  <c:v>2</c:v>
                </c:pt>
                <c:pt idx="64" formatCode="0">
                  <c:v>2</c:v>
                </c:pt>
                <c:pt idx="65" formatCode="0">
                  <c:v>2</c:v>
                </c:pt>
                <c:pt idx="66" formatCode="0">
                  <c:v>2</c:v>
                </c:pt>
                <c:pt idx="67" formatCode="0">
                  <c:v>2</c:v>
                </c:pt>
                <c:pt idx="68" formatCode="0">
                  <c:v>2</c:v>
                </c:pt>
                <c:pt idx="69" formatCode="0">
                  <c:v>2</c:v>
                </c:pt>
                <c:pt idx="70" formatCode="0">
                  <c:v>2</c:v>
                </c:pt>
                <c:pt idx="71" formatCode="0">
                  <c:v>2</c:v>
                </c:pt>
                <c:pt idx="72" formatCode="0">
                  <c:v>2</c:v>
                </c:pt>
                <c:pt idx="73" formatCode="0">
                  <c:v>2</c:v>
                </c:pt>
                <c:pt idx="74" formatCode="0">
                  <c:v>2</c:v>
                </c:pt>
                <c:pt idx="75" formatCode="0">
                  <c:v>2</c:v>
                </c:pt>
                <c:pt idx="76" formatCode="0">
                  <c:v>2</c:v>
                </c:pt>
                <c:pt idx="77" formatCode="0">
                  <c:v>2</c:v>
                </c:pt>
                <c:pt idx="78" formatCode="0">
                  <c:v>2</c:v>
                </c:pt>
                <c:pt idx="79" formatCode="0">
                  <c:v>2</c:v>
                </c:pt>
                <c:pt idx="80" formatCode="0">
                  <c:v>2</c:v>
                </c:pt>
                <c:pt idx="81" formatCode="0">
                  <c:v>2</c:v>
                </c:pt>
                <c:pt idx="82" formatCode="0">
                  <c:v>2</c:v>
                </c:pt>
                <c:pt idx="83" formatCode="0">
                  <c:v>2</c:v>
                </c:pt>
                <c:pt idx="84" formatCode="0">
                  <c:v>2</c:v>
                </c:pt>
                <c:pt idx="85" formatCode="0">
                  <c:v>2</c:v>
                </c:pt>
                <c:pt idx="86" formatCode="0">
                  <c:v>2</c:v>
                </c:pt>
                <c:pt idx="87" formatCode="0">
                  <c:v>2</c:v>
                </c:pt>
                <c:pt idx="88" formatCode="0">
                  <c:v>2</c:v>
                </c:pt>
                <c:pt idx="89" formatCode="0">
                  <c:v>3</c:v>
                </c:pt>
                <c:pt idx="90" formatCode="0">
                  <c:v>3</c:v>
                </c:pt>
                <c:pt idx="91" formatCode="0">
                  <c:v>3</c:v>
                </c:pt>
                <c:pt idx="92" formatCode="0">
                  <c:v>3</c:v>
                </c:pt>
                <c:pt idx="93" formatCode="0">
                  <c:v>3</c:v>
                </c:pt>
                <c:pt idx="94" formatCode="0">
                  <c:v>3</c:v>
                </c:pt>
                <c:pt idx="95" formatCode="0">
                  <c:v>3</c:v>
                </c:pt>
                <c:pt idx="96" formatCode="0">
                  <c:v>3</c:v>
                </c:pt>
                <c:pt idx="97" formatCode="0">
                  <c:v>3</c:v>
                </c:pt>
                <c:pt idx="98" formatCode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8-4A99-9BFC-3112E1B8E2FC}"/>
            </c:ext>
          </c:extLst>
        </c:ser>
        <c:ser>
          <c:idx val="2"/>
          <c:order val="2"/>
          <c:tx>
            <c:v>Факт 61–99 для проверки</c:v>
          </c:tx>
          <c:spPr>
            <a:ln w="19050">
              <a:solidFill>
                <a:srgbClr val="C0473D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'Прирост цепной и абсолютный '!$H$2:$H$100</c:f>
              <c:numCache>
                <c:formatCode>General</c:formatCode>
                <c:ptCount val="99"/>
                <c:pt idx="60" formatCode="0">
                  <c:v>22</c:v>
                </c:pt>
                <c:pt idx="61" formatCode="0">
                  <c:v>21</c:v>
                </c:pt>
                <c:pt idx="62" formatCode="0">
                  <c:v>19</c:v>
                </c:pt>
                <c:pt idx="63" formatCode="0">
                  <c:v>21</c:v>
                </c:pt>
                <c:pt idx="64" formatCode="0">
                  <c:v>10</c:v>
                </c:pt>
                <c:pt idx="65" formatCode="0">
                  <c:v>7</c:v>
                </c:pt>
                <c:pt idx="66" formatCode="0">
                  <c:v>11</c:v>
                </c:pt>
                <c:pt idx="67" formatCode="0">
                  <c:v>21</c:v>
                </c:pt>
                <c:pt idx="68" formatCode="0">
                  <c:v>15</c:v>
                </c:pt>
                <c:pt idx="69" formatCode="0">
                  <c:v>9</c:v>
                </c:pt>
                <c:pt idx="70" formatCode="0">
                  <c:v>10</c:v>
                </c:pt>
                <c:pt idx="71" formatCode="0">
                  <c:v>15</c:v>
                </c:pt>
                <c:pt idx="72" formatCode="0">
                  <c:v>20</c:v>
                </c:pt>
                <c:pt idx="73" formatCode="0">
                  <c:v>15</c:v>
                </c:pt>
                <c:pt idx="74" formatCode="0">
                  <c:v>15</c:v>
                </c:pt>
                <c:pt idx="75" formatCode="0">
                  <c:v>16</c:v>
                </c:pt>
                <c:pt idx="76" formatCode="0">
                  <c:v>14</c:v>
                </c:pt>
                <c:pt idx="77" formatCode="0">
                  <c:v>15</c:v>
                </c:pt>
                <c:pt idx="78" formatCode="0">
                  <c:v>30</c:v>
                </c:pt>
                <c:pt idx="79" formatCode="0">
                  <c:v>17</c:v>
                </c:pt>
                <c:pt idx="80" formatCode="0">
                  <c:v>14</c:v>
                </c:pt>
                <c:pt idx="81" formatCode="0">
                  <c:v>11</c:v>
                </c:pt>
                <c:pt idx="82" formatCode="0">
                  <c:v>18</c:v>
                </c:pt>
                <c:pt idx="83" formatCode="0">
                  <c:v>19</c:v>
                </c:pt>
                <c:pt idx="84" formatCode="0">
                  <c:v>19</c:v>
                </c:pt>
                <c:pt idx="85" formatCode="0">
                  <c:v>14</c:v>
                </c:pt>
                <c:pt idx="86" formatCode="0">
                  <c:v>30</c:v>
                </c:pt>
                <c:pt idx="87" formatCode="0">
                  <c:v>9</c:v>
                </c:pt>
                <c:pt idx="88" formatCode="0">
                  <c:v>31</c:v>
                </c:pt>
                <c:pt idx="89" formatCode="0">
                  <c:v>12</c:v>
                </c:pt>
                <c:pt idx="90" formatCode="0">
                  <c:v>23</c:v>
                </c:pt>
                <c:pt idx="91" formatCode="0">
                  <c:v>18</c:v>
                </c:pt>
                <c:pt idx="92" formatCode="0">
                  <c:v>17</c:v>
                </c:pt>
                <c:pt idx="93" formatCode="0">
                  <c:v>16</c:v>
                </c:pt>
                <c:pt idx="94" formatCode="0">
                  <c:v>26</c:v>
                </c:pt>
                <c:pt idx="95" formatCode="0">
                  <c:v>12</c:v>
                </c:pt>
                <c:pt idx="96" formatCode="0">
                  <c:v>29</c:v>
                </c:pt>
                <c:pt idx="97" formatCode="0">
                  <c:v>8</c:v>
                </c:pt>
                <c:pt idx="98" formatCode="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C8-4A99-9BFC-3112E1B8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Номер наблюдения </a:t>
                </a: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Инциденты за неделю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900">
                <a:latin typeface="Arial"/>
                <a:ea typeface="Arial"/>
                <a:cs typeface="Arial"/>
              </a:rPr>
              <a:t>Цепные приросты первых 60 наблюдений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Цепной абсолютный прирост</c:v>
          </c:tx>
          <c:spPr>
            <a:ln w="19050">
              <a:solidFill>
                <a:srgbClr val="2463AD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'Прирост цепной и абсолютный '!$D$2:$D$61</c:f>
              <c:numCache>
                <c:formatCode>0</c:formatCode>
                <c:ptCount val="60"/>
                <c:pt idx="1">
                  <c:v>1</c:v>
                </c:pt>
                <c:pt idx="2">
                  <c:v>1</c:v>
                </c:pt>
                <c:pt idx="3">
                  <c:v>-2</c:v>
                </c:pt>
                <c:pt idx="4">
                  <c:v>4</c:v>
                </c:pt>
                <c:pt idx="5">
                  <c:v>0</c:v>
                </c:pt>
                <c:pt idx="6">
                  <c:v>-3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-1</c:v>
                </c:pt>
                <c:pt idx="11">
                  <c:v>0</c:v>
                </c:pt>
                <c:pt idx="12">
                  <c:v>-2</c:v>
                </c:pt>
                <c:pt idx="13">
                  <c:v>2</c:v>
                </c:pt>
                <c:pt idx="14">
                  <c:v>-2</c:v>
                </c:pt>
                <c:pt idx="15">
                  <c:v>3</c:v>
                </c:pt>
                <c:pt idx="16">
                  <c:v>-3</c:v>
                </c:pt>
                <c:pt idx="17">
                  <c:v>2</c:v>
                </c:pt>
                <c:pt idx="18">
                  <c:v>-1</c:v>
                </c:pt>
                <c:pt idx="19">
                  <c:v>1</c:v>
                </c:pt>
                <c:pt idx="20">
                  <c:v>-3</c:v>
                </c:pt>
                <c:pt idx="21">
                  <c:v>6</c:v>
                </c:pt>
                <c:pt idx="22">
                  <c:v>1</c:v>
                </c:pt>
                <c:pt idx="23">
                  <c:v>-4</c:v>
                </c:pt>
                <c:pt idx="24">
                  <c:v>0</c:v>
                </c:pt>
                <c:pt idx="25">
                  <c:v>4</c:v>
                </c:pt>
                <c:pt idx="26">
                  <c:v>-3</c:v>
                </c:pt>
                <c:pt idx="27">
                  <c:v>3</c:v>
                </c:pt>
                <c:pt idx="28">
                  <c:v>-1</c:v>
                </c:pt>
                <c:pt idx="29">
                  <c:v>-5</c:v>
                </c:pt>
                <c:pt idx="30">
                  <c:v>5</c:v>
                </c:pt>
                <c:pt idx="31">
                  <c:v>2</c:v>
                </c:pt>
                <c:pt idx="32">
                  <c:v>-3</c:v>
                </c:pt>
                <c:pt idx="33">
                  <c:v>2</c:v>
                </c:pt>
                <c:pt idx="34">
                  <c:v>-3</c:v>
                </c:pt>
                <c:pt idx="35">
                  <c:v>5</c:v>
                </c:pt>
                <c:pt idx="36">
                  <c:v>-2</c:v>
                </c:pt>
                <c:pt idx="37">
                  <c:v>1</c:v>
                </c:pt>
                <c:pt idx="38">
                  <c:v>-1</c:v>
                </c:pt>
                <c:pt idx="39">
                  <c:v>-1</c:v>
                </c:pt>
                <c:pt idx="40">
                  <c:v>3</c:v>
                </c:pt>
                <c:pt idx="41">
                  <c:v>-3</c:v>
                </c:pt>
                <c:pt idx="42">
                  <c:v>-3</c:v>
                </c:pt>
                <c:pt idx="43">
                  <c:v>3</c:v>
                </c:pt>
                <c:pt idx="44">
                  <c:v>2</c:v>
                </c:pt>
                <c:pt idx="45">
                  <c:v>-1</c:v>
                </c:pt>
                <c:pt idx="46">
                  <c:v>1</c:v>
                </c:pt>
                <c:pt idx="47">
                  <c:v>5</c:v>
                </c:pt>
                <c:pt idx="48">
                  <c:v>-5</c:v>
                </c:pt>
                <c:pt idx="49">
                  <c:v>3</c:v>
                </c:pt>
                <c:pt idx="50">
                  <c:v>-3</c:v>
                </c:pt>
                <c:pt idx="51">
                  <c:v>2</c:v>
                </c:pt>
                <c:pt idx="52">
                  <c:v>4</c:v>
                </c:pt>
                <c:pt idx="53">
                  <c:v>-7</c:v>
                </c:pt>
                <c:pt idx="54">
                  <c:v>6</c:v>
                </c:pt>
                <c:pt idx="55">
                  <c:v>1</c:v>
                </c:pt>
                <c:pt idx="56">
                  <c:v>-6</c:v>
                </c:pt>
                <c:pt idx="57">
                  <c:v>4</c:v>
                </c:pt>
                <c:pt idx="58">
                  <c:v>-4</c:v>
                </c:pt>
                <c:pt idx="59">
                  <c:v>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9-4B89-A0E4-80D30F4D048E}"/>
            </c:ext>
          </c:extLst>
        </c:ser>
        <c:ser>
          <c:idx val="1"/>
          <c:order val="1"/>
          <c:tx>
            <c:v>Средний абсолютный прирост</c:v>
          </c:tx>
          <c:spPr>
            <a:ln w="19050">
              <a:solidFill>
                <a:srgbClr val="C0473D"/>
              </a:solidFill>
              <a:prstDash val="dash"/>
            </a:ln>
          </c:spPr>
          <c:marker>
            <c:symbol val="none"/>
          </c:marker>
          <c:cat>
            <c:numRef>
              <c:f>'Прирост цепной и абсолютный 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'Прирост цепной и абсолютный '!$E$2:$E$61</c:f>
              <c:numCache>
                <c:formatCode>0.0000</c:formatCode>
                <c:ptCount val="60"/>
                <c:pt idx="1">
                  <c:v>1.6949152542372881E-2</c:v>
                </c:pt>
                <c:pt idx="2">
                  <c:v>1.6949152542372881E-2</c:v>
                </c:pt>
                <c:pt idx="3">
                  <c:v>1.6949152542372881E-2</c:v>
                </c:pt>
                <c:pt idx="4">
                  <c:v>1.6949152542372881E-2</c:v>
                </c:pt>
                <c:pt idx="5">
                  <c:v>1.6949152542372881E-2</c:v>
                </c:pt>
                <c:pt idx="6">
                  <c:v>1.6949152542372881E-2</c:v>
                </c:pt>
                <c:pt idx="7">
                  <c:v>1.6949152542372881E-2</c:v>
                </c:pt>
                <c:pt idx="8">
                  <c:v>1.6949152542372881E-2</c:v>
                </c:pt>
                <c:pt idx="9">
                  <c:v>1.6949152542372881E-2</c:v>
                </c:pt>
                <c:pt idx="10">
                  <c:v>1.6949152542372881E-2</c:v>
                </c:pt>
                <c:pt idx="11">
                  <c:v>1.6949152542372881E-2</c:v>
                </c:pt>
                <c:pt idx="12">
                  <c:v>1.6949152542372881E-2</c:v>
                </c:pt>
                <c:pt idx="13">
                  <c:v>1.6949152542372881E-2</c:v>
                </c:pt>
                <c:pt idx="14">
                  <c:v>1.6949152542372881E-2</c:v>
                </c:pt>
                <c:pt idx="15">
                  <c:v>1.6949152542372881E-2</c:v>
                </c:pt>
                <c:pt idx="16">
                  <c:v>1.6949152542372881E-2</c:v>
                </c:pt>
                <c:pt idx="17">
                  <c:v>1.6949152542372881E-2</c:v>
                </c:pt>
                <c:pt idx="18">
                  <c:v>1.6949152542372881E-2</c:v>
                </c:pt>
                <c:pt idx="19">
                  <c:v>1.6949152542372881E-2</c:v>
                </c:pt>
                <c:pt idx="20">
                  <c:v>1.6949152542372881E-2</c:v>
                </c:pt>
                <c:pt idx="21">
                  <c:v>1.6949152542372881E-2</c:v>
                </c:pt>
                <c:pt idx="22">
                  <c:v>1.6949152542372881E-2</c:v>
                </c:pt>
                <c:pt idx="23">
                  <c:v>1.6949152542372881E-2</c:v>
                </c:pt>
                <c:pt idx="24">
                  <c:v>1.6949152542372881E-2</c:v>
                </c:pt>
                <c:pt idx="25">
                  <c:v>1.6949152542372881E-2</c:v>
                </c:pt>
                <c:pt idx="26">
                  <c:v>1.6949152542372881E-2</c:v>
                </c:pt>
                <c:pt idx="27">
                  <c:v>1.6949152542372881E-2</c:v>
                </c:pt>
                <c:pt idx="28">
                  <c:v>1.6949152542372881E-2</c:v>
                </c:pt>
                <c:pt idx="29">
                  <c:v>1.6949152542372881E-2</c:v>
                </c:pt>
                <c:pt idx="30">
                  <c:v>1.6949152542372881E-2</c:v>
                </c:pt>
                <c:pt idx="31">
                  <c:v>1.6949152542372881E-2</c:v>
                </c:pt>
                <c:pt idx="32">
                  <c:v>1.6949152542372881E-2</c:v>
                </c:pt>
                <c:pt idx="33">
                  <c:v>1.6949152542372881E-2</c:v>
                </c:pt>
                <c:pt idx="34">
                  <c:v>1.6949152542372881E-2</c:v>
                </c:pt>
                <c:pt idx="35">
                  <c:v>1.6949152542372881E-2</c:v>
                </c:pt>
                <c:pt idx="36">
                  <c:v>1.6949152542372881E-2</c:v>
                </c:pt>
                <c:pt idx="37">
                  <c:v>1.6949152542372881E-2</c:v>
                </c:pt>
                <c:pt idx="38">
                  <c:v>1.6949152542372881E-2</c:v>
                </c:pt>
                <c:pt idx="39">
                  <c:v>1.6949152542372881E-2</c:v>
                </c:pt>
                <c:pt idx="40">
                  <c:v>1.6949152542372881E-2</c:v>
                </c:pt>
                <c:pt idx="41">
                  <c:v>1.6949152542372881E-2</c:v>
                </c:pt>
                <c:pt idx="42">
                  <c:v>1.6949152542372881E-2</c:v>
                </c:pt>
                <c:pt idx="43">
                  <c:v>1.6949152542372881E-2</c:v>
                </c:pt>
                <c:pt idx="44">
                  <c:v>1.6949152542372881E-2</c:v>
                </c:pt>
                <c:pt idx="45">
                  <c:v>1.6949152542372881E-2</c:v>
                </c:pt>
                <c:pt idx="46">
                  <c:v>1.6949152542372881E-2</c:v>
                </c:pt>
                <c:pt idx="47">
                  <c:v>1.6949152542372881E-2</c:v>
                </c:pt>
                <c:pt idx="48">
                  <c:v>1.6949152542372881E-2</c:v>
                </c:pt>
                <c:pt idx="49">
                  <c:v>1.6949152542372881E-2</c:v>
                </c:pt>
                <c:pt idx="50">
                  <c:v>1.6949152542372881E-2</c:v>
                </c:pt>
                <c:pt idx="51">
                  <c:v>1.6949152542372881E-2</c:v>
                </c:pt>
                <c:pt idx="52">
                  <c:v>1.6949152542372881E-2</c:v>
                </c:pt>
                <c:pt idx="53">
                  <c:v>1.6949152542372881E-2</c:v>
                </c:pt>
                <c:pt idx="54">
                  <c:v>1.6949152542372881E-2</c:v>
                </c:pt>
                <c:pt idx="55">
                  <c:v>1.6949152542372881E-2</c:v>
                </c:pt>
                <c:pt idx="56">
                  <c:v>1.6949152542372881E-2</c:v>
                </c:pt>
                <c:pt idx="57">
                  <c:v>1.6949152542372881E-2</c:v>
                </c:pt>
                <c:pt idx="58">
                  <c:v>1.6949152542372881E-2</c:v>
                </c:pt>
                <c:pt idx="59">
                  <c:v>1.6949152542372881E-2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9-4B89-A0E4-80D30F4D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Номер наблюдения </a:t>
                </a: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Изменение, инцидентов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449282</xdr:colOff>
      <xdr:row>1</xdr:row>
      <xdr:rowOff>130629</xdr:rowOff>
    </xdr:from>
    <xdr:to>
      <xdr:col>32</xdr:col>
      <xdr:colOff>251832</xdr:colOff>
      <xdr:row>19</xdr:row>
      <xdr:rowOff>194968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124409</xdr:colOff>
      <xdr:row>2</xdr:row>
      <xdr:rowOff>101082</xdr:rowOff>
    </xdr:from>
    <xdr:to>
      <xdr:col>48</xdr:col>
      <xdr:colOff>124409</xdr:colOff>
      <xdr:row>26</xdr:row>
      <xdr:rowOff>101082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34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20</xdr:row>
      <xdr:rowOff>0</xdr:rowOff>
    </xdr:from>
    <xdr:to>
      <xdr:col>34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39</xdr:row>
      <xdr:rowOff>0</xdr:rowOff>
    </xdr:from>
    <xdr:to>
      <xdr:col>34</xdr:col>
      <xdr:colOff>0</xdr:colOff>
      <xdr:row>57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</xdr:row>
      <xdr:rowOff>0</xdr:rowOff>
    </xdr:from>
    <xdr:to>
      <xdr:col>27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27</xdr:col>
      <xdr:colOff>0</xdr:colOff>
      <xdr:row>62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each_report__24" displayName="breach_report__24" ref="A1:I1053" totalsRowShown="0">
  <autoFilter ref="A1:I1053" xr:uid="{00000000-0009-0000-0100-000001000000}"/>
  <tableColumns count="9">
    <tableColumn id="1" xr3:uid="{00000000-0010-0000-0000-000001000000}" name="javax.faces.component.UIPanel@7d089a51" dataDxfId="7"/>
    <tableColumn id="2" xr3:uid="{00000000-0010-0000-0000-000002000000}" name="State" dataDxfId="6"/>
    <tableColumn id="3" xr3:uid="{00000000-0010-0000-0000-000003000000}" name="Covered Entity Type" dataDxfId="5"/>
    <tableColumn id="4" xr3:uid="{00000000-0010-0000-0000-000004000000}" name="Individuals Affected"/>
    <tableColumn id="5" xr3:uid="{00000000-0010-0000-0000-000005000000}" name="Breach Submission Date" dataDxfId="4"/>
    <tableColumn id="6" xr3:uid="{00000000-0010-0000-0000-000006000000}" name="Type of Breach" dataDxfId="3"/>
    <tableColumn id="7" xr3:uid="{00000000-0010-0000-0000-000007000000}" name="Location of Breached Information" dataDxfId="2"/>
    <tableColumn id="8" xr3:uid="{00000000-0010-0000-0000-000008000000}" name="javax.faces.component.UIPanel@4427ba5" dataDxfId="1"/>
    <tableColumn id="9" xr3:uid="{00000000-0010-0000-0000-000009000000}" name="Web 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3"/>
  <sheetViews>
    <sheetView workbookViewId="0"/>
  </sheetViews>
  <sheetFormatPr defaultRowHeight="14.6" x14ac:dyDescent="0.4"/>
  <cols>
    <col min="1" max="1" width="126.765625" customWidth="1"/>
    <col min="2" max="2" width="7.3828125" customWidth="1"/>
    <col min="3" max="3" width="19.84375" customWidth="1"/>
    <col min="4" max="4" width="19.69140625" customWidth="1"/>
    <col min="5" max="5" width="23.15234375" customWidth="1"/>
    <col min="6" max="6" width="27.3828125" customWidth="1"/>
    <col min="7" max="7" width="45.3828125" customWidth="1"/>
    <col min="8" max="8" width="38.61328125" customWidth="1"/>
    <col min="9" max="9" width="16.9218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>
        <v>2009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">
      <c r="A3" t="s">
        <v>17</v>
      </c>
      <c r="B3" t="s">
        <v>18</v>
      </c>
      <c r="C3" t="s">
        <v>19</v>
      </c>
      <c r="D3">
        <v>5378</v>
      </c>
      <c r="E3" t="s">
        <v>12</v>
      </c>
      <c r="F3" t="s">
        <v>13</v>
      </c>
      <c r="G3" t="s">
        <v>20</v>
      </c>
      <c r="H3" t="s">
        <v>21</v>
      </c>
      <c r="I3" t="s">
        <v>16</v>
      </c>
    </row>
    <row r="4" spans="1:9" x14ac:dyDescent="0.4">
      <c r="A4" t="s">
        <v>22</v>
      </c>
      <c r="B4" t="s">
        <v>10</v>
      </c>
      <c r="C4" t="s">
        <v>19</v>
      </c>
      <c r="D4">
        <v>2810878</v>
      </c>
      <c r="E4" t="s">
        <v>12</v>
      </c>
      <c r="F4" t="s">
        <v>13</v>
      </c>
      <c r="G4" t="s">
        <v>20</v>
      </c>
      <c r="H4" t="s">
        <v>21</v>
      </c>
      <c r="I4" t="s">
        <v>16</v>
      </c>
    </row>
    <row r="5" spans="1:9" x14ac:dyDescent="0.4">
      <c r="A5" t="s">
        <v>23</v>
      </c>
      <c r="B5" t="s">
        <v>10</v>
      </c>
      <c r="C5" t="s">
        <v>19</v>
      </c>
      <c r="D5">
        <v>1050</v>
      </c>
      <c r="E5" t="s">
        <v>24</v>
      </c>
      <c r="F5" t="s">
        <v>13</v>
      </c>
      <c r="G5" t="s">
        <v>14</v>
      </c>
      <c r="H5" t="s">
        <v>21</v>
      </c>
      <c r="I5" t="s">
        <v>16</v>
      </c>
    </row>
    <row r="6" spans="1:9" x14ac:dyDescent="0.4">
      <c r="A6" t="s">
        <v>25</v>
      </c>
      <c r="B6" t="s">
        <v>26</v>
      </c>
      <c r="C6" t="s">
        <v>11</v>
      </c>
      <c r="D6">
        <v>4840</v>
      </c>
      <c r="E6" t="s">
        <v>24</v>
      </c>
      <c r="F6" t="s">
        <v>13</v>
      </c>
      <c r="G6" t="s">
        <v>20</v>
      </c>
      <c r="H6" t="s">
        <v>15</v>
      </c>
      <c r="I6" t="s">
        <v>16</v>
      </c>
    </row>
    <row r="7" spans="1:9" x14ac:dyDescent="0.4">
      <c r="A7" t="s">
        <v>27</v>
      </c>
      <c r="B7" t="s">
        <v>28</v>
      </c>
      <c r="C7" t="s">
        <v>19</v>
      </c>
      <c r="D7">
        <v>501</v>
      </c>
      <c r="E7" t="s">
        <v>24</v>
      </c>
      <c r="F7" t="s">
        <v>13</v>
      </c>
      <c r="G7" t="s">
        <v>20</v>
      </c>
      <c r="H7" t="s">
        <v>21</v>
      </c>
      <c r="I7" t="s">
        <v>16</v>
      </c>
    </row>
    <row r="8" spans="1:9" x14ac:dyDescent="0.4">
      <c r="A8" t="s">
        <v>29</v>
      </c>
      <c r="B8" t="s">
        <v>30</v>
      </c>
      <c r="C8" t="s">
        <v>19</v>
      </c>
      <c r="D8">
        <v>49540</v>
      </c>
      <c r="E8" t="s">
        <v>31</v>
      </c>
      <c r="F8" t="s">
        <v>13</v>
      </c>
      <c r="G8" t="s">
        <v>20</v>
      </c>
      <c r="H8" t="s">
        <v>21</v>
      </c>
      <c r="I8" t="s">
        <v>16</v>
      </c>
    </row>
    <row r="9" spans="1:9" x14ac:dyDescent="0.4">
      <c r="A9" t="s">
        <v>32</v>
      </c>
      <c r="B9" t="s">
        <v>33</v>
      </c>
      <c r="C9" t="s">
        <v>34</v>
      </c>
      <c r="D9">
        <v>8319</v>
      </c>
      <c r="E9" t="s">
        <v>35</v>
      </c>
      <c r="F9" t="s">
        <v>13</v>
      </c>
      <c r="G9" t="s">
        <v>14</v>
      </c>
      <c r="H9" t="s">
        <v>21</v>
      </c>
      <c r="I9" t="s">
        <v>16</v>
      </c>
    </row>
    <row r="10" spans="1:9" x14ac:dyDescent="0.4">
      <c r="A10" t="s">
        <v>36</v>
      </c>
      <c r="B10" t="s">
        <v>37</v>
      </c>
      <c r="C10" t="s">
        <v>19</v>
      </c>
      <c r="D10">
        <v>500</v>
      </c>
      <c r="E10" t="s">
        <v>38</v>
      </c>
      <c r="F10" t="s">
        <v>13</v>
      </c>
      <c r="G10" t="s">
        <v>39</v>
      </c>
      <c r="H10" t="s">
        <v>21</v>
      </c>
      <c r="I10" t="s">
        <v>16</v>
      </c>
    </row>
    <row r="11" spans="1:9" x14ac:dyDescent="0.4">
      <c r="A11" t="s">
        <v>40</v>
      </c>
      <c r="B11" t="s">
        <v>41</v>
      </c>
      <c r="C11" t="s">
        <v>19</v>
      </c>
      <c r="D11">
        <v>746</v>
      </c>
      <c r="E11" t="s">
        <v>38</v>
      </c>
      <c r="F11" t="s">
        <v>13</v>
      </c>
      <c r="G11" t="s">
        <v>14</v>
      </c>
      <c r="H11" t="s">
        <v>21</v>
      </c>
      <c r="I11" t="s">
        <v>16</v>
      </c>
    </row>
    <row r="12" spans="1:9" x14ac:dyDescent="0.4">
      <c r="A12" t="s">
        <v>42</v>
      </c>
      <c r="B12" t="s">
        <v>43</v>
      </c>
      <c r="C12" t="s">
        <v>11</v>
      </c>
      <c r="D12">
        <v>9540683</v>
      </c>
      <c r="E12" t="s">
        <v>38</v>
      </c>
      <c r="F12" t="s">
        <v>13</v>
      </c>
      <c r="G12" t="s">
        <v>20</v>
      </c>
      <c r="H12" t="s">
        <v>15</v>
      </c>
      <c r="I12" t="s">
        <v>16</v>
      </c>
    </row>
    <row r="13" spans="1:9" x14ac:dyDescent="0.4">
      <c r="A13" t="s">
        <v>44</v>
      </c>
      <c r="B13" t="s">
        <v>45</v>
      </c>
      <c r="C13" t="s">
        <v>19</v>
      </c>
      <c r="D13">
        <v>2173</v>
      </c>
      <c r="E13" t="s">
        <v>38</v>
      </c>
      <c r="F13" t="s">
        <v>13</v>
      </c>
      <c r="G13" t="s">
        <v>14</v>
      </c>
      <c r="H13" t="s">
        <v>21</v>
      </c>
      <c r="I13" t="s">
        <v>16</v>
      </c>
    </row>
    <row r="14" spans="1:9" x14ac:dyDescent="0.4">
      <c r="A14" t="s">
        <v>46</v>
      </c>
      <c r="B14" t="s">
        <v>47</v>
      </c>
      <c r="C14" t="s">
        <v>19</v>
      </c>
      <c r="D14">
        <v>1045</v>
      </c>
      <c r="E14" t="s">
        <v>38</v>
      </c>
      <c r="F14" t="s">
        <v>13</v>
      </c>
      <c r="G14" t="s">
        <v>48</v>
      </c>
      <c r="H14" t="s">
        <v>15</v>
      </c>
      <c r="I14" t="s">
        <v>16</v>
      </c>
    </row>
    <row r="15" spans="1:9" x14ac:dyDescent="0.4">
      <c r="A15" t="s">
        <v>49</v>
      </c>
      <c r="B15" t="s">
        <v>47</v>
      </c>
      <c r="C15" t="s">
        <v>19</v>
      </c>
      <c r="D15">
        <v>1551</v>
      </c>
      <c r="E15" t="s">
        <v>38</v>
      </c>
      <c r="F15" t="s">
        <v>13</v>
      </c>
      <c r="G15" t="s">
        <v>48</v>
      </c>
      <c r="H15" t="s">
        <v>15</v>
      </c>
      <c r="I15" t="s">
        <v>16</v>
      </c>
    </row>
    <row r="16" spans="1:9" x14ac:dyDescent="0.4">
      <c r="A16" t="s">
        <v>50</v>
      </c>
      <c r="B16" t="s">
        <v>47</v>
      </c>
      <c r="C16" t="s">
        <v>19</v>
      </c>
      <c r="D16">
        <v>1397</v>
      </c>
      <c r="E16" t="s">
        <v>38</v>
      </c>
      <c r="F16" t="s">
        <v>13</v>
      </c>
      <c r="G16" t="s">
        <v>51</v>
      </c>
      <c r="H16" t="s">
        <v>15</v>
      </c>
      <c r="I16" t="s">
        <v>16</v>
      </c>
    </row>
    <row r="17" spans="1:9" x14ac:dyDescent="0.4">
      <c r="A17" t="s">
        <v>52</v>
      </c>
      <c r="B17" t="s">
        <v>10</v>
      </c>
      <c r="C17" t="s">
        <v>34</v>
      </c>
      <c r="D17">
        <v>675</v>
      </c>
      <c r="E17" t="s">
        <v>53</v>
      </c>
      <c r="F17" t="s">
        <v>13</v>
      </c>
      <c r="G17" t="s">
        <v>20</v>
      </c>
      <c r="H17" t="s">
        <v>21</v>
      </c>
      <c r="I17" t="s">
        <v>16</v>
      </c>
    </row>
    <row r="18" spans="1:9" x14ac:dyDescent="0.4">
      <c r="A18" t="s">
        <v>54</v>
      </c>
      <c r="B18" t="s">
        <v>55</v>
      </c>
      <c r="C18" t="s">
        <v>19</v>
      </c>
      <c r="D18">
        <v>500</v>
      </c>
      <c r="E18" t="s">
        <v>53</v>
      </c>
      <c r="F18" t="s">
        <v>13</v>
      </c>
      <c r="G18" t="s">
        <v>20</v>
      </c>
      <c r="H18" t="s">
        <v>21</v>
      </c>
      <c r="I18" t="s">
        <v>16</v>
      </c>
    </row>
    <row r="19" spans="1:9" x14ac:dyDescent="0.4">
      <c r="A19" t="s">
        <v>56</v>
      </c>
      <c r="B19" t="s">
        <v>57</v>
      </c>
      <c r="C19" t="s">
        <v>19</v>
      </c>
      <c r="D19">
        <v>24088</v>
      </c>
      <c r="E19" t="s">
        <v>58</v>
      </c>
      <c r="F19" t="s">
        <v>13</v>
      </c>
      <c r="G19" t="s">
        <v>20</v>
      </c>
      <c r="H19" t="s">
        <v>21</v>
      </c>
      <c r="I19" t="s">
        <v>16</v>
      </c>
    </row>
    <row r="20" spans="1:9" x14ac:dyDescent="0.4">
      <c r="A20" t="s">
        <v>59</v>
      </c>
      <c r="B20" t="s">
        <v>60</v>
      </c>
      <c r="C20" t="s">
        <v>19</v>
      </c>
      <c r="D20">
        <v>4979</v>
      </c>
      <c r="E20" t="s">
        <v>58</v>
      </c>
      <c r="F20" t="s">
        <v>13</v>
      </c>
      <c r="G20" t="s">
        <v>20</v>
      </c>
      <c r="H20" t="s">
        <v>21</v>
      </c>
      <c r="I20" t="s">
        <v>16</v>
      </c>
    </row>
    <row r="21" spans="1:9" x14ac:dyDescent="0.4">
      <c r="A21" t="s">
        <v>61</v>
      </c>
      <c r="B21" t="s">
        <v>10</v>
      </c>
      <c r="C21" t="s">
        <v>19</v>
      </c>
      <c r="D21">
        <v>1389</v>
      </c>
      <c r="E21" t="s">
        <v>58</v>
      </c>
      <c r="F21" t="s">
        <v>13</v>
      </c>
      <c r="G21" t="s">
        <v>62</v>
      </c>
      <c r="H21" t="s">
        <v>21</v>
      </c>
      <c r="I21" t="s">
        <v>16</v>
      </c>
    </row>
    <row r="22" spans="1:9" x14ac:dyDescent="0.4">
      <c r="A22" t="s">
        <v>63</v>
      </c>
      <c r="B22" t="s">
        <v>64</v>
      </c>
      <c r="C22" t="s">
        <v>11</v>
      </c>
      <c r="D22">
        <v>2104</v>
      </c>
      <c r="E22" t="s">
        <v>58</v>
      </c>
      <c r="F22" t="s">
        <v>13</v>
      </c>
      <c r="G22" t="s">
        <v>20</v>
      </c>
      <c r="H22" t="s">
        <v>15</v>
      </c>
      <c r="I22" t="s">
        <v>16</v>
      </c>
    </row>
    <row r="23" spans="1:9" x14ac:dyDescent="0.4">
      <c r="A23" t="s">
        <v>65</v>
      </c>
      <c r="B23" t="s">
        <v>66</v>
      </c>
      <c r="C23" t="s">
        <v>34</v>
      </c>
      <c r="D23">
        <v>2300</v>
      </c>
      <c r="E23" t="s">
        <v>67</v>
      </c>
      <c r="F23" t="s">
        <v>68</v>
      </c>
      <c r="G23" t="s">
        <v>69</v>
      </c>
      <c r="H23" t="s">
        <v>21</v>
      </c>
      <c r="I23" t="s">
        <v>16</v>
      </c>
    </row>
    <row r="24" spans="1:9" x14ac:dyDescent="0.4">
      <c r="A24" t="s">
        <v>70</v>
      </c>
      <c r="B24" t="s">
        <v>71</v>
      </c>
      <c r="C24" t="s">
        <v>11</v>
      </c>
      <c r="D24">
        <v>16545</v>
      </c>
      <c r="E24" t="s">
        <v>67</v>
      </c>
      <c r="F24" t="s">
        <v>72</v>
      </c>
      <c r="G24" t="s">
        <v>69</v>
      </c>
      <c r="H24" t="s">
        <v>15</v>
      </c>
      <c r="I24" t="s">
        <v>16</v>
      </c>
    </row>
    <row r="25" spans="1:9" x14ac:dyDescent="0.4">
      <c r="A25" t="s">
        <v>73</v>
      </c>
      <c r="B25" t="s">
        <v>10</v>
      </c>
      <c r="C25" t="s">
        <v>19</v>
      </c>
      <c r="D25">
        <v>17017</v>
      </c>
      <c r="E25" t="s">
        <v>67</v>
      </c>
      <c r="F25" t="s">
        <v>13</v>
      </c>
      <c r="G25" t="s">
        <v>20</v>
      </c>
      <c r="H25" t="s">
        <v>21</v>
      </c>
      <c r="I25" t="s">
        <v>16</v>
      </c>
    </row>
    <row r="26" spans="1:9" x14ac:dyDescent="0.4">
      <c r="A26" t="s">
        <v>74</v>
      </c>
      <c r="B26" t="s">
        <v>75</v>
      </c>
      <c r="C26" t="s">
        <v>19</v>
      </c>
      <c r="D26">
        <v>14830</v>
      </c>
      <c r="E26" t="s">
        <v>67</v>
      </c>
      <c r="F26" t="s">
        <v>13</v>
      </c>
      <c r="G26" t="s">
        <v>20</v>
      </c>
      <c r="H26" t="s">
        <v>21</v>
      </c>
      <c r="I26" t="s">
        <v>16</v>
      </c>
    </row>
    <row r="27" spans="1:9" x14ac:dyDescent="0.4">
      <c r="A27" t="s">
        <v>76</v>
      </c>
      <c r="B27" t="s">
        <v>77</v>
      </c>
      <c r="C27" t="s">
        <v>11</v>
      </c>
      <c r="D27">
        <v>9268</v>
      </c>
      <c r="E27" t="s">
        <v>78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4">
      <c r="A28" t="s">
        <v>79</v>
      </c>
      <c r="B28" t="s">
        <v>28</v>
      </c>
      <c r="C28" t="s">
        <v>11</v>
      </c>
      <c r="D28">
        <v>3756469</v>
      </c>
      <c r="E28" t="s">
        <v>78</v>
      </c>
      <c r="F28" t="s">
        <v>13</v>
      </c>
      <c r="G28" t="s">
        <v>20</v>
      </c>
      <c r="H28" t="s">
        <v>15</v>
      </c>
      <c r="I28" t="s">
        <v>16</v>
      </c>
    </row>
    <row r="29" spans="1:9" x14ac:dyDescent="0.4">
      <c r="A29" t="s">
        <v>80</v>
      </c>
      <c r="B29" t="s">
        <v>66</v>
      </c>
      <c r="C29" t="s">
        <v>19</v>
      </c>
      <c r="D29">
        <v>3298</v>
      </c>
      <c r="E29" t="s">
        <v>78</v>
      </c>
      <c r="F29" t="s">
        <v>13</v>
      </c>
      <c r="G29" t="s">
        <v>14</v>
      </c>
      <c r="H29" t="s">
        <v>21</v>
      </c>
      <c r="I29" t="s">
        <v>16</v>
      </c>
    </row>
    <row r="30" spans="1:9" x14ac:dyDescent="0.4">
      <c r="A30" t="s">
        <v>81</v>
      </c>
      <c r="B30" t="s">
        <v>82</v>
      </c>
      <c r="C30" t="s">
        <v>19</v>
      </c>
      <c r="D30">
        <v>30403</v>
      </c>
      <c r="E30" t="s">
        <v>78</v>
      </c>
      <c r="F30" t="s">
        <v>13</v>
      </c>
      <c r="G30" t="s">
        <v>51</v>
      </c>
      <c r="H30" t="s">
        <v>15</v>
      </c>
      <c r="I30" t="s">
        <v>16</v>
      </c>
    </row>
    <row r="31" spans="1:9" x14ac:dyDescent="0.4">
      <c r="A31" t="s">
        <v>83</v>
      </c>
      <c r="B31" t="s">
        <v>71</v>
      </c>
      <c r="C31" t="s">
        <v>11</v>
      </c>
      <c r="D31">
        <v>8309</v>
      </c>
      <c r="E31" t="s">
        <v>84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4">
      <c r="A32" t="s">
        <v>85</v>
      </c>
      <c r="B32" t="s">
        <v>86</v>
      </c>
      <c r="C32" t="s">
        <v>19</v>
      </c>
      <c r="D32">
        <v>2594</v>
      </c>
      <c r="E32" t="s">
        <v>84</v>
      </c>
      <c r="F32" t="s">
        <v>13</v>
      </c>
      <c r="G32" t="s">
        <v>14</v>
      </c>
      <c r="H32" t="s">
        <v>21</v>
      </c>
      <c r="I32" t="s">
        <v>16</v>
      </c>
    </row>
    <row r="33" spans="1:9" x14ac:dyDescent="0.4">
      <c r="A33" t="s">
        <v>87</v>
      </c>
      <c r="B33" t="s">
        <v>10</v>
      </c>
      <c r="C33" t="s">
        <v>19</v>
      </c>
      <c r="D33">
        <v>1421</v>
      </c>
      <c r="E33" t="s">
        <v>84</v>
      </c>
      <c r="F33" t="s">
        <v>13</v>
      </c>
      <c r="G33" t="s">
        <v>14</v>
      </c>
      <c r="H33" t="s">
        <v>21</v>
      </c>
      <c r="I33" t="s">
        <v>16</v>
      </c>
    </row>
    <row r="34" spans="1:9" x14ac:dyDescent="0.4">
      <c r="A34" t="s">
        <v>88</v>
      </c>
      <c r="B34" t="s">
        <v>64</v>
      </c>
      <c r="C34" t="s">
        <v>11</v>
      </c>
      <c r="D34">
        <v>3803750</v>
      </c>
      <c r="E34" t="s">
        <v>89</v>
      </c>
      <c r="F34" t="s">
        <v>13</v>
      </c>
      <c r="G34" t="s">
        <v>20</v>
      </c>
      <c r="H34" t="s">
        <v>15</v>
      </c>
      <c r="I34" t="s">
        <v>16</v>
      </c>
    </row>
    <row r="35" spans="1:9" x14ac:dyDescent="0.4">
      <c r="A35" t="s">
        <v>90</v>
      </c>
      <c r="B35" t="s">
        <v>91</v>
      </c>
      <c r="C35" t="s">
        <v>19</v>
      </c>
      <c r="D35">
        <v>1491</v>
      </c>
      <c r="E35" t="s">
        <v>92</v>
      </c>
      <c r="F35" t="s">
        <v>13</v>
      </c>
      <c r="G35" t="s">
        <v>14</v>
      </c>
      <c r="H35" t="s">
        <v>21</v>
      </c>
      <c r="I35" t="s">
        <v>16</v>
      </c>
    </row>
    <row r="36" spans="1:9" x14ac:dyDescent="0.4">
      <c r="A36" t="s">
        <v>93</v>
      </c>
      <c r="B36" t="s">
        <v>91</v>
      </c>
      <c r="C36" t="s">
        <v>11</v>
      </c>
      <c r="D36">
        <v>3656</v>
      </c>
      <c r="E36" t="s">
        <v>94</v>
      </c>
      <c r="F36" t="s">
        <v>13</v>
      </c>
      <c r="G36" t="s">
        <v>20</v>
      </c>
      <c r="H36" t="s">
        <v>15</v>
      </c>
      <c r="I36" t="s">
        <v>16</v>
      </c>
    </row>
    <row r="37" spans="1:9" x14ac:dyDescent="0.4">
      <c r="A37" t="s">
        <v>95</v>
      </c>
      <c r="B37" t="s">
        <v>96</v>
      </c>
      <c r="C37" t="s">
        <v>19</v>
      </c>
      <c r="D37">
        <v>501</v>
      </c>
      <c r="E37" t="s">
        <v>97</v>
      </c>
      <c r="F37" t="s">
        <v>13</v>
      </c>
      <c r="G37" t="s">
        <v>20</v>
      </c>
      <c r="H37" t="s">
        <v>21</v>
      </c>
      <c r="I37" t="s">
        <v>16</v>
      </c>
    </row>
    <row r="38" spans="1:9" x14ac:dyDescent="0.4">
      <c r="A38" t="s">
        <v>98</v>
      </c>
      <c r="B38" t="s">
        <v>77</v>
      </c>
      <c r="C38" t="s">
        <v>34</v>
      </c>
      <c r="D38">
        <v>8151</v>
      </c>
      <c r="E38" t="s">
        <v>99</v>
      </c>
      <c r="F38" t="s">
        <v>13</v>
      </c>
      <c r="G38" t="s">
        <v>20</v>
      </c>
      <c r="H38" t="s">
        <v>21</v>
      </c>
      <c r="I38" t="s">
        <v>16</v>
      </c>
    </row>
    <row r="39" spans="1:9" x14ac:dyDescent="0.4">
      <c r="A39" t="s">
        <v>100</v>
      </c>
      <c r="B39" t="s">
        <v>71</v>
      </c>
      <c r="C39" t="s">
        <v>19</v>
      </c>
      <c r="D39">
        <v>15749</v>
      </c>
      <c r="E39" t="s">
        <v>99</v>
      </c>
      <c r="F39" t="s">
        <v>13</v>
      </c>
      <c r="G39" t="s">
        <v>20</v>
      </c>
      <c r="H39" t="s">
        <v>21</v>
      </c>
      <c r="I39" t="s">
        <v>16</v>
      </c>
    </row>
    <row r="40" spans="1:9" x14ac:dyDescent="0.4">
      <c r="A40" t="s">
        <v>101</v>
      </c>
      <c r="B40" t="s">
        <v>71</v>
      </c>
      <c r="C40" t="s">
        <v>19</v>
      </c>
      <c r="D40">
        <v>6658</v>
      </c>
      <c r="E40" t="s">
        <v>99</v>
      </c>
      <c r="F40" t="s">
        <v>13</v>
      </c>
      <c r="G40" t="s">
        <v>20</v>
      </c>
      <c r="H40" t="s">
        <v>15</v>
      </c>
      <c r="I40" t="s">
        <v>16</v>
      </c>
    </row>
    <row r="41" spans="1:9" x14ac:dyDescent="0.4">
      <c r="A41" t="s">
        <v>102</v>
      </c>
      <c r="B41" t="s">
        <v>71</v>
      </c>
      <c r="C41" t="s">
        <v>19</v>
      </c>
      <c r="D41">
        <v>153174</v>
      </c>
      <c r="E41" t="s">
        <v>99</v>
      </c>
      <c r="F41" t="s">
        <v>13</v>
      </c>
      <c r="G41" t="s">
        <v>20</v>
      </c>
      <c r="H41" t="s">
        <v>21</v>
      </c>
      <c r="I41" t="s">
        <v>16</v>
      </c>
    </row>
    <row r="42" spans="1:9" x14ac:dyDescent="0.4">
      <c r="A42" t="s">
        <v>103</v>
      </c>
      <c r="B42" t="s">
        <v>104</v>
      </c>
      <c r="C42" t="s">
        <v>19</v>
      </c>
      <c r="D42">
        <v>1918</v>
      </c>
      <c r="E42" t="s">
        <v>99</v>
      </c>
      <c r="F42" t="s">
        <v>13</v>
      </c>
      <c r="G42" t="s">
        <v>20</v>
      </c>
      <c r="H42" t="s">
        <v>21</v>
      </c>
      <c r="I42" t="s">
        <v>16</v>
      </c>
    </row>
    <row r="43" spans="1:9" x14ac:dyDescent="0.4">
      <c r="A43" t="s">
        <v>105</v>
      </c>
      <c r="B43" t="s">
        <v>26</v>
      </c>
      <c r="C43" t="s">
        <v>19</v>
      </c>
      <c r="D43">
        <v>311760</v>
      </c>
      <c r="E43" t="s">
        <v>106</v>
      </c>
      <c r="F43" t="s">
        <v>13</v>
      </c>
      <c r="G43" t="s">
        <v>20</v>
      </c>
      <c r="H43" t="s">
        <v>21</v>
      </c>
      <c r="I43" t="s">
        <v>16</v>
      </c>
    </row>
    <row r="44" spans="1:9" x14ac:dyDescent="0.4">
      <c r="A44" t="s">
        <v>107</v>
      </c>
      <c r="B44" t="s">
        <v>26</v>
      </c>
      <c r="C44" t="s">
        <v>34</v>
      </c>
      <c r="D44">
        <v>15000000</v>
      </c>
      <c r="E44" t="s">
        <v>106</v>
      </c>
      <c r="F44" t="s">
        <v>13</v>
      </c>
      <c r="G44" t="s">
        <v>20</v>
      </c>
      <c r="H44" t="s">
        <v>21</v>
      </c>
      <c r="I44" t="s">
        <v>16</v>
      </c>
    </row>
    <row r="45" spans="1:9" x14ac:dyDescent="0.4">
      <c r="A45" t="s">
        <v>108</v>
      </c>
      <c r="B45" t="s">
        <v>10</v>
      </c>
      <c r="C45" t="s">
        <v>19</v>
      </c>
      <c r="D45">
        <v>12490</v>
      </c>
      <c r="E45" t="s">
        <v>109</v>
      </c>
      <c r="F45" t="s">
        <v>13</v>
      </c>
      <c r="G45" t="s">
        <v>20</v>
      </c>
      <c r="H45" t="s">
        <v>21</v>
      </c>
      <c r="I45" t="s">
        <v>16</v>
      </c>
    </row>
    <row r="46" spans="1:9" x14ac:dyDescent="0.4">
      <c r="A46" t="s">
        <v>110</v>
      </c>
      <c r="B46" t="s">
        <v>26</v>
      </c>
      <c r="C46" t="s">
        <v>19</v>
      </c>
      <c r="D46">
        <v>2641</v>
      </c>
      <c r="E46" t="s">
        <v>111</v>
      </c>
      <c r="F46" t="s">
        <v>68</v>
      </c>
      <c r="G46" t="s">
        <v>20</v>
      </c>
      <c r="H46" t="s">
        <v>21</v>
      </c>
      <c r="I46" t="s">
        <v>16</v>
      </c>
    </row>
    <row r="47" spans="1:9" x14ac:dyDescent="0.4">
      <c r="A47" t="s">
        <v>112</v>
      </c>
      <c r="B47" t="s">
        <v>60</v>
      </c>
      <c r="C47" t="s">
        <v>19</v>
      </c>
      <c r="D47">
        <v>728</v>
      </c>
      <c r="E47" t="s">
        <v>111</v>
      </c>
      <c r="F47" t="s">
        <v>68</v>
      </c>
      <c r="G47" t="s">
        <v>20</v>
      </c>
      <c r="H47" t="s">
        <v>21</v>
      </c>
      <c r="I47" t="s">
        <v>16</v>
      </c>
    </row>
    <row r="48" spans="1:9" x14ac:dyDescent="0.4">
      <c r="A48" t="s">
        <v>113</v>
      </c>
      <c r="B48" t="s">
        <v>71</v>
      </c>
      <c r="C48" t="s">
        <v>19</v>
      </c>
      <c r="D48">
        <v>150810</v>
      </c>
      <c r="E48" t="s">
        <v>114</v>
      </c>
      <c r="F48" t="s">
        <v>13</v>
      </c>
      <c r="G48" t="s">
        <v>20</v>
      </c>
      <c r="H48" t="s">
        <v>21</v>
      </c>
      <c r="I48" t="s">
        <v>16</v>
      </c>
    </row>
    <row r="49" spans="1:9" x14ac:dyDescent="0.4">
      <c r="A49" t="s">
        <v>115</v>
      </c>
      <c r="B49" t="s">
        <v>116</v>
      </c>
      <c r="C49" t="s">
        <v>11</v>
      </c>
      <c r="D49">
        <v>500</v>
      </c>
      <c r="E49" t="s">
        <v>114</v>
      </c>
      <c r="F49" t="s">
        <v>13</v>
      </c>
      <c r="G49" t="s">
        <v>14</v>
      </c>
      <c r="H49" t="s">
        <v>15</v>
      </c>
      <c r="I49" t="s">
        <v>16</v>
      </c>
    </row>
    <row r="50" spans="1:9" x14ac:dyDescent="0.4">
      <c r="A50" t="s">
        <v>117</v>
      </c>
      <c r="B50" t="s">
        <v>118</v>
      </c>
      <c r="C50" t="s">
        <v>19</v>
      </c>
      <c r="D50">
        <v>689</v>
      </c>
      <c r="E50" t="s">
        <v>114</v>
      </c>
      <c r="F50" t="s">
        <v>13</v>
      </c>
      <c r="G50" t="s">
        <v>14</v>
      </c>
      <c r="H50" t="s">
        <v>21</v>
      </c>
      <c r="I50" t="s">
        <v>16</v>
      </c>
    </row>
    <row r="51" spans="1:9" x14ac:dyDescent="0.4">
      <c r="A51" t="s">
        <v>119</v>
      </c>
      <c r="B51" t="s">
        <v>120</v>
      </c>
      <c r="C51" t="s">
        <v>11</v>
      </c>
      <c r="D51">
        <v>9380</v>
      </c>
      <c r="E51" t="s">
        <v>121</v>
      </c>
      <c r="F51" t="s">
        <v>13</v>
      </c>
      <c r="G51" t="s">
        <v>14</v>
      </c>
      <c r="H51" t="s">
        <v>15</v>
      </c>
      <c r="I51" t="s">
        <v>16</v>
      </c>
    </row>
    <row r="52" spans="1:9" x14ac:dyDescent="0.4">
      <c r="A52" t="s">
        <v>122</v>
      </c>
      <c r="B52" t="s">
        <v>77</v>
      </c>
      <c r="C52" t="s">
        <v>34</v>
      </c>
      <c r="D52">
        <v>41569</v>
      </c>
      <c r="E52" t="s">
        <v>121</v>
      </c>
      <c r="F52" t="s">
        <v>13</v>
      </c>
      <c r="G52" t="s">
        <v>123</v>
      </c>
      <c r="H52" t="s">
        <v>21</v>
      </c>
      <c r="I52" t="s">
        <v>16</v>
      </c>
    </row>
    <row r="53" spans="1:9" x14ac:dyDescent="0.4">
      <c r="A53" t="s">
        <v>124</v>
      </c>
      <c r="B53" t="s">
        <v>86</v>
      </c>
      <c r="C53" t="s">
        <v>19</v>
      </c>
      <c r="D53">
        <v>52562</v>
      </c>
      <c r="E53" t="s">
        <v>121</v>
      </c>
      <c r="F53" t="s">
        <v>13</v>
      </c>
      <c r="G53" t="s">
        <v>14</v>
      </c>
      <c r="H53" t="s">
        <v>21</v>
      </c>
      <c r="I53" t="s">
        <v>16</v>
      </c>
    </row>
    <row r="54" spans="1:9" x14ac:dyDescent="0.4">
      <c r="A54" t="s">
        <v>125</v>
      </c>
      <c r="B54" t="s">
        <v>77</v>
      </c>
      <c r="C54" t="s">
        <v>19</v>
      </c>
      <c r="D54">
        <v>675</v>
      </c>
      <c r="E54" t="s">
        <v>126</v>
      </c>
      <c r="F54" t="s">
        <v>13</v>
      </c>
      <c r="G54" t="s">
        <v>14</v>
      </c>
      <c r="H54" t="s">
        <v>21</v>
      </c>
      <c r="I54" t="s">
        <v>16</v>
      </c>
    </row>
    <row r="55" spans="1:9" x14ac:dyDescent="0.4">
      <c r="A55" t="s">
        <v>127</v>
      </c>
      <c r="B55" t="s">
        <v>28</v>
      </c>
      <c r="C55" t="s">
        <v>19</v>
      </c>
      <c r="D55">
        <v>3400</v>
      </c>
      <c r="E55" t="s">
        <v>128</v>
      </c>
      <c r="F55" t="s">
        <v>13</v>
      </c>
      <c r="G55" t="s">
        <v>14</v>
      </c>
      <c r="H55" t="s">
        <v>21</v>
      </c>
      <c r="I55" t="s">
        <v>16</v>
      </c>
    </row>
    <row r="56" spans="1:9" x14ac:dyDescent="0.4">
      <c r="A56" t="s">
        <v>129</v>
      </c>
      <c r="B56" t="s">
        <v>71</v>
      </c>
      <c r="C56" t="s">
        <v>19</v>
      </c>
      <c r="D56">
        <v>3809</v>
      </c>
      <c r="E56" t="s">
        <v>128</v>
      </c>
      <c r="F56" t="s">
        <v>13</v>
      </c>
      <c r="G56" t="s">
        <v>20</v>
      </c>
      <c r="H56" t="s">
        <v>21</v>
      </c>
      <c r="I56" t="s">
        <v>16</v>
      </c>
    </row>
    <row r="57" spans="1:9" x14ac:dyDescent="0.4">
      <c r="A57" t="s">
        <v>130</v>
      </c>
      <c r="B57" t="s">
        <v>104</v>
      </c>
      <c r="C57" t="s">
        <v>11</v>
      </c>
      <c r="D57">
        <v>5459</v>
      </c>
      <c r="E57" t="s">
        <v>128</v>
      </c>
      <c r="F57" t="s">
        <v>13</v>
      </c>
      <c r="G57" t="s">
        <v>48</v>
      </c>
      <c r="H57" t="s">
        <v>15</v>
      </c>
      <c r="I57" t="s">
        <v>16</v>
      </c>
    </row>
    <row r="58" spans="1:9" x14ac:dyDescent="0.4">
      <c r="A58" t="s">
        <v>131</v>
      </c>
      <c r="B58" t="s">
        <v>86</v>
      </c>
      <c r="C58" t="s">
        <v>19</v>
      </c>
      <c r="D58">
        <v>501</v>
      </c>
      <c r="E58" t="s">
        <v>132</v>
      </c>
      <c r="F58" t="s">
        <v>13</v>
      </c>
      <c r="G58" t="s">
        <v>20</v>
      </c>
      <c r="H58" t="s">
        <v>21</v>
      </c>
      <c r="I58" t="s">
        <v>16</v>
      </c>
    </row>
    <row r="59" spans="1:9" x14ac:dyDescent="0.4">
      <c r="A59" t="s">
        <v>133</v>
      </c>
      <c r="B59" t="s">
        <v>104</v>
      </c>
      <c r="C59" t="s">
        <v>19</v>
      </c>
      <c r="D59">
        <v>548</v>
      </c>
      <c r="E59" t="s">
        <v>132</v>
      </c>
      <c r="F59" t="s">
        <v>13</v>
      </c>
      <c r="G59" t="s">
        <v>14</v>
      </c>
      <c r="H59" t="s">
        <v>21</v>
      </c>
      <c r="I59" t="s">
        <v>16</v>
      </c>
    </row>
    <row r="60" spans="1:9" x14ac:dyDescent="0.4">
      <c r="A60" t="s">
        <v>134</v>
      </c>
      <c r="B60" t="s">
        <v>77</v>
      </c>
      <c r="C60" t="s">
        <v>19</v>
      </c>
      <c r="D60">
        <v>501</v>
      </c>
      <c r="E60" t="s">
        <v>132</v>
      </c>
      <c r="F60" t="s">
        <v>13</v>
      </c>
      <c r="G60" t="s">
        <v>20</v>
      </c>
      <c r="H60" t="s">
        <v>21</v>
      </c>
      <c r="I60" t="s">
        <v>16</v>
      </c>
    </row>
    <row r="61" spans="1:9" x14ac:dyDescent="0.4">
      <c r="A61" t="s">
        <v>135</v>
      </c>
      <c r="B61" t="s">
        <v>136</v>
      </c>
      <c r="C61" t="s">
        <v>19</v>
      </c>
      <c r="D61">
        <v>1530</v>
      </c>
      <c r="E61" t="s">
        <v>132</v>
      </c>
      <c r="F61" t="s">
        <v>68</v>
      </c>
      <c r="G61" t="s">
        <v>14</v>
      </c>
      <c r="H61" t="s">
        <v>21</v>
      </c>
      <c r="I61" t="s">
        <v>16</v>
      </c>
    </row>
    <row r="62" spans="1:9" x14ac:dyDescent="0.4">
      <c r="A62" t="s">
        <v>137</v>
      </c>
      <c r="B62" t="s">
        <v>138</v>
      </c>
      <c r="C62" t="s">
        <v>19</v>
      </c>
      <c r="D62">
        <v>24496</v>
      </c>
      <c r="E62" t="s">
        <v>139</v>
      </c>
      <c r="F62" t="s">
        <v>13</v>
      </c>
      <c r="G62" t="s">
        <v>20</v>
      </c>
      <c r="H62" t="s">
        <v>21</v>
      </c>
      <c r="I62" t="s">
        <v>16</v>
      </c>
    </row>
    <row r="63" spans="1:9" x14ac:dyDescent="0.4">
      <c r="A63" t="s">
        <v>140</v>
      </c>
      <c r="B63" t="s">
        <v>141</v>
      </c>
      <c r="C63" t="s">
        <v>19</v>
      </c>
      <c r="D63">
        <v>9909</v>
      </c>
      <c r="E63" t="s">
        <v>142</v>
      </c>
      <c r="F63" t="s">
        <v>13</v>
      </c>
      <c r="G63" t="s">
        <v>14</v>
      </c>
      <c r="H63" t="s">
        <v>21</v>
      </c>
      <c r="I63" t="s">
        <v>16</v>
      </c>
    </row>
    <row r="64" spans="1:9" x14ac:dyDescent="0.4">
      <c r="A64" t="s">
        <v>143</v>
      </c>
      <c r="B64" t="s">
        <v>47</v>
      </c>
      <c r="C64" t="s">
        <v>19</v>
      </c>
      <c r="D64">
        <v>500</v>
      </c>
      <c r="E64" t="s">
        <v>142</v>
      </c>
      <c r="F64" t="s">
        <v>13</v>
      </c>
      <c r="G64" t="s">
        <v>20</v>
      </c>
      <c r="H64" t="s">
        <v>21</v>
      </c>
      <c r="I64" t="s">
        <v>16</v>
      </c>
    </row>
    <row r="65" spans="1:9" x14ac:dyDescent="0.4">
      <c r="A65" t="s">
        <v>144</v>
      </c>
      <c r="B65" t="s">
        <v>145</v>
      </c>
      <c r="C65" t="s">
        <v>19</v>
      </c>
      <c r="D65">
        <v>1556</v>
      </c>
      <c r="E65" t="s">
        <v>146</v>
      </c>
      <c r="F65" t="s">
        <v>13</v>
      </c>
      <c r="G65" t="s">
        <v>20</v>
      </c>
      <c r="H65" t="s">
        <v>21</v>
      </c>
      <c r="I65" t="s">
        <v>16</v>
      </c>
    </row>
    <row r="66" spans="1:9" x14ac:dyDescent="0.4">
      <c r="A66" t="s">
        <v>147</v>
      </c>
      <c r="B66" t="s">
        <v>10</v>
      </c>
      <c r="C66" t="s">
        <v>34</v>
      </c>
      <c r="D66">
        <v>5891</v>
      </c>
      <c r="E66" t="s">
        <v>148</v>
      </c>
      <c r="F66" t="s">
        <v>13</v>
      </c>
      <c r="G66" t="s">
        <v>20</v>
      </c>
      <c r="H66" t="s">
        <v>21</v>
      </c>
      <c r="I66" t="s">
        <v>16</v>
      </c>
    </row>
    <row r="67" spans="1:9" x14ac:dyDescent="0.4">
      <c r="A67" t="s">
        <v>149</v>
      </c>
      <c r="B67" t="s">
        <v>96</v>
      </c>
      <c r="C67" t="s">
        <v>19</v>
      </c>
      <c r="D67">
        <v>8600</v>
      </c>
      <c r="E67" t="s">
        <v>148</v>
      </c>
      <c r="F67" t="s">
        <v>68</v>
      </c>
      <c r="G67" t="s">
        <v>150</v>
      </c>
      <c r="H67" t="s">
        <v>21</v>
      </c>
      <c r="I67" t="s">
        <v>16</v>
      </c>
    </row>
    <row r="68" spans="1:9" x14ac:dyDescent="0.4">
      <c r="A68" t="s">
        <v>151</v>
      </c>
      <c r="B68" t="s">
        <v>18</v>
      </c>
      <c r="C68" t="s">
        <v>11</v>
      </c>
      <c r="D68">
        <v>602</v>
      </c>
      <c r="E68" t="s">
        <v>148</v>
      </c>
      <c r="F68" t="s">
        <v>13</v>
      </c>
      <c r="G68" t="s">
        <v>20</v>
      </c>
      <c r="H68" t="s">
        <v>15</v>
      </c>
      <c r="I68" t="s">
        <v>16</v>
      </c>
    </row>
    <row r="69" spans="1:9" x14ac:dyDescent="0.4">
      <c r="A69" t="s">
        <v>152</v>
      </c>
      <c r="B69" t="s">
        <v>60</v>
      </c>
      <c r="C69" t="s">
        <v>19</v>
      </c>
      <c r="D69">
        <v>13723</v>
      </c>
      <c r="E69" t="s">
        <v>153</v>
      </c>
      <c r="F69" t="s">
        <v>13</v>
      </c>
      <c r="G69" t="s">
        <v>20</v>
      </c>
      <c r="H69" t="s">
        <v>21</v>
      </c>
      <c r="I69" t="s">
        <v>16</v>
      </c>
    </row>
    <row r="70" spans="1:9" x14ac:dyDescent="0.4">
      <c r="A70" t="s">
        <v>154</v>
      </c>
      <c r="B70" t="s">
        <v>10</v>
      </c>
      <c r="C70" t="s">
        <v>34</v>
      </c>
      <c r="D70">
        <v>1549</v>
      </c>
      <c r="E70" t="s">
        <v>153</v>
      </c>
      <c r="F70" t="s">
        <v>68</v>
      </c>
      <c r="G70" t="s">
        <v>150</v>
      </c>
      <c r="H70" t="s">
        <v>21</v>
      </c>
      <c r="I70" t="s">
        <v>16</v>
      </c>
    </row>
    <row r="71" spans="1:9" x14ac:dyDescent="0.4">
      <c r="A71" t="s">
        <v>155</v>
      </c>
      <c r="B71" t="s">
        <v>10</v>
      </c>
      <c r="C71" t="s">
        <v>19</v>
      </c>
      <c r="D71">
        <v>29774</v>
      </c>
      <c r="E71" t="s">
        <v>153</v>
      </c>
      <c r="F71" t="s">
        <v>13</v>
      </c>
      <c r="G71" t="s">
        <v>20</v>
      </c>
      <c r="H71" t="s">
        <v>21</v>
      </c>
      <c r="I71" t="s">
        <v>16</v>
      </c>
    </row>
    <row r="72" spans="1:9" x14ac:dyDescent="0.4">
      <c r="A72" t="s">
        <v>156</v>
      </c>
      <c r="B72" t="s">
        <v>91</v>
      </c>
      <c r="C72" t="s">
        <v>11</v>
      </c>
      <c r="D72">
        <v>1718</v>
      </c>
      <c r="E72" t="s">
        <v>157</v>
      </c>
      <c r="F72" t="s">
        <v>13</v>
      </c>
      <c r="G72" t="s">
        <v>20</v>
      </c>
      <c r="H72" t="s">
        <v>15</v>
      </c>
      <c r="I72" t="s">
        <v>16</v>
      </c>
    </row>
    <row r="73" spans="1:9" x14ac:dyDescent="0.4">
      <c r="A73" t="s">
        <v>158</v>
      </c>
      <c r="B73" t="s">
        <v>77</v>
      </c>
      <c r="C73" t="s">
        <v>19</v>
      </c>
      <c r="D73">
        <v>66422</v>
      </c>
      <c r="E73" t="s">
        <v>157</v>
      </c>
      <c r="F73" t="s">
        <v>13</v>
      </c>
      <c r="G73" t="s">
        <v>20</v>
      </c>
      <c r="H73" t="s">
        <v>21</v>
      </c>
      <c r="I73" t="s">
        <v>16</v>
      </c>
    </row>
    <row r="74" spans="1:9" x14ac:dyDescent="0.4">
      <c r="A74" t="s">
        <v>159</v>
      </c>
      <c r="B74" t="s">
        <v>160</v>
      </c>
      <c r="C74" t="s">
        <v>11</v>
      </c>
      <c r="D74">
        <v>1261464</v>
      </c>
      <c r="E74" t="s">
        <v>157</v>
      </c>
      <c r="F74" t="s">
        <v>13</v>
      </c>
      <c r="G74" t="s">
        <v>20</v>
      </c>
      <c r="H74" t="s">
        <v>15</v>
      </c>
      <c r="I74" t="s">
        <v>16</v>
      </c>
    </row>
    <row r="75" spans="1:9" x14ac:dyDescent="0.4">
      <c r="A75" t="s">
        <v>161</v>
      </c>
      <c r="B75" t="s">
        <v>77</v>
      </c>
      <c r="C75" t="s">
        <v>11</v>
      </c>
      <c r="D75">
        <v>145714</v>
      </c>
      <c r="E75" t="s">
        <v>162</v>
      </c>
      <c r="F75" t="s">
        <v>13</v>
      </c>
      <c r="G75" t="s">
        <v>20</v>
      </c>
      <c r="H75" t="s">
        <v>15</v>
      </c>
      <c r="I75" t="s">
        <v>16</v>
      </c>
    </row>
    <row r="76" spans="1:9" x14ac:dyDescent="0.4">
      <c r="A76" t="s">
        <v>163</v>
      </c>
      <c r="B76" t="s">
        <v>10</v>
      </c>
      <c r="C76" t="s">
        <v>19</v>
      </c>
      <c r="D76">
        <v>878</v>
      </c>
      <c r="E76" t="s">
        <v>164</v>
      </c>
      <c r="F76" t="s">
        <v>13</v>
      </c>
      <c r="G76" t="s">
        <v>20</v>
      </c>
      <c r="H76" t="s">
        <v>21</v>
      </c>
      <c r="I76" t="s">
        <v>16</v>
      </c>
    </row>
    <row r="77" spans="1:9" x14ac:dyDescent="0.4">
      <c r="A77" t="s">
        <v>165</v>
      </c>
      <c r="B77" t="s">
        <v>10</v>
      </c>
      <c r="C77" t="s">
        <v>19</v>
      </c>
      <c r="D77">
        <v>22172</v>
      </c>
      <c r="E77" t="s">
        <v>164</v>
      </c>
      <c r="F77" t="s">
        <v>13</v>
      </c>
      <c r="G77" t="s">
        <v>14</v>
      </c>
      <c r="H77" t="s">
        <v>21</v>
      </c>
      <c r="I77" t="s">
        <v>16</v>
      </c>
    </row>
    <row r="78" spans="1:9" x14ac:dyDescent="0.4">
      <c r="A78" t="s">
        <v>166</v>
      </c>
      <c r="B78" t="s">
        <v>167</v>
      </c>
      <c r="C78" t="s">
        <v>19</v>
      </c>
      <c r="D78">
        <v>750</v>
      </c>
      <c r="E78" t="s">
        <v>164</v>
      </c>
      <c r="F78" t="s">
        <v>13</v>
      </c>
      <c r="G78" t="s">
        <v>14</v>
      </c>
      <c r="H78" t="s">
        <v>21</v>
      </c>
      <c r="I78" t="s">
        <v>16</v>
      </c>
    </row>
    <row r="79" spans="1:9" x14ac:dyDescent="0.4">
      <c r="A79" t="s">
        <v>168</v>
      </c>
      <c r="B79" t="s">
        <v>66</v>
      </c>
      <c r="C79" t="s">
        <v>19</v>
      </c>
      <c r="D79">
        <v>169626</v>
      </c>
      <c r="E79" t="s">
        <v>164</v>
      </c>
      <c r="F79" t="s">
        <v>13</v>
      </c>
      <c r="G79" t="s">
        <v>20</v>
      </c>
      <c r="H79" t="s">
        <v>21</v>
      </c>
      <c r="I79" t="s">
        <v>16</v>
      </c>
    </row>
    <row r="80" spans="1:9" x14ac:dyDescent="0.4">
      <c r="A80" t="s">
        <v>169</v>
      </c>
      <c r="B80" t="s">
        <v>18</v>
      </c>
      <c r="C80" t="s">
        <v>19</v>
      </c>
      <c r="D80">
        <v>7000</v>
      </c>
      <c r="E80" t="s">
        <v>170</v>
      </c>
      <c r="F80" t="s">
        <v>68</v>
      </c>
      <c r="G80" t="s">
        <v>51</v>
      </c>
      <c r="H80" t="s">
        <v>21</v>
      </c>
      <c r="I80" t="s">
        <v>16</v>
      </c>
    </row>
    <row r="81" spans="1:9" x14ac:dyDescent="0.4">
      <c r="A81" t="s">
        <v>171</v>
      </c>
      <c r="B81" t="s">
        <v>64</v>
      </c>
      <c r="C81" t="s">
        <v>19</v>
      </c>
      <c r="D81">
        <v>500</v>
      </c>
      <c r="E81" t="s">
        <v>170</v>
      </c>
      <c r="F81" t="s">
        <v>13</v>
      </c>
      <c r="G81" t="s">
        <v>14</v>
      </c>
      <c r="H81" t="s">
        <v>21</v>
      </c>
      <c r="I81" t="s">
        <v>16</v>
      </c>
    </row>
    <row r="82" spans="1:9" x14ac:dyDescent="0.4">
      <c r="A82" t="s">
        <v>172</v>
      </c>
      <c r="B82" t="s">
        <v>86</v>
      </c>
      <c r="C82" t="s">
        <v>19</v>
      </c>
      <c r="D82">
        <v>90000</v>
      </c>
      <c r="E82" t="s">
        <v>170</v>
      </c>
      <c r="F82" t="s">
        <v>13</v>
      </c>
      <c r="G82" t="s">
        <v>20</v>
      </c>
      <c r="H82" t="s">
        <v>21</v>
      </c>
      <c r="I82" t="s">
        <v>16</v>
      </c>
    </row>
    <row r="83" spans="1:9" x14ac:dyDescent="0.4">
      <c r="A83" t="s">
        <v>173</v>
      </c>
      <c r="B83" t="s">
        <v>18</v>
      </c>
      <c r="C83" t="s">
        <v>19</v>
      </c>
      <c r="D83">
        <v>68212</v>
      </c>
      <c r="E83" t="s">
        <v>174</v>
      </c>
      <c r="F83" t="s">
        <v>13</v>
      </c>
      <c r="G83" t="s">
        <v>20</v>
      </c>
      <c r="H83" t="s">
        <v>21</v>
      </c>
      <c r="I83" t="s">
        <v>16</v>
      </c>
    </row>
    <row r="84" spans="1:9" x14ac:dyDescent="0.4">
      <c r="A84" t="s">
        <v>175</v>
      </c>
      <c r="B84" t="s">
        <v>176</v>
      </c>
      <c r="C84" t="s">
        <v>19</v>
      </c>
      <c r="D84">
        <v>30830</v>
      </c>
      <c r="E84" t="s">
        <v>174</v>
      </c>
      <c r="F84" t="s">
        <v>13</v>
      </c>
      <c r="G84" t="s">
        <v>20</v>
      </c>
      <c r="H84" t="s">
        <v>21</v>
      </c>
      <c r="I84" t="s">
        <v>16</v>
      </c>
    </row>
    <row r="85" spans="1:9" x14ac:dyDescent="0.4">
      <c r="A85" t="s">
        <v>177</v>
      </c>
      <c r="B85" t="s">
        <v>104</v>
      </c>
      <c r="C85" t="s">
        <v>19</v>
      </c>
      <c r="D85">
        <v>501</v>
      </c>
      <c r="E85" t="s">
        <v>174</v>
      </c>
      <c r="F85" t="s">
        <v>13</v>
      </c>
      <c r="G85" t="s">
        <v>20</v>
      </c>
      <c r="H85" t="s">
        <v>21</v>
      </c>
      <c r="I85" t="s">
        <v>16</v>
      </c>
    </row>
    <row r="86" spans="1:9" x14ac:dyDescent="0.4">
      <c r="A86" t="s">
        <v>178</v>
      </c>
      <c r="B86" t="s">
        <v>10</v>
      </c>
      <c r="C86" t="s">
        <v>11</v>
      </c>
      <c r="D86">
        <v>2045</v>
      </c>
      <c r="E86" t="s">
        <v>174</v>
      </c>
      <c r="F86" t="s">
        <v>13</v>
      </c>
      <c r="G86" t="s">
        <v>20</v>
      </c>
      <c r="H86" t="s">
        <v>15</v>
      </c>
      <c r="I86" t="s">
        <v>16</v>
      </c>
    </row>
    <row r="87" spans="1:9" x14ac:dyDescent="0.4">
      <c r="A87" t="s">
        <v>179</v>
      </c>
      <c r="B87" t="s">
        <v>60</v>
      </c>
      <c r="C87" t="s">
        <v>19</v>
      </c>
      <c r="D87">
        <v>501</v>
      </c>
      <c r="E87" t="s">
        <v>180</v>
      </c>
      <c r="F87" t="s">
        <v>13</v>
      </c>
      <c r="G87" t="s">
        <v>20</v>
      </c>
      <c r="H87" t="s">
        <v>21</v>
      </c>
      <c r="I87" t="s">
        <v>16</v>
      </c>
    </row>
    <row r="88" spans="1:9" x14ac:dyDescent="0.4">
      <c r="A88" t="s">
        <v>181</v>
      </c>
      <c r="B88" t="s">
        <v>182</v>
      </c>
      <c r="C88" t="s">
        <v>19</v>
      </c>
      <c r="D88">
        <v>500</v>
      </c>
      <c r="E88" t="s">
        <v>180</v>
      </c>
      <c r="F88" t="s">
        <v>13</v>
      </c>
      <c r="G88" t="s">
        <v>20</v>
      </c>
      <c r="H88" t="s">
        <v>21</v>
      </c>
      <c r="I88" t="s">
        <v>16</v>
      </c>
    </row>
    <row r="89" spans="1:9" x14ac:dyDescent="0.4">
      <c r="A89" t="s">
        <v>183</v>
      </c>
      <c r="B89" t="s">
        <v>28</v>
      </c>
      <c r="C89" t="s">
        <v>19</v>
      </c>
      <c r="D89">
        <v>542377</v>
      </c>
      <c r="E89" t="s">
        <v>180</v>
      </c>
      <c r="F89" t="s">
        <v>13</v>
      </c>
      <c r="G89" t="s">
        <v>20</v>
      </c>
      <c r="H89" t="s">
        <v>21</v>
      </c>
      <c r="I89" t="s">
        <v>16</v>
      </c>
    </row>
    <row r="90" spans="1:9" x14ac:dyDescent="0.4">
      <c r="A90" t="s">
        <v>184</v>
      </c>
      <c r="B90" t="s">
        <v>86</v>
      </c>
      <c r="C90" t="s">
        <v>19</v>
      </c>
      <c r="D90">
        <v>7117</v>
      </c>
      <c r="E90" t="s">
        <v>180</v>
      </c>
      <c r="F90" t="s">
        <v>13</v>
      </c>
      <c r="G90" t="s">
        <v>20</v>
      </c>
      <c r="H90" t="s">
        <v>21</v>
      </c>
      <c r="I90" t="s">
        <v>16</v>
      </c>
    </row>
    <row r="91" spans="1:9" x14ac:dyDescent="0.4">
      <c r="A91" t="s">
        <v>185</v>
      </c>
      <c r="B91" t="s">
        <v>77</v>
      </c>
      <c r="C91" t="s">
        <v>19</v>
      </c>
      <c r="D91">
        <v>9810</v>
      </c>
      <c r="E91" t="s">
        <v>180</v>
      </c>
      <c r="F91" t="s">
        <v>13</v>
      </c>
      <c r="G91" t="s">
        <v>20</v>
      </c>
      <c r="H91" t="s">
        <v>21</v>
      </c>
      <c r="I91" t="s">
        <v>16</v>
      </c>
    </row>
    <row r="92" spans="1:9" x14ac:dyDescent="0.4">
      <c r="A92" t="s">
        <v>186</v>
      </c>
      <c r="B92" t="s">
        <v>10</v>
      </c>
      <c r="C92" t="s">
        <v>19</v>
      </c>
      <c r="D92">
        <v>62150</v>
      </c>
      <c r="E92" t="s">
        <v>187</v>
      </c>
      <c r="F92" t="s">
        <v>13</v>
      </c>
      <c r="G92" t="s">
        <v>20</v>
      </c>
      <c r="H92" t="s">
        <v>21</v>
      </c>
      <c r="I92" t="s">
        <v>16</v>
      </c>
    </row>
    <row r="93" spans="1:9" x14ac:dyDescent="0.4">
      <c r="A93" t="s">
        <v>188</v>
      </c>
      <c r="B93" t="s">
        <v>91</v>
      </c>
      <c r="C93" t="s">
        <v>11</v>
      </c>
      <c r="D93">
        <v>83114</v>
      </c>
      <c r="E93" t="s">
        <v>187</v>
      </c>
      <c r="F93" t="s">
        <v>13</v>
      </c>
      <c r="G93" t="s">
        <v>14</v>
      </c>
      <c r="H93" t="s">
        <v>15</v>
      </c>
      <c r="I93" t="s">
        <v>16</v>
      </c>
    </row>
    <row r="94" spans="1:9" x14ac:dyDescent="0.4">
      <c r="A94" t="s">
        <v>189</v>
      </c>
      <c r="B94" t="s">
        <v>43</v>
      </c>
      <c r="C94" t="s">
        <v>19</v>
      </c>
      <c r="D94">
        <v>500</v>
      </c>
      <c r="E94" t="s">
        <v>190</v>
      </c>
      <c r="F94" t="s">
        <v>13</v>
      </c>
      <c r="G94" t="s">
        <v>20</v>
      </c>
      <c r="H94" t="s">
        <v>21</v>
      </c>
      <c r="I94" t="s">
        <v>16</v>
      </c>
    </row>
    <row r="95" spans="1:9" x14ac:dyDescent="0.4">
      <c r="A95" t="s">
        <v>191</v>
      </c>
      <c r="B95" t="s">
        <v>64</v>
      </c>
      <c r="C95" t="s">
        <v>19</v>
      </c>
      <c r="D95">
        <v>500</v>
      </c>
      <c r="E95" t="s">
        <v>192</v>
      </c>
      <c r="F95" t="s">
        <v>13</v>
      </c>
      <c r="G95" t="s">
        <v>20</v>
      </c>
      <c r="H95" t="s">
        <v>21</v>
      </c>
      <c r="I95" t="s">
        <v>16</v>
      </c>
    </row>
    <row r="96" spans="1:9" x14ac:dyDescent="0.4">
      <c r="A96" t="s">
        <v>193</v>
      </c>
      <c r="B96" t="s">
        <v>104</v>
      </c>
      <c r="C96" t="s">
        <v>11</v>
      </c>
      <c r="D96">
        <v>8545</v>
      </c>
      <c r="E96" t="s">
        <v>192</v>
      </c>
      <c r="F96" t="s">
        <v>13</v>
      </c>
      <c r="G96" t="s">
        <v>20</v>
      </c>
      <c r="H96" t="s">
        <v>15</v>
      </c>
      <c r="I96" t="s">
        <v>16</v>
      </c>
    </row>
    <row r="97" spans="1:9" x14ac:dyDescent="0.4">
      <c r="A97" t="s">
        <v>194</v>
      </c>
      <c r="B97" t="s">
        <v>37</v>
      </c>
      <c r="C97" t="s">
        <v>19</v>
      </c>
      <c r="D97">
        <v>1607</v>
      </c>
      <c r="E97" t="s">
        <v>195</v>
      </c>
      <c r="F97" t="s">
        <v>68</v>
      </c>
      <c r="G97" t="s">
        <v>196</v>
      </c>
      <c r="H97" t="s">
        <v>21</v>
      </c>
      <c r="I97" t="s">
        <v>16</v>
      </c>
    </row>
    <row r="98" spans="1:9" x14ac:dyDescent="0.4">
      <c r="A98" t="s">
        <v>197</v>
      </c>
      <c r="B98" t="s">
        <v>66</v>
      </c>
      <c r="C98" t="s">
        <v>19</v>
      </c>
      <c r="D98">
        <v>893</v>
      </c>
      <c r="E98" t="s">
        <v>195</v>
      </c>
      <c r="F98" t="s">
        <v>13</v>
      </c>
      <c r="G98" t="s">
        <v>14</v>
      </c>
      <c r="H98" t="s">
        <v>21</v>
      </c>
      <c r="I98" t="s">
        <v>16</v>
      </c>
    </row>
    <row r="99" spans="1:9" x14ac:dyDescent="0.4">
      <c r="A99" t="s">
        <v>198</v>
      </c>
      <c r="B99" t="s">
        <v>60</v>
      </c>
      <c r="C99" t="s">
        <v>19</v>
      </c>
      <c r="D99">
        <v>7692</v>
      </c>
      <c r="E99" t="s">
        <v>199</v>
      </c>
      <c r="F99" t="s">
        <v>13</v>
      </c>
      <c r="G99" t="s">
        <v>20</v>
      </c>
      <c r="H99" t="s">
        <v>21</v>
      </c>
      <c r="I99" t="s">
        <v>16</v>
      </c>
    </row>
    <row r="100" spans="1:9" x14ac:dyDescent="0.4">
      <c r="A100" t="s">
        <v>200</v>
      </c>
      <c r="B100" t="s">
        <v>57</v>
      </c>
      <c r="C100" t="s">
        <v>19</v>
      </c>
      <c r="D100">
        <v>534</v>
      </c>
      <c r="E100" t="s">
        <v>201</v>
      </c>
      <c r="F100" t="s">
        <v>13</v>
      </c>
      <c r="G100" t="s">
        <v>20</v>
      </c>
      <c r="H100" t="s">
        <v>21</v>
      </c>
      <c r="I100" t="s">
        <v>16</v>
      </c>
    </row>
    <row r="101" spans="1:9" x14ac:dyDescent="0.4">
      <c r="A101" t="s">
        <v>202</v>
      </c>
      <c r="B101" t="s">
        <v>182</v>
      </c>
      <c r="C101" t="s">
        <v>19</v>
      </c>
      <c r="D101">
        <v>2311</v>
      </c>
      <c r="E101" t="s">
        <v>203</v>
      </c>
      <c r="F101" t="s">
        <v>13</v>
      </c>
      <c r="G101" t="s">
        <v>20</v>
      </c>
      <c r="H101" t="s">
        <v>21</v>
      </c>
      <c r="I101" t="s">
        <v>16</v>
      </c>
    </row>
    <row r="102" spans="1:9" x14ac:dyDescent="0.4">
      <c r="A102" t="s">
        <v>204</v>
      </c>
      <c r="B102" t="s">
        <v>71</v>
      </c>
      <c r="C102" t="s">
        <v>11</v>
      </c>
      <c r="D102">
        <v>1279</v>
      </c>
      <c r="E102" t="s">
        <v>205</v>
      </c>
      <c r="F102" t="s">
        <v>13</v>
      </c>
      <c r="G102" t="s">
        <v>20</v>
      </c>
      <c r="H102" t="s">
        <v>15</v>
      </c>
      <c r="I102" t="s">
        <v>16</v>
      </c>
    </row>
    <row r="103" spans="1:9" x14ac:dyDescent="0.4">
      <c r="A103" t="s">
        <v>206</v>
      </c>
      <c r="B103" t="s">
        <v>26</v>
      </c>
      <c r="C103" t="s">
        <v>19</v>
      </c>
      <c r="D103">
        <v>1006</v>
      </c>
      <c r="E103" t="s">
        <v>207</v>
      </c>
      <c r="F103" t="s">
        <v>13</v>
      </c>
      <c r="G103" t="s">
        <v>14</v>
      </c>
      <c r="H103" t="s">
        <v>21</v>
      </c>
      <c r="I103" t="s">
        <v>16</v>
      </c>
    </row>
    <row r="104" spans="1:9" x14ac:dyDescent="0.4">
      <c r="A104" t="s">
        <v>208</v>
      </c>
      <c r="B104" t="s">
        <v>145</v>
      </c>
      <c r="C104" t="s">
        <v>34</v>
      </c>
      <c r="D104">
        <v>34574</v>
      </c>
      <c r="E104" t="s">
        <v>207</v>
      </c>
      <c r="F104" t="s">
        <v>13</v>
      </c>
      <c r="G104" t="s">
        <v>20</v>
      </c>
      <c r="H104" t="s">
        <v>21</v>
      </c>
      <c r="I104" t="s">
        <v>16</v>
      </c>
    </row>
    <row r="105" spans="1:9" x14ac:dyDescent="0.4">
      <c r="A105" t="s">
        <v>209</v>
      </c>
      <c r="B105" t="s">
        <v>26</v>
      </c>
      <c r="C105" t="s">
        <v>19</v>
      </c>
      <c r="D105">
        <v>500</v>
      </c>
      <c r="E105" t="s">
        <v>207</v>
      </c>
      <c r="F105" t="s">
        <v>13</v>
      </c>
      <c r="G105" t="s">
        <v>20</v>
      </c>
      <c r="H105" t="s">
        <v>21</v>
      </c>
      <c r="I105" t="s">
        <v>16</v>
      </c>
    </row>
    <row r="106" spans="1:9" x14ac:dyDescent="0.4">
      <c r="A106" t="s">
        <v>210</v>
      </c>
      <c r="B106" t="s">
        <v>91</v>
      </c>
      <c r="C106" t="s">
        <v>19</v>
      </c>
      <c r="D106">
        <v>80061</v>
      </c>
      <c r="E106" t="s">
        <v>207</v>
      </c>
      <c r="F106" t="s">
        <v>13</v>
      </c>
      <c r="G106" t="s">
        <v>20</v>
      </c>
      <c r="H106" t="s">
        <v>21</v>
      </c>
      <c r="I106" t="s">
        <v>16</v>
      </c>
    </row>
    <row r="107" spans="1:9" x14ac:dyDescent="0.4">
      <c r="A107" t="s">
        <v>211</v>
      </c>
      <c r="B107" t="s">
        <v>66</v>
      </c>
      <c r="C107" t="s">
        <v>11</v>
      </c>
      <c r="D107">
        <v>1396519</v>
      </c>
      <c r="E107" t="s">
        <v>207</v>
      </c>
      <c r="F107" t="s">
        <v>13</v>
      </c>
      <c r="G107" t="s">
        <v>20</v>
      </c>
      <c r="H107" t="s">
        <v>15</v>
      </c>
      <c r="I107" t="s">
        <v>16</v>
      </c>
    </row>
    <row r="108" spans="1:9" x14ac:dyDescent="0.4">
      <c r="A108" t="s">
        <v>212</v>
      </c>
      <c r="B108" t="s">
        <v>182</v>
      </c>
      <c r="C108" t="s">
        <v>19</v>
      </c>
      <c r="D108">
        <v>500</v>
      </c>
      <c r="E108" t="s">
        <v>207</v>
      </c>
      <c r="F108" t="s">
        <v>13</v>
      </c>
      <c r="G108" t="s">
        <v>20</v>
      </c>
      <c r="H108" t="s">
        <v>21</v>
      </c>
      <c r="I108" t="s">
        <v>16</v>
      </c>
    </row>
    <row r="109" spans="1:9" x14ac:dyDescent="0.4">
      <c r="A109" t="s">
        <v>213</v>
      </c>
      <c r="B109" t="s">
        <v>71</v>
      </c>
      <c r="C109" t="s">
        <v>19</v>
      </c>
      <c r="D109">
        <v>75532</v>
      </c>
      <c r="E109" t="s">
        <v>207</v>
      </c>
      <c r="F109" t="s">
        <v>13</v>
      </c>
      <c r="G109" t="s">
        <v>20</v>
      </c>
      <c r="H109" t="s">
        <v>21</v>
      </c>
      <c r="I109" t="s">
        <v>16</v>
      </c>
    </row>
    <row r="110" spans="1:9" x14ac:dyDescent="0.4">
      <c r="A110" t="s">
        <v>214</v>
      </c>
      <c r="B110" t="s">
        <v>116</v>
      </c>
      <c r="C110" t="s">
        <v>19</v>
      </c>
      <c r="D110">
        <v>19553</v>
      </c>
      <c r="E110" t="s">
        <v>215</v>
      </c>
      <c r="F110" t="s">
        <v>13</v>
      </c>
      <c r="G110" t="s">
        <v>20</v>
      </c>
      <c r="H110" t="s">
        <v>21</v>
      </c>
      <c r="I110" t="s">
        <v>16</v>
      </c>
    </row>
    <row r="111" spans="1:9" x14ac:dyDescent="0.4">
      <c r="A111" t="s">
        <v>216</v>
      </c>
      <c r="B111" t="s">
        <v>167</v>
      </c>
      <c r="C111" t="s">
        <v>19</v>
      </c>
      <c r="D111">
        <v>22000</v>
      </c>
      <c r="E111" t="s">
        <v>215</v>
      </c>
      <c r="F111" t="s">
        <v>13</v>
      </c>
      <c r="G111" t="s">
        <v>51</v>
      </c>
      <c r="H111" t="s">
        <v>21</v>
      </c>
      <c r="I111" t="s">
        <v>16</v>
      </c>
    </row>
    <row r="112" spans="1:9" x14ac:dyDescent="0.4">
      <c r="A112" t="s">
        <v>217</v>
      </c>
      <c r="B112" t="s">
        <v>64</v>
      </c>
      <c r="C112" t="s">
        <v>19</v>
      </c>
      <c r="D112">
        <v>20608</v>
      </c>
      <c r="E112" t="s">
        <v>218</v>
      </c>
      <c r="F112" t="s">
        <v>13</v>
      </c>
      <c r="G112" t="s">
        <v>20</v>
      </c>
      <c r="H112" t="s">
        <v>21</v>
      </c>
      <c r="I112" t="s">
        <v>16</v>
      </c>
    </row>
    <row r="113" spans="1:9" x14ac:dyDescent="0.4">
      <c r="A113" t="s">
        <v>219</v>
      </c>
      <c r="B113" t="s">
        <v>116</v>
      </c>
      <c r="C113" t="s">
        <v>11</v>
      </c>
      <c r="D113">
        <v>1137</v>
      </c>
      <c r="E113" t="s">
        <v>218</v>
      </c>
      <c r="F113" t="s">
        <v>13</v>
      </c>
      <c r="G113" t="s">
        <v>51</v>
      </c>
      <c r="H113" t="s">
        <v>15</v>
      </c>
      <c r="I113" t="s">
        <v>16</v>
      </c>
    </row>
    <row r="114" spans="1:9" x14ac:dyDescent="0.4">
      <c r="A114" t="s">
        <v>220</v>
      </c>
      <c r="B114" t="s">
        <v>18</v>
      </c>
      <c r="C114" t="s">
        <v>19</v>
      </c>
      <c r="D114">
        <v>12000</v>
      </c>
      <c r="E114" t="s">
        <v>218</v>
      </c>
      <c r="F114" t="s">
        <v>13</v>
      </c>
      <c r="G114" t="s">
        <v>20</v>
      </c>
      <c r="H114" t="s">
        <v>21</v>
      </c>
      <c r="I114" t="s">
        <v>16</v>
      </c>
    </row>
    <row r="115" spans="1:9" x14ac:dyDescent="0.4">
      <c r="A115" t="s">
        <v>221</v>
      </c>
      <c r="B115" t="s">
        <v>138</v>
      </c>
      <c r="C115" t="s">
        <v>11</v>
      </c>
      <c r="D115">
        <v>2720</v>
      </c>
      <c r="E115" t="s">
        <v>222</v>
      </c>
      <c r="F115" t="s">
        <v>13</v>
      </c>
      <c r="G115" t="s">
        <v>20</v>
      </c>
      <c r="H115" t="s">
        <v>15</v>
      </c>
      <c r="I115" t="s">
        <v>16</v>
      </c>
    </row>
    <row r="116" spans="1:9" x14ac:dyDescent="0.4">
      <c r="A116" t="s">
        <v>223</v>
      </c>
      <c r="B116" t="s">
        <v>145</v>
      </c>
      <c r="C116" t="s">
        <v>19</v>
      </c>
      <c r="D116">
        <v>27113</v>
      </c>
      <c r="E116" t="s">
        <v>222</v>
      </c>
      <c r="F116" t="s">
        <v>13</v>
      </c>
      <c r="G116" t="s">
        <v>20</v>
      </c>
      <c r="H116" t="s">
        <v>21</v>
      </c>
      <c r="I116" t="s">
        <v>16</v>
      </c>
    </row>
    <row r="117" spans="1:9" x14ac:dyDescent="0.4">
      <c r="A117" t="s">
        <v>224</v>
      </c>
      <c r="B117" t="s">
        <v>77</v>
      </c>
      <c r="C117" t="s">
        <v>11</v>
      </c>
      <c r="D117">
        <v>1387</v>
      </c>
      <c r="E117" t="s">
        <v>225</v>
      </c>
      <c r="F117" t="s">
        <v>13</v>
      </c>
      <c r="G117" t="s">
        <v>20</v>
      </c>
      <c r="H117" t="s">
        <v>15</v>
      </c>
      <c r="I117" t="s">
        <v>16</v>
      </c>
    </row>
    <row r="118" spans="1:9" x14ac:dyDescent="0.4">
      <c r="A118" t="s">
        <v>226</v>
      </c>
      <c r="B118" t="s">
        <v>71</v>
      </c>
      <c r="C118" t="s">
        <v>19</v>
      </c>
      <c r="D118">
        <v>501</v>
      </c>
      <c r="E118" t="s">
        <v>227</v>
      </c>
      <c r="F118" t="s">
        <v>13</v>
      </c>
      <c r="G118" t="s">
        <v>20</v>
      </c>
      <c r="H118" t="s">
        <v>21</v>
      </c>
      <c r="I118" t="s">
        <v>16</v>
      </c>
    </row>
    <row r="119" spans="1:9" x14ac:dyDescent="0.4">
      <c r="A119" t="s">
        <v>228</v>
      </c>
      <c r="B119" t="s">
        <v>47</v>
      </c>
      <c r="C119" t="s">
        <v>19</v>
      </c>
      <c r="D119">
        <v>500</v>
      </c>
      <c r="E119" t="s">
        <v>227</v>
      </c>
      <c r="F119" t="s">
        <v>13</v>
      </c>
      <c r="G119" t="s">
        <v>20</v>
      </c>
      <c r="H119" t="s">
        <v>21</v>
      </c>
      <c r="I119" t="s">
        <v>16</v>
      </c>
    </row>
    <row r="120" spans="1:9" x14ac:dyDescent="0.4">
      <c r="A120" t="s">
        <v>229</v>
      </c>
      <c r="B120" t="s">
        <v>47</v>
      </c>
      <c r="C120" t="s">
        <v>11</v>
      </c>
      <c r="D120">
        <v>353844</v>
      </c>
      <c r="E120" t="s">
        <v>227</v>
      </c>
      <c r="F120" t="s">
        <v>13</v>
      </c>
      <c r="G120" t="s">
        <v>20</v>
      </c>
      <c r="H120" t="s">
        <v>15</v>
      </c>
      <c r="I120" t="s">
        <v>16</v>
      </c>
    </row>
    <row r="121" spans="1:9" x14ac:dyDescent="0.4">
      <c r="A121" t="s">
        <v>230</v>
      </c>
      <c r="B121" t="s">
        <v>116</v>
      </c>
      <c r="C121" t="s">
        <v>11</v>
      </c>
      <c r="D121">
        <v>4060</v>
      </c>
      <c r="E121" t="s">
        <v>231</v>
      </c>
      <c r="F121" t="s">
        <v>13</v>
      </c>
      <c r="G121" t="s">
        <v>20</v>
      </c>
      <c r="H121" t="s">
        <v>15</v>
      </c>
      <c r="I121" t="s">
        <v>16</v>
      </c>
    </row>
    <row r="122" spans="1:9" x14ac:dyDescent="0.4">
      <c r="A122" t="s">
        <v>232</v>
      </c>
      <c r="B122" t="s">
        <v>160</v>
      </c>
      <c r="C122" t="s">
        <v>19</v>
      </c>
      <c r="D122">
        <v>74074</v>
      </c>
      <c r="E122" t="s">
        <v>233</v>
      </c>
      <c r="F122" t="s">
        <v>13</v>
      </c>
      <c r="G122" t="s">
        <v>14</v>
      </c>
      <c r="H122" t="s">
        <v>21</v>
      </c>
      <c r="I122" t="s">
        <v>16</v>
      </c>
    </row>
    <row r="123" spans="1:9" x14ac:dyDescent="0.4">
      <c r="A123" t="s">
        <v>234</v>
      </c>
      <c r="B123" t="s">
        <v>18</v>
      </c>
      <c r="C123" t="s">
        <v>19</v>
      </c>
      <c r="D123">
        <v>14636</v>
      </c>
      <c r="E123" t="s">
        <v>235</v>
      </c>
      <c r="F123" t="s">
        <v>13</v>
      </c>
      <c r="G123" t="s">
        <v>20</v>
      </c>
      <c r="H123" t="s">
        <v>21</v>
      </c>
      <c r="I123" t="s">
        <v>16</v>
      </c>
    </row>
    <row r="124" spans="1:9" x14ac:dyDescent="0.4">
      <c r="A124" t="s">
        <v>236</v>
      </c>
      <c r="B124" t="s">
        <v>138</v>
      </c>
      <c r="C124" t="s">
        <v>19</v>
      </c>
      <c r="D124">
        <v>5240</v>
      </c>
      <c r="E124" t="s">
        <v>237</v>
      </c>
      <c r="F124" t="s">
        <v>13</v>
      </c>
      <c r="G124" t="s">
        <v>20</v>
      </c>
      <c r="H124" t="s">
        <v>21</v>
      </c>
      <c r="I124" t="s">
        <v>16</v>
      </c>
    </row>
    <row r="125" spans="1:9" x14ac:dyDescent="0.4">
      <c r="A125" t="s">
        <v>238</v>
      </c>
      <c r="B125" t="s">
        <v>120</v>
      </c>
      <c r="C125" t="s">
        <v>19</v>
      </c>
      <c r="D125">
        <v>1080</v>
      </c>
      <c r="E125" t="s">
        <v>237</v>
      </c>
      <c r="F125" t="s">
        <v>13</v>
      </c>
      <c r="G125" t="s">
        <v>14</v>
      </c>
      <c r="H125" t="s">
        <v>21</v>
      </c>
      <c r="I125" t="s">
        <v>16</v>
      </c>
    </row>
    <row r="126" spans="1:9" x14ac:dyDescent="0.4">
      <c r="A126" t="s">
        <v>239</v>
      </c>
      <c r="B126" t="s">
        <v>86</v>
      </c>
      <c r="C126" t="s">
        <v>19</v>
      </c>
      <c r="D126">
        <v>38700</v>
      </c>
      <c r="E126" t="s">
        <v>237</v>
      </c>
      <c r="F126" t="s">
        <v>13</v>
      </c>
      <c r="G126" t="s">
        <v>20</v>
      </c>
      <c r="H126" t="s">
        <v>21</v>
      </c>
      <c r="I126" t="s">
        <v>16</v>
      </c>
    </row>
    <row r="127" spans="1:9" x14ac:dyDescent="0.4">
      <c r="A127" t="s">
        <v>240</v>
      </c>
      <c r="B127" t="s">
        <v>66</v>
      </c>
      <c r="C127" t="s">
        <v>11</v>
      </c>
      <c r="D127">
        <v>1807</v>
      </c>
      <c r="E127" t="s">
        <v>237</v>
      </c>
      <c r="F127" t="s">
        <v>13</v>
      </c>
      <c r="G127" t="s">
        <v>14</v>
      </c>
      <c r="H127" t="s">
        <v>15</v>
      </c>
      <c r="I127" t="s">
        <v>16</v>
      </c>
    </row>
    <row r="128" spans="1:9" x14ac:dyDescent="0.4">
      <c r="A128" t="s">
        <v>241</v>
      </c>
      <c r="B128" t="s">
        <v>77</v>
      </c>
      <c r="C128" t="s">
        <v>19</v>
      </c>
      <c r="D128">
        <v>1525</v>
      </c>
      <c r="E128" t="s">
        <v>237</v>
      </c>
      <c r="F128" t="s">
        <v>13</v>
      </c>
      <c r="G128" t="s">
        <v>20</v>
      </c>
      <c r="H128" t="s">
        <v>21</v>
      </c>
      <c r="I128" t="s">
        <v>16</v>
      </c>
    </row>
    <row r="129" spans="1:9" x14ac:dyDescent="0.4">
      <c r="A129" t="s">
        <v>242</v>
      </c>
      <c r="B129" t="s">
        <v>77</v>
      </c>
      <c r="C129" t="s">
        <v>19</v>
      </c>
      <c r="D129">
        <v>1628</v>
      </c>
      <c r="E129" t="s">
        <v>237</v>
      </c>
      <c r="F129" t="s">
        <v>13</v>
      </c>
      <c r="G129" t="s">
        <v>14</v>
      </c>
      <c r="H129" t="s">
        <v>21</v>
      </c>
      <c r="I129" t="s">
        <v>16</v>
      </c>
    </row>
    <row r="130" spans="1:9" x14ac:dyDescent="0.4">
      <c r="A130" t="s">
        <v>242</v>
      </c>
      <c r="B130" t="s">
        <v>77</v>
      </c>
      <c r="C130" t="s">
        <v>19</v>
      </c>
      <c r="D130">
        <v>35632</v>
      </c>
      <c r="E130" t="s">
        <v>237</v>
      </c>
      <c r="F130" t="s">
        <v>13</v>
      </c>
      <c r="G130" t="s">
        <v>14</v>
      </c>
      <c r="H130" t="s">
        <v>21</v>
      </c>
      <c r="I130" t="s">
        <v>16</v>
      </c>
    </row>
    <row r="131" spans="1:9" x14ac:dyDescent="0.4">
      <c r="A131" t="s">
        <v>243</v>
      </c>
      <c r="B131" t="s">
        <v>71</v>
      </c>
      <c r="C131" t="s">
        <v>11</v>
      </c>
      <c r="D131">
        <v>1591</v>
      </c>
      <c r="E131" t="s">
        <v>237</v>
      </c>
      <c r="F131" t="s">
        <v>13</v>
      </c>
      <c r="G131" t="s">
        <v>20</v>
      </c>
      <c r="H131" t="s">
        <v>15</v>
      </c>
      <c r="I131" t="s">
        <v>16</v>
      </c>
    </row>
    <row r="132" spans="1:9" x14ac:dyDescent="0.4">
      <c r="A132" t="s">
        <v>244</v>
      </c>
      <c r="B132" t="s">
        <v>104</v>
      </c>
      <c r="C132" t="s">
        <v>19</v>
      </c>
      <c r="D132">
        <v>564</v>
      </c>
      <c r="E132" t="s">
        <v>245</v>
      </c>
      <c r="F132" t="s">
        <v>13</v>
      </c>
      <c r="G132" t="s">
        <v>14</v>
      </c>
      <c r="H132" t="s">
        <v>21</v>
      </c>
      <c r="I132" t="s">
        <v>16</v>
      </c>
    </row>
    <row r="133" spans="1:9" x14ac:dyDescent="0.4">
      <c r="A133" t="s">
        <v>246</v>
      </c>
      <c r="B133" t="s">
        <v>116</v>
      </c>
      <c r="C133" t="s">
        <v>19</v>
      </c>
      <c r="D133">
        <v>2886</v>
      </c>
      <c r="E133" t="s">
        <v>245</v>
      </c>
      <c r="F133" t="s">
        <v>13</v>
      </c>
      <c r="G133" t="s">
        <v>20</v>
      </c>
      <c r="H133" t="s">
        <v>21</v>
      </c>
      <c r="I133" t="s">
        <v>16</v>
      </c>
    </row>
    <row r="134" spans="1:9" x14ac:dyDescent="0.4">
      <c r="A134" t="s">
        <v>247</v>
      </c>
      <c r="B134" t="s">
        <v>248</v>
      </c>
      <c r="C134" t="s">
        <v>34</v>
      </c>
      <c r="D134">
        <v>2856</v>
      </c>
      <c r="E134" t="s">
        <v>245</v>
      </c>
      <c r="F134" t="s">
        <v>13</v>
      </c>
      <c r="G134" t="s">
        <v>20</v>
      </c>
      <c r="H134" t="s">
        <v>21</v>
      </c>
      <c r="I134" t="s">
        <v>16</v>
      </c>
    </row>
    <row r="135" spans="1:9" x14ac:dyDescent="0.4">
      <c r="A135" t="s">
        <v>249</v>
      </c>
      <c r="B135" t="s">
        <v>141</v>
      </c>
      <c r="C135" t="s">
        <v>19</v>
      </c>
      <c r="D135">
        <v>266183</v>
      </c>
      <c r="E135" t="s">
        <v>245</v>
      </c>
      <c r="F135" t="s">
        <v>13</v>
      </c>
      <c r="G135" t="s">
        <v>20</v>
      </c>
      <c r="H135" t="s">
        <v>21</v>
      </c>
      <c r="I135" t="s">
        <v>16</v>
      </c>
    </row>
    <row r="136" spans="1:9" x14ac:dyDescent="0.4">
      <c r="A136" t="s">
        <v>250</v>
      </c>
      <c r="B136" t="s">
        <v>251</v>
      </c>
      <c r="C136" t="s">
        <v>19</v>
      </c>
      <c r="D136">
        <v>2316</v>
      </c>
      <c r="E136" t="s">
        <v>252</v>
      </c>
      <c r="F136" t="s">
        <v>13</v>
      </c>
      <c r="G136" t="s">
        <v>14</v>
      </c>
      <c r="H136" t="s">
        <v>21</v>
      </c>
      <c r="I136" t="s">
        <v>16</v>
      </c>
    </row>
    <row r="137" spans="1:9" x14ac:dyDescent="0.4">
      <c r="A137" t="s">
        <v>253</v>
      </c>
      <c r="B137" t="s">
        <v>82</v>
      </c>
      <c r="C137" t="s">
        <v>19</v>
      </c>
      <c r="D137">
        <v>53888</v>
      </c>
      <c r="E137" t="s">
        <v>254</v>
      </c>
      <c r="F137" t="s">
        <v>13</v>
      </c>
      <c r="G137" t="s">
        <v>20</v>
      </c>
      <c r="H137" t="s">
        <v>21</v>
      </c>
      <c r="I137" t="s">
        <v>16</v>
      </c>
    </row>
    <row r="138" spans="1:9" x14ac:dyDescent="0.4">
      <c r="A138" t="s">
        <v>255</v>
      </c>
      <c r="B138" t="s">
        <v>10</v>
      </c>
      <c r="C138" t="s">
        <v>19</v>
      </c>
      <c r="D138">
        <v>25000</v>
      </c>
      <c r="E138" t="s">
        <v>256</v>
      </c>
      <c r="F138" t="s">
        <v>13</v>
      </c>
      <c r="G138" t="s">
        <v>20</v>
      </c>
      <c r="H138" t="s">
        <v>21</v>
      </c>
      <c r="I138" t="s">
        <v>16</v>
      </c>
    </row>
    <row r="139" spans="1:9" x14ac:dyDescent="0.4">
      <c r="A139" t="s">
        <v>257</v>
      </c>
      <c r="B139" t="s">
        <v>258</v>
      </c>
      <c r="C139" t="s">
        <v>19</v>
      </c>
      <c r="D139">
        <v>18943</v>
      </c>
      <c r="E139" t="s">
        <v>256</v>
      </c>
      <c r="F139" t="s">
        <v>13</v>
      </c>
      <c r="G139" t="s">
        <v>20</v>
      </c>
      <c r="H139" t="s">
        <v>21</v>
      </c>
      <c r="I139" t="s">
        <v>16</v>
      </c>
    </row>
    <row r="140" spans="1:9" x14ac:dyDescent="0.4">
      <c r="A140" t="s">
        <v>259</v>
      </c>
      <c r="B140" t="s">
        <v>28</v>
      </c>
      <c r="C140" t="s">
        <v>11</v>
      </c>
      <c r="D140">
        <v>12801</v>
      </c>
      <c r="E140" t="s">
        <v>256</v>
      </c>
      <c r="F140" t="s">
        <v>13</v>
      </c>
      <c r="G140" t="s">
        <v>20</v>
      </c>
      <c r="H140" t="s">
        <v>15</v>
      </c>
      <c r="I140" t="s">
        <v>16</v>
      </c>
    </row>
    <row r="141" spans="1:9" x14ac:dyDescent="0.4">
      <c r="A141" t="s">
        <v>260</v>
      </c>
      <c r="B141" t="s">
        <v>64</v>
      </c>
      <c r="C141" t="s">
        <v>19</v>
      </c>
      <c r="D141">
        <v>8000</v>
      </c>
      <c r="E141" t="s">
        <v>261</v>
      </c>
      <c r="F141" t="s">
        <v>13</v>
      </c>
      <c r="G141" t="s">
        <v>20</v>
      </c>
      <c r="H141" t="s">
        <v>21</v>
      </c>
      <c r="I141" t="s">
        <v>16</v>
      </c>
    </row>
    <row r="142" spans="1:9" x14ac:dyDescent="0.4">
      <c r="A142" t="s">
        <v>262</v>
      </c>
      <c r="B142" t="s">
        <v>176</v>
      </c>
      <c r="C142" t="s">
        <v>34</v>
      </c>
      <c r="D142">
        <v>1761</v>
      </c>
      <c r="E142" t="s">
        <v>261</v>
      </c>
      <c r="F142" t="s">
        <v>68</v>
      </c>
      <c r="G142" t="s">
        <v>20</v>
      </c>
      <c r="H142" t="s">
        <v>21</v>
      </c>
      <c r="I142" t="s">
        <v>16</v>
      </c>
    </row>
    <row r="143" spans="1:9" x14ac:dyDescent="0.4">
      <c r="A143" t="s">
        <v>263</v>
      </c>
      <c r="B143" t="s">
        <v>104</v>
      </c>
      <c r="C143" t="s">
        <v>11</v>
      </c>
      <c r="D143">
        <v>7329</v>
      </c>
      <c r="E143" t="s">
        <v>261</v>
      </c>
      <c r="F143" t="s">
        <v>68</v>
      </c>
      <c r="G143" t="s">
        <v>20</v>
      </c>
      <c r="H143" t="s">
        <v>15</v>
      </c>
      <c r="I143" t="s">
        <v>16</v>
      </c>
    </row>
    <row r="144" spans="1:9" x14ac:dyDescent="0.4">
      <c r="A144" t="s">
        <v>264</v>
      </c>
      <c r="B144" t="s">
        <v>28</v>
      </c>
      <c r="C144" t="s">
        <v>19</v>
      </c>
      <c r="D144">
        <v>501</v>
      </c>
      <c r="E144" t="s">
        <v>265</v>
      </c>
      <c r="F144" t="s">
        <v>13</v>
      </c>
      <c r="G144" t="s">
        <v>20</v>
      </c>
      <c r="H144" t="s">
        <v>21</v>
      </c>
      <c r="I144" t="s">
        <v>16</v>
      </c>
    </row>
    <row r="145" spans="1:9" x14ac:dyDescent="0.4">
      <c r="A145" t="s">
        <v>266</v>
      </c>
      <c r="B145" t="s">
        <v>96</v>
      </c>
      <c r="C145" t="s">
        <v>19</v>
      </c>
      <c r="D145">
        <v>20976</v>
      </c>
      <c r="E145" t="s">
        <v>265</v>
      </c>
      <c r="F145" t="s">
        <v>13</v>
      </c>
      <c r="G145" t="s">
        <v>14</v>
      </c>
      <c r="H145" t="s">
        <v>21</v>
      </c>
      <c r="I145" t="s">
        <v>16</v>
      </c>
    </row>
    <row r="146" spans="1:9" x14ac:dyDescent="0.4">
      <c r="A146" t="s">
        <v>267</v>
      </c>
      <c r="B146" t="s">
        <v>77</v>
      </c>
      <c r="C146" t="s">
        <v>11</v>
      </c>
      <c r="D146">
        <v>5864</v>
      </c>
      <c r="E146" t="s">
        <v>268</v>
      </c>
      <c r="F146" t="s">
        <v>13</v>
      </c>
      <c r="G146" t="s">
        <v>20</v>
      </c>
      <c r="H146" t="s">
        <v>15</v>
      </c>
      <c r="I146" t="s">
        <v>16</v>
      </c>
    </row>
    <row r="147" spans="1:9" x14ac:dyDescent="0.4">
      <c r="A147" t="s">
        <v>269</v>
      </c>
      <c r="B147" t="s">
        <v>64</v>
      </c>
      <c r="C147" t="s">
        <v>11</v>
      </c>
      <c r="D147">
        <v>2275</v>
      </c>
      <c r="E147" t="s">
        <v>270</v>
      </c>
      <c r="F147" t="s">
        <v>13</v>
      </c>
      <c r="G147" t="s">
        <v>20</v>
      </c>
      <c r="H147" t="s">
        <v>15</v>
      </c>
      <c r="I147" t="s">
        <v>16</v>
      </c>
    </row>
    <row r="148" spans="1:9" x14ac:dyDescent="0.4">
      <c r="A148" t="s">
        <v>271</v>
      </c>
      <c r="B148" t="s">
        <v>136</v>
      </c>
      <c r="C148" t="s">
        <v>19</v>
      </c>
      <c r="D148">
        <v>5305</v>
      </c>
      <c r="E148" t="s">
        <v>272</v>
      </c>
      <c r="F148" t="s">
        <v>13</v>
      </c>
      <c r="G148" t="s">
        <v>14</v>
      </c>
      <c r="H148" t="s">
        <v>21</v>
      </c>
      <c r="I148" t="s">
        <v>16</v>
      </c>
    </row>
    <row r="149" spans="1:9" x14ac:dyDescent="0.4">
      <c r="A149" t="s">
        <v>273</v>
      </c>
      <c r="B149" t="s">
        <v>274</v>
      </c>
      <c r="C149" t="s">
        <v>19</v>
      </c>
      <c r="D149">
        <v>13652</v>
      </c>
      <c r="E149" t="s">
        <v>272</v>
      </c>
      <c r="F149" t="s">
        <v>13</v>
      </c>
      <c r="G149" t="s">
        <v>20</v>
      </c>
      <c r="H149" t="s">
        <v>21</v>
      </c>
      <c r="I149" t="s">
        <v>16</v>
      </c>
    </row>
    <row r="150" spans="1:9" x14ac:dyDescent="0.4">
      <c r="A150" t="s">
        <v>275</v>
      </c>
      <c r="B150" t="s">
        <v>64</v>
      </c>
      <c r="C150" t="s">
        <v>19</v>
      </c>
      <c r="D150">
        <v>6420</v>
      </c>
      <c r="E150" t="s">
        <v>276</v>
      </c>
      <c r="F150" t="s">
        <v>13</v>
      </c>
      <c r="G150" t="s">
        <v>20</v>
      </c>
      <c r="H150" t="s">
        <v>21</v>
      </c>
      <c r="I150" t="s">
        <v>16</v>
      </c>
    </row>
    <row r="151" spans="1:9" x14ac:dyDescent="0.4">
      <c r="A151" t="s">
        <v>277</v>
      </c>
      <c r="B151" t="s">
        <v>71</v>
      </c>
      <c r="C151" t="s">
        <v>19</v>
      </c>
      <c r="D151">
        <v>501</v>
      </c>
      <c r="E151" t="s">
        <v>276</v>
      </c>
      <c r="F151" t="s">
        <v>13</v>
      </c>
      <c r="G151" t="s">
        <v>20</v>
      </c>
      <c r="H151" t="s">
        <v>15</v>
      </c>
      <c r="I151" t="s">
        <v>16</v>
      </c>
    </row>
    <row r="152" spans="1:9" x14ac:dyDescent="0.4">
      <c r="A152" t="s">
        <v>278</v>
      </c>
      <c r="B152" t="s">
        <v>104</v>
      </c>
      <c r="C152" t="s">
        <v>19</v>
      </c>
      <c r="D152">
        <v>3183</v>
      </c>
      <c r="E152" t="s">
        <v>276</v>
      </c>
      <c r="F152" t="s">
        <v>13</v>
      </c>
      <c r="G152" t="s">
        <v>14</v>
      </c>
      <c r="H152" t="s">
        <v>21</v>
      </c>
      <c r="I152" t="s">
        <v>16</v>
      </c>
    </row>
    <row r="153" spans="1:9" x14ac:dyDescent="0.4">
      <c r="A153" t="s">
        <v>279</v>
      </c>
      <c r="B153" t="s">
        <v>104</v>
      </c>
      <c r="C153" t="s">
        <v>19</v>
      </c>
      <c r="D153">
        <v>8598</v>
      </c>
      <c r="E153" t="s">
        <v>276</v>
      </c>
      <c r="F153" t="s">
        <v>13</v>
      </c>
      <c r="G153" t="s">
        <v>20</v>
      </c>
      <c r="H153" t="s">
        <v>21</v>
      </c>
      <c r="I153" t="s">
        <v>16</v>
      </c>
    </row>
    <row r="154" spans="1:9" x14ac:dyDescent="0.4">
      <c r="A154" t="s">
        <v>280</v>
      </c>
      <c r="B154" t="s">
        <v>71</v>
      </c>
      <c r="C154" t="s">
        <v>19</v>
      </c>
      <c r="D154">
        <v>1510</v>
      </c>
      <c r="E154" t="s">
        <v>281</v>
      </c>
      <c r="F154" t="s">
        <v>13</v>
      </c>
      <c r="G154" t="s">
        <v>51</v>
      </c>
      <c r="H154" t="s">
        <v>21</v>
      </c>
      <c r="I154" t="s">
        <v>16</v>
      </c>
    </row>
    <row r="155" spans="1:9" x14ac:dyDescent="0.4">
      <c r="A155" t="s">
        <v>282</v>
      </c>
      <c r="B155" t="s">
        <v>57</v>
      </c>
      <c r="C155" t="s">
        <v>19</v>
      </c>
      <c r="D155">
        <v>4457</v>
      </c>
      <c r="E155" t="s">
        <v>283</v>
      </c>
      <c r="F155" t="s">
        <v>13</v>
      </c>
      <c r="G155" t="s">
        <v>20</v>
      </c>
      <c r="H155" t="s">
        <v>21</v>
      </c>
      <c r="I155" t="s">
        <v>16</v>
      </c>
    </row>
    <row r="156" spans="1:9" x14ac:dyDescent="0.4">
      <c r="A156" t="s">
        <v>284</v>
      </c>
      <c r="B156" t="s">
        <v>28</v>
      </c>
      <c r="C156" t="s">
        <v>11</v>
      </c>
      <c r="D156">
        <v>1109</v>
      </c>
      <c r="E156" t="s">
        <v>285</v>
      </c>
      <c r="F156" t="s">
        <v>13</v>
      </c>
      <c r="G156" t="s">
        <v>20</v>
      </c>
      <c r="H156" t="s">
        <v>15</v>
      </c>
      <c r="I156" t="s">
        <v>16</v>
      </c>
    </row>
    <row r="157" spans="1:9" x14ac:dyDescent="0.4">
      <c r="A157" t="s">
        <v>286</v>
      </c>
      <c r="B157" t="s">
        <v>75</v>
      </c>
      <c r="C157" t="s">
        <v>19</v>
      </c>
      <c r="D157">
        <v>501</v>
      </c>
      <c r="E157" t="s">
        <v>285</v>
      </c>
      <c r="F157" t="s">
        <v>13</v>
      </c>
      <c r="G157" t="s">
        <v>20</v>
      </c>
      <c r="H157" t="s">
        <v>21</v>
      </c>
      <c r="I157" t="s">
        <v>16</v>
      </c>
    </row>
    <row r="158" spans="1:9" x14ac:dyDescent="0.4">
      <c r="A158" t="s">
        <v>287</v>
      </c>
      <c r="B158" t="s">
        <v>64</v>
      </c>
      <c r="C158" t="s">
        <v>19</v>
      </c>
      <c r="D158">
        <v>11845</v>
      </c>
      <c r="E158" t="s">
        <v>288</v>
      </c>
      <c r="F158" t="s">
        <v>13</v>
      </c>
      <c r="G158" t="s">
        <v>51</v>
      </c>
      <c r="H158" t="s">
        <v>21</v>
      </c>
      <c r="I158" t="s">
        <v>16</v>
      </c>
    </row>
    <row r="159" spans="1:9" x14ac:dyDescent="0.4">
      <c r="A159" t="s">
        <v>289</v>
      </c>
      <c r="B159" t="s">
        <v>28</v>
      </c>
      <c r="C159" t="s">
        <v>19</v>
      </c>
      <c r="D159">
        <v>500</v>
      </c>
      <c r="E159" t="s">
        <v>288</v>
      </c>
      <c r="F159" t="s">
        <v>13</v>
      </c>
      <c r="G159" t="s">
        <v>20</v>
      </c>
      <c r="H159" t="s">
        <v>21</v>
      </c>
      <c r="I159" t="s">
        <v>16</v>
      </c>
    </row>
    <row r="160" spans="1:9" x14ac:dyDescent="0.4">
      <c r="A160" t="s">
        <v>290</v>
      </c>
      <c r="B160" t="s">
        <v>18</v>
      </c>
      <c r="C160" t="s">
        <v>19</v>
      </c>
      <c r="D160">
        <v>113330</v>
      </c>
      <c r="E160" t="s">
        <v>291</v>
      </c>
      <c r="F160" t="s">
        <v>13</v>
      </c>
      <c r="G160" t="s">
        <v>20</v>
      </c>
      <c r="H160" t="s">
        <v>21</v>
      </c>
      <c r="I160" t="s">
        <v>16</v>
      </c>
    </row>
    <row r="161" spans="1:9" x14ac:dyDescent="0.4">
      <c r="A161" t="s">
        <v>292</v>
      </c>
      <c r="B161" t="s">
        <v>10</v>
      </c>
      <c r="C161" t="s">
        <v>19</v>
      </c>
      <c r="D161">
        <v>500</v>
      </c>
      <c r="E161" t="s">
        <v>291</v>
      </c>
      <c r="F161" t="s">
        <v>13</v>
      </c>
      <c r="G161" t="s">
        <v>20</v>
      </c>
      <c r="H161" t="s">
        <v>21</v>
      </c>
      <c r="I161" t="s">
        <v>16</v>
      </c>
    </row>
    <row r="162" spans="1:9" x14ac:dyDescent="0.4">
      <c r="A162" t="s">
        <v>293</v>
      </c>
      <c r="B162" t="s">
        <v>75</v>
      </c>
      <c r="C162" t="s">
        <v>19</v>
      </c>
      <c r="D162">
        <v>2523</v>
      </c>
      <c r="E162" t="s">
        <v>291</v>
      </c>
      <c r="F162" t="s">
        <v>13</v>
      </c>
      <c r="G162" t="s">
        <v>14</v>
      </c>
      <c r="H162" t="s">
        <v>21</v>
      </c>
      <c r="I162" t="s">
        <v>16</v>
      </c>
    </row>
    <row r="163" spans="1:9" x14ac:dyDescent="0.4">
      <c r="A163" t="s">
        <v>294</v>
      </c>
      <c r="B163" t="s">
        <v>10</v>
      </c>
      <c r="C163" t="s">
        <v>34</v>
      </c>
      <c r="D163">
        <v>4055</v>
      </c>
      <c r="E163" t="s">
        <v>291</v>
      </c>
      <c r="F163" t="s">
        <v>13</v>
      </c>
      <c r="G163" t="s">
        <v>20</v>
      </c>
      <c r="H163" t="s">
        <v>21</v>
      </c>
      <c r="I163" t="s">
        <v>16</v>
      </c>
    </row>
    <row r="164" spans="1:9" x14ac:dyDescent="0.4">
      <c r="A164" t="s">
        <v>295</v>
      </c>
      <c r="B164" t="s">
        <v>60</v>
      </c>
      <c r="C164" t="s">
        <v>19</v>
      </c>
      <c r="D164">
        <v>551</v>
      </c>
      <c r="E164" t="s">
        <v>291</v>
      </c>
      <c r="F164" t="s">
        <v>68</v>
      </c>
      <c r="G164" t="s">
        <v>196</v>
      </c>
      <c r="H164" t="s">
        <v>21</v>
      </c>
      <c r="I164" t="s">
        <v>16</v>
      </c>
    </row>
    <row r="165" spans="1:9" x14ac:dyDescent="0.4">
      <c r="A165" t="s">
        <v>296</v>
      </c>
      <c r="B165" t="s">
        <v>18</v>
      </c>
      <c r="C165" t="s">
        <v>19</v>
      </c>
      <c r="D165">
        <v>695</v>
      </c>
      <c r="E165" t="s">
        <v>291</v>
      </c>
      <c r="F165" t="s">
        <v>13</v>
      </c>
      <c r="G165" t="s">
        <v>14</v>
      </c>
      <c r="H165" t="s">
        <v>21</v>
      </c>
      <c r="I165" t="s">
        <v>16</v>
      </c>
    </row>
    <row r="166" spans="1:9" x14ac:dyDescent="0.4">
      <c r="A166" t="s">
        <v>297</v>
      </c>
      <c r="B166" t="s">
        <v>96</v>
      </c>
      <c r="C166" t="s">
        <v>19</v>
      </c>
      <c r="D166">
        <v>32021</v>
      </c>
      <c r="E166" t="s">
        <v>298</v>
      </c>
      <c r="F166" t="s">
        <v>13</v>
      </c>
      <c r="G166" t="s">
        <v>20</v>
      </c>
      <c r="H166" t="s">
        <v>21</v>
      </c>
      <c r="I166" t="s">
        <v>16</v>
      </c>
    </row>
    <row r="167" spans="1:9" x14ac:dyDescent="0.4">
      <c r="A167" t="s">
        <v>299</v>
      </c>
      <c r="B167" t="s">
        <v>96</v>
      </c>
      <c r="C167" t="s">
        <v>19</v>
      </c>
      <c r="D167">
        <v>3464</v>
      </c>
      <c r="E167" t="s">
        <v>298</v>
      </c>
      <c r="F167" t="s">
        <v>13</v>
      </c>
      <c r="G167" t="s">
        <v>14</v>
      </c>
      <c r="H167" t="s">
        <v>21</v>
      </c>
      <c r="I167" t="s">
        <v>16</v>
      </c>
    </row>
    <row r="168" spans="1:9" x14ac:dyDescent="0.4">
      <c r="A168" t="s">
        <v>300</v>
      </c>
      <c r="B168" t="s">
        <v>91</v>
      </c>
      <c r="C168" t="s">
        <v>19</v>
      </c>
      <c r="D168">
        <v>5385</v>
      </c>
      <c r="E168" t="s">
        <v>301</v>
      </c>
      <c r="F168" t="s">
        <v>13</v>
      </c>
      <c r="G168" t="s">
        <v>20</v>
      </c>
      <c r="H168" t="s">
        <v>21</v>
      </c>
      <c r="I168" t="s">
        <v>16</v>
      </c>
    </row>
    <row r="169" spans="1:9" x14ac:dyDescent="0.4">
      <c r="A169" t="s">
        <v>302</v>
      </c>
      <c r="B169" t="s">
        <v>66</v>
      </c>
      <c r="C169" t="s">
        <v>19</v>
      </c>
      <c r="D169">
        <v>67115</v>
      </c>
      <c r="E169" t="s">
        <v>301</v>
      </c>
      <c r="F169" t="s">
        <v>13</v>
      </c>
      <c r="G169" t="s">
        <v>20</v>
      </c>
      <c r="H169" t="s">
        <v>21</v>
      </c>
      <c r="I169" t="s">
        <v>16</v>
      </c>
    </row>
    <row r="170" spans="1:9" x14ac:dyDescent="0.4">
      <c r="A170" t="s">
        <v>303</v>
      </c>
      <c r="B170" t="s">
        <v>45</v>
      </c>
      <c r="C170" t="s">
        <v>19</v>
      </c>
      <c r="D170">
        <v>500</v>
      </c>
      <c r="E170" t="s">
        <v>304</v>
      </c>
      <c r="F170" t="s">
        <v>13</v>
      </c>
      <c r="G170" t="s">
        <v>20</v>
      </c>
      <c r="H170" t="s">
        <v>21</v>
      </c>
      <c r="I170" t="s">
        <v>16</v>
      </c>
    </row>
    <row r="171" spans="1:9" x14ac:dyDescent="0.4">
      <c r="A171" t="s">
        <v>305</v>
      </c>
      <c r="B171" t="s">
        <v>182</v>
      </c>
      <c r="C171" t="s">
        <v>19</v>
      </c>
      <c r="D171">
        <v>2027</v>
      </c>
      <c r="E171" t="s">
        <v>306</v>
      </c>
      <c r="F171" t="s">
        <v>13</v>
      </c>
      <c r="G171" t="s">
        <v>14</v>
      </c>
      <c r="H171" t="s">
        <v>21</v>
      </c>
      <c r="I171" t="s">
        <v>16</v>
      </c>
    </row>
    <row r="172" spans="1:9" x14ac:dyDescent="0.4">
      <c r="A172" t="s">
        <v>307</v>
      </c>
      <c r="B172" t="s">
        <v>60</v>
      </c>
      <c r="C172" t="s">
        <v>19</v>
      </c>
      <c r="D172">
        <v>62972</v>
      </c>
      <c r="E172" t="s">
        <v>308</v>
      </c>
      <c r="F172" t="s">
        <v>13</v>
      </c>
      <c r="G172" t="s">
        <v>20</v>
      </c>
      <c r="H172" t="s">
        <v>21</v>
      </c>
      <c r="I172" t="s">
        <v>16</v>
      </c>
    </row>
    <row r="173" spans="1:9" x14ac:dyDescent="0.4">
      <c r="A173" t="s">
        <v>309</v>
      </c>
      <c r="B173" t="s">
        <v>77</v>
      </c>
      <c r="C173" t="s">
        <v>19</v>
      </c>
      <c r="D173">
        <v>276498</v>
      </c>
      <c r="E173" t="s">
        <v>308</v>
      </c>
      <c r="F173" t="s">
        <v>13</v>
      </c>
      <c r="G173" t="s">
        <v>20</v>
      </c>
      <c r="H173" t="s">
        <v>21</v>
      </c>
      <c r="I173" t="s">
        <v>16</v>
      </c>
    </row>
    <row r="174" spans="1:9" x14ac:dyDescent="0.4">
      <c r="A174" t="s">
        <v>310</v>
      </c>
      <c r="B174" t="s">
        <v>77</v>
      </c>
      <c r="C174" t="s">
        <v>11</v>
      </c>
      <c r="D174">
        <v>54131</v>
      </c>
      <c r="E174" t="s">
        <v>308</v>
      </c>
      <c r="F174" t="s">
        <v>13</v>
      </c>
      <c r="G174" t="s">
        <v>20</v>
      </c>
      <c r="H174" t="s">
        <v>15</v>
      </c>
      <c r="I174" t="s">
        <v>16</v>
      </c>
    </row>
    <row r="175" spans="1:9" x14ac:dyDescent="0.4">
      <c r="A175" t="s">
        <v>311</v>
      </c>
      <c r="B175" t="s">
        <v>136</v>
      </c>
      <c r="C175" t="s">
        <v>19</v>
      </c>
      <c r="D175">
        <v>5900</v>
      </c>
      <c r="E175" t="s">
        <v>308</v>
      </c>
      <c r="F175" t="s">
        <v>13</v>
      </c>
      <c r="G175" t="s">
        <v>14</v>
      </c>
      <c r="H175" t="s">
        <v>21</v>
      </c>
      <c r="I175" t="s">
        <v>16</v>
      </c>
    </row>
    <row r="176" spans="1:9" x14ac:dyDescent="0.4">
      <c r="A176" t="s">
        <v>312</v>
      </c>
      <c r="B176" t="s">
        <v>176</v>
      </c>
      <c r="C176" t="s">
        <v>19</v>
      </c>
      <c r="D176">
        <v>3677</v>
      </c>
      <c r="E176" t="s">
        <v>313</v>
      </c>
      <c r="F176" t="s">
        <v>13</v>
      </c>
      <c r="G176" t="s">
        <v>39</v>
      </c>
      <c r="H176" t="s">
        <v>21</v>
      </c>
      <c r="I176" t="s">
        <v>16</v>
      </c>
    </row>
    <row r="177" spans="1:9" x14ac:dyDescent="0.4">
      <c r="A177" t="s">
        <v>314</v>
      </c>
      <c r="B177" t="s">
        <v>141</v>
      </c>
      <c r="C177" t="s">
        <v>19</v>
      </c>
      <c r="D177">
        <v>528</v>
      </c>
      <c r="E177" t="s">
        <v>313</v>
      </c>
      <c r="F177" t="s">
        <v>13</v>
      </c>
      <c r="G177" t="s">
        <v>20</v>
      </c>
      <c r="H177" t="s">
        <v>21</v>
      </c>
      <c r="I177" t="s">
        <v>16</v>
      </c>
    </row>
    <row r="178" spans="1:9" x14ac:dyDescent="0.4">
      <c r="A178" t="s">
        <v>315</v>
      </c>
      <c r="B178" t="s">
        <v>138</v>
      </c>
      <c r="C178" t="s">
        <v>19</v>
      </c>
      <c r="D178">
        <v>145221</v>
      </c>
      <c r="E178" t="s">
        <v>316</v>
      </c>
      <c r="F178" t="s">
        <v>13</v>
      </c>
      <c r="G178" t="s">
        <v>20</v>
      </c>
      <c r="H178" t="s">
        <v>21</v>
      </c>
      <c r="I178" t="s">
        <v>16</v>
      </c>
    </row>
    <row r="179" spans="1:9" x14ac:dyDescent="0.4">
      <c r="A179" t="s">
        <v>317</v>
      </c>
      <c r="B179" t="s">
        <v>71</v>
      </c>
      <c r="C179" t="s">
        <v>11</v>
      </c>
      <c r="D179">
        <v>2287</v>
      </c>
      <c r="E179" t="s">
        <v>316</v>
      </c>
      <c r="F179" t="s">
        <v>13</v>
      </c>
      <c r="G179" t="s">
        <v>20</v>
      </c>
      <c r="H179" t="s">
        <v>15</v>
      </c>
      <c r="I179" t="s">
        <v>16</v>
      </c>
    </row>
    <row r="180" spans="1:9" x14ac:dyDescent="0.4">
      <c r="A180" t="s">
        <v>318</v>
      </c>
      <c r="B180" t="s">
        <v>96</v>
      </c>
      <c r="C180" t="s">
        <v>19</v>
      </c>
      <c r="D180">
        <v>2157</v>
      </c>
      <c r="E180" t="s">
        <v>319</v>
      </c>
      <c r="F180" t="s">
        <v>13</v>
      </c>
      <c r="G180" t="s">
        <v>14</v>
      </c>
      <c r="H180" t="s">
        <v>21</v>
      </c>
      <c r="I180" t="s">
        <v>16</v>
      </c>
    </row>
    <row r="181" spans="1:9" x14ac:dyDescent="0.4">
      <c r="A181" t="s">
        <v>320</v>
      </c>
      <c r="B181" t="s">
        <v>45</v>
      </c>
      <c r="C181" t="s">
        <v>19</v>
      </c>
      <c r="D181">
        <v>1000</v>
      </c>
      <c r="E181" t="s">
        <v>319</v>
      </c>
      <c r="F181" t="s">
        <v>13</v>
      </c>
      <c r="G181" t="s">
        <v>20</v>
      </c>
      <c r="H181" t="s">
        <v>21</v>
      </c>
      <c r="I181" t="s">
        <v>16</v>
      </c>
    </row>
    <row r="182" spans="1:9" x14ac:dyDescent="0.4">
      <c r="A182" t="s">
        <v>321</v>
      </c>
      <c r="B182" t="s">
        <v>55</v>
      </c>
      <c r="C182" t="s">
        <v>19</v>
      </c>
      <c r="D182">
        <v>7213</v>
      </c>
      <c r="E182" t="s">
        <v>322</v>
      </c>
      <c r="F182" t="s">
        <v>13</v>
      </c>
      <c r="G182" t="s">
        <v>14</v>
      </c>
      <c r="H182" t="s">
        <v>21</v>
      </c>
      <c r="I182" t="s">
        <v>16</v>
      </c>
    </row>
    <row r="183" spans="1:9" x14ac:dyDescent="0.4">
      <c r="A183" t="s">
        <v>323</v>
      </c>
      <c r="B183" t="s">
        <v>96</v>
      </c>
      <c r="C183" t="s">
        <v>19</v>
      </c>
      <c r="D183">
        <v>10216</v>
      </c>
      <c r="E183" t="s">
        <v>322</v>
      </c>
      <c r="F183" t="s">
        <v>13</v>
      </c>
      <c r="G183" t="s">
        <v>20</v>
      </c>
      <c r="H183" t="s">
        <v>21</v>
      </c>
      <c r="I183" t="s">
        <v>16</v>
      </c>
    </row>
    <row r="184" spans="1:9" x14ac:dyDescent="0.4">
      <c r="A184" t="s">
        <v>324</v>
      </c>
      <c r="B184" t="s">
        <v>325</v>
      </c>
      <c r="C184" t="s">
        <v>19</v>
      </c>
      <c r="D184">
        <v>26937</v>
      </c>
      <c r="E184" t="s">
        <v>322</v>
      </c>
      <c r="F184" t="s">
        <v>13</v>
      </c>
      <c r="G184" t="s">
        <v>20</v>
      </c>
      <c r="H184" t="s">
        <v>21</v>
      </c>
      <c r="I184" t="s">
        <v>16</v>
      </c>
    </row>
    <row r="185" spans="1:9" x14ac:dyDescent="0.4">
      <c r="A185" t="s">
        <v>326</v>
      </c>
      <c r="B185" t="s">
        <v>116</v>
      </c>
      <c r="C185" t="s">
        <v>19</v>
      </c>
      <c r="D185">
        <v>143842</v>
      </c>
      <c r="E185" t="s">
        <v>322</v>
      </c>
      <c r="F185" t="s">
        <v>13</v>
      </c>
      <c r="G185" t="s">
        <v>20</v>
      </c>
      <c r="H185" t="s">
        <v>21</v>
      </c>
      <c r="I185" t="s">
        <v>16</v>
      </c>
    </row>
    <row r="186" spans="1:9" x14ac:dyDescent="0.4">
      <c r="A186" t="s">
        <v>327</v>
      </c>
      <c r="B186" t="s">
        <v>28</v>
      </c>
      <c r="C186" t="s">
        <v>19</v>
      </c>
      <c r="D186">
        <v>807</v>
      </c>
      <c r="E186" t="s">
        <v>322</v>
      </c>
      <c r="F186" t="s">
        <v>68</v>
      </c>
      <c r="G186" t="s">
        <v>20</v>
      </c>
      <c r="H186" t="s">
        <v>21</v>
      </c>
      <c r="I186" t="s">
        <v>16</v>
      </c>
    </row>
    <row r="187" spans="1:9" x14ac:dyDescent="0.4">
      <c r="A187" t="s">
        <v>328</v>
      </c>
      <c r="B187" t="s">
        <v>104</v>
      </c>
      <c r="C187" t="s">
        <v>11</v>
      </c>
      <c r="D187">
        <v>2123</v>
      </c>
      <c r="E187" t="s">
        <v>329</v>
      </c>
      <c r="F187" t="s">
        <v>13</v>
      </c>
      <c r="G187" t="s">
        <v>20</v>
      </c>
      <c r="H187" t="s">
        <v>15</v>
      </c>
      <c r="I187" t="s">
        <v>16</v>
      </c>
    </row>
    <row r="188" spans="1:9" x14ac:dyDescent="0.4">
      <c r="A188" t="s">
        <v>330</v>
      </c>
      <c r="B188" t="s">
        <v>141</v>
      </c>
      <c r="C188" t="s">
        <v>34</v>
      </c>
      <c r="D188">
        <v>1300</v>
      </c>
      <c r="E188" t="s">
        <v>331</v>
      </c>
      <c r="F188" t="s">
        <v>68</v>
      </c>
      <c r="G188" t="s">
        <v>14</v>
      </c>
      <c r="H188" t="s">
        <v>15</v>
      </c>
      <c r="I188" t="s">
        <v>16</v>
      </c>
    </row>
    <row r="189" spans="1:9" x14ac:dyDescent="0.4">
      <c r="A189" t="s">
        <v>332</v>
      </c>
      <c r="B189" t="s">
        <v>333</v>
      </c>
      <c r="C189" t="s">
        <v>19</v>
      </c>
      <c r="D189">
        <v>5892</v>
      </c>
      <c r="E189" t="s">
        <v>334</v>
      </c>
      <c r="F189" t="s">
        <v>13</v>
      </c>
      <c r="G189" t="s">
        <v>14</v>
      </c>
      <c r="H189" t="s">
        <v>21</v>
      </c>
      <c r="I189" t="s">
        <v>16</v>
      </c>
    </row>
    <row r="190" spans="1:9" x14ac:dyDescent="0.4">
      <c r="A190" t="s">
        <v>335</v>
      </c>
      <c r="B190" t="s">
        <v>91</v>
      </c>
      <c r="C190" t="s">
        <v>19</v>
      </c>
      <c r="D190">
        <v>500</v>
      </c>
      <c r="E190" t="s">
        <v>334</v>
      </c>
      <c r="F190" t="s">
        <v>13</v>
      </c>
      <c r="G190" t="s">
        <v>14</v>
      </c>
      <c r="H190" t="s">
        <v>21</v>
      </c>
      <c r="I190" t="s">
        <v>16</v>
      </c>
    </row>
    <row r="191" spans="1:9" x14ac:dyDescent="0.4">
      <c r="A191" t="s">
        <v>336</v>
      </c>
      <c r="B191" t="s">
        <v>82</v>
      </c>
      <c r="C191" t="s">
        <v>19</v>
      </c>
      <c r="D191">
        <v>6245</v>
      </c>
      <c r="E191" t="s">
        <v>334</v>
      </c>
      <c r="F191" t="s">
        <v>13</v>
      </c>
      <c r="G191" t="s">
        <v>20</v>
      </c>
      <c r="H191" t="s">
        <v>21</v>
      </c>
      <c r="I191" t="s">
        <v>16</v>
      </c>
    </row>
    <row r="192" spans="1:9" x14ac:dyDescent="0.4">
      <c r="A192" t="s">
        <v>337</v>
      </c>
      <c r="B192" t="s">
        <v>71</v>
      </c>
      <c r="C192" t="s">
        <v>19</v>
      </c>
      <c r="D192">
        <v>7243</v>
      </c>
      <c r="E192" t="s">
        <v>338</v>
      </c>
      <c r="F192" t="s">
        <v>68</v>
      </c>
      <c r="G192" t="s">
        <v>14</v>
      </c>
      <c r="H192" t="s">
        <v>21</v>
      </c>
      <c r="I192" t="s">
        <v>16</v>
      </c>
    </row>
    <row r="193" spans="1:9" x14ac:dyDescent="0.4">
      <c r="A193" t="s">
        <v>339</v>
      </c>
      <c r="B193" t="s">
        <v>43</v>
      </c>
      <c r="C193" t="s">
        <v>19</v>
      </c>
      <c r="D193">
        <v>46666</v>
      </c>
      <c r="E193" t="s">
        <v>340</v>
      </c>
      <c r="F193" t="s">
        <v>13</v>
      </c>
      <c r="G193" t="s">
        <v>20</v>
      </c>
      <c r="H193" t="s">
        <v>21</v>
      </c>
      <c r="I193" t="s">
        <v>16</v>
      </c>
    </row>
    <row r="194" spans="1:9" x14ac:dyDescent="0.4">
      <c r="A194" t="s">
        <v>341</v>
      </c>
      <c r="B194" t="s">
        <v>16</v>
      </c>
      <c r="C194" t="s">
        <v>19</v>
      </c>
      <c r="D194">
        <v>92000</v>
      </c>
      <c r="E194" t="s">
        <v>340</v>
      </c>
      <c r="F194" t="s">
        <v>13</v>
      </c>
      <c r="G194" t="s">
        <v>20</v>
      </c>
      <c r="H194" t="s">
        <v>21</v>
      </c>
      <c r="I194" t="s">
        <v>16</v>
      </c>
    </row>
    <row r="195" spans="1:9" x14ac:dyDescent="0.4">
      <c r="A195" t="s">
        <v>342</v>
      </c>
      <c r="B195" t="s">
        <v>138</v>
      </c>
      <c r="C195" t="s">
        <v>19</v>
      </c>
      <c r="D195">
        <v>755</v>
      </c>
      <c r="E195" t="s">
        <v>340</v>
      </c>
      <c r="F195" t="s">
        <v>13</v>
      </c>
      <c r="G195" t="s">
        <v>20</v>
      </c>
      <c r="H195" t="s">
        <v>21</v>
      </c>
      <c r="I195" t="s">
        <v>16</v>
      </c>
    </row>
    <row r="196" spans="1:9" x14ac:dyDescent="0.4">
      <c r="A196" t="s">
        <v>343</v>
      </c>
      <c r="B196" t="s">
        <v>86</v>
      </c>
      <c r="C196" t="s">
        <v>19</v>
      </c>
      <c r="D196">
        <v>1891</v>
      </c>
      <c r="E196" t="s">
        <v>340</v>
      </c>
      <c r="F196" t="s">
        <v>13</v>
      </c>
      <c r="G196" t="s">
        <v>14</v>
      </c>
      <c r="H196" t="s">
        <v>21</v>
      </c>
      <c r="I196" t="s">
        <v>16</v>
      </c>
    </row>
    <row r="197" spans="1:9" x14ac:dyDescent="0.4">
      <c r="A197" t="s">
        <v>344</v>
      </c>
      <c r="B197" t="s">
        <v>345</v>
      </c>
      <c r="C197" t="s">
        <v>19</v>
      </c>
      <c r="D197">
        <v>13310</v>
      </c>
      <c r="E197" t="s">
        <v>340</v>
      </c>
      <c r="F197" t="s">
        <v>13</v>
      </c>
      <c r="G197" t="s">
        <v>20</v>
      </c>
      <c r="H197" t="s">
        <v>21</v>
      </c>
      <c r="I197" t="s">
        <v>16</v>
      </c>
    </row>
    <row r="198" spans="1:9" x14ac:dyDescent="0.4">
      <c r="A198" t="s">
        <v>346</v>
      </c>
      <c r="B198" t="s">
        <v>345</v>
      </c>
      <c r="C198" t="s">
        <v>19</v>
      </c>
      <c r="D198">
        <v>50640</v>
      </c>
      <c r="E198" t="s">
        <v>347</v>
      </c>
      <c r="F198" t="s">
        <v>13</v>
      </c>
      <c r="G198" t="s">
        <v>20</v>
      </c>
      <c r="H198" t="s">
        <v>21</v>
      </c>
      <c r="I198" t="s">
        <v>16</v>
      </c>
    </row>
    <row r="199" spans="1:9" x14ac:dyDescent="0.4">
      <c r="A199" t="s">
        <v>348</v>
      </c>
      <c r="B199" t="s">
        <v>77</v>
      </c>
      <c r="C199" t="s">
        <v>19</v>
      </c>
      <c r="D199">
        <v>687</v>
      </c>
      <c r="E199" t="s">
        <v>347</v>
      </c>
      <c r="F199" t="s">
        <v>13</v>
      </c>
      <c r="G199" t="s">
        <v>14</v>
      </c>
      <c r="H199" t="s">
        <v>21</v>
      </c>
      <c r="I199" t="s">
        <v>16</v>
      </c>
    </row>
    <row r="200" spans="1:9" x14ac:dyDescent="0.4">
      <c r="A200" t="s">
        <v>349</v>
      </c>
      <c r="B200" t="s">
        <v>86</v>
      </c>
      <c r="C200" t="s">
        <v>19</v>
      </c>
      <c r="D200">
        <v>160312</v>
      </c>
      <c r="E200" t="s">
        <v>350</v>
      </c>
      <c r="F200" t="s">
        <v>13</v>
      </c>
      <c r="G200" t="s">
        <v>20</v>
      </c>
      <c r="H200" t="s">
        <v>21</v>
      </c>
      <c r="I200" t="s">
        <v>16</v>
      </c>
    </row>
    <row r="201" spans="1:9" x14ac:dyDescent="0.4">
      <c r="A201" t="s">
        <v>351</v>
      </c>
      <c r="B201" t="s">
        <v>66</v>
      </c>
      <c r="C201" t="s">
        <v>19</v>
      </c>
      <c r="D201">
        <v>3171</v>
      </c>
      <c r="E201" t="s">
        <v>352</v>
      </c>
      <c r="F201" t="s">
        <v>13</v>
      </c>
      <c r="G201" t="s">
        <v>14</v>
      </c>
      <c r="H201" t="s">
        <v>21</v>
      </c>
      <c r="I201" t="s">
        <v>16</v>
      </c>
    </row>
    <row r="202" spans="1:9" x14ac:dyDescent="0.4">
      <c r="A202" t="s">
        <v>353</v>
      </c>
      <c r="B202" t="s">
        <v>60</v>
      </c>
      <c r="C202" t="s">
        <v>19</v>
      </c>
      <c r="D202">
        <v>9000</v>
      </c>
      <c r="E202" t="s">
        <v>354</v>
      </c>
      <c r="F202" t="s">
        <v>13</v>
      </c>
      <c r="G202" t="s">
        <v>20</v>
      </c>
      <c r="H202" t="s">
        <v>21</v>
      </c>
      <c r="I202" t="s">
        <v>16</v>
      </c>
    </row>
    <row r="203" spans="1:9" x14ac:dyDescent="0.4">
      <c r="A203" t="s">
        <v>355</v>
      </c>
      <c r="B203" t="s">
        <v>356</v>
      </c>
      <c r="C203" t="s">
        <v>19</v>
      </c>
      <c r="D203">
        <v>5630</v>
      </c>
      <c r="E203" t="s">
        <v>354</v>
      </c>
      <c r="F203" t="s">
        <v>13</v>
      </c>
      <c r="G203" t="s">
        <v>20</v>
      </c>
      <c r="H203" t="s">
        <v>21</v>
      </c>
      <c r="I203" t="s">
        <v>16</v>
      </c>
    </row>
    <row r="204" spans="1:9" x14ac:dyDescent="0.4">
      <c r="A204" t="s">
        <v>357</v>
      </c>
      <c r="B204" t="s">
        <v>10</v>
      </c>
      <c r="C204" t="s">
        <v>19</v>
      </c>
      <c r="D204">
        <v>4266</v>
      </c>
      <c r="E204" t="s">
        <v>354</v>
      </c>
      <c r="F204" t="s">
        <v>13</v>
      </c>
      <c r="G204" t="s">
        <v>20</v>
      </c>
      <c r="H204" t="s">
        <v>21</v>
      </c>
      <c r="I204" t="s">
        <v>16</v>
      </c>
    </row>
    <row r="205" spans="1:9" x14ac:dyDescent="0.4">
      <c r="A205" t="s">
        <v>358</v>
      </c>
      <c r="B205" t="s">
        <v>71</v>
      </c>
      <c r="C205" t="s">
        <v>19</v>
      </c>
      <c r="D205">
        <v>1143</v>
      </c>
      <c r="E205" t="s">
        <v>354</v>
      </c>
      <c r="F205" t="s">
        <v>13</v>
      </c>
      <c r="G205" t="s">
        <v>359</v>
      </c>
      <c r="H205" t="s">
        <v>21</v>
      </c>
      <c r="I205" t="s">
        <v>16</v>
      </c>
    </row>
    <row r="206" spans="1:9" x14ac:dyDescent="0.4">
      <c r="A206" t="s">
        <v>360</v>
      </c>
      <c r="B206" t="s">
        <v>10</v>
      </c>
      <c r="C206" t="s">
        <v>19</v>
      </c>
      <c r="D206">
        <v>2507073</v>
      </c>
      <c r="E206" t="s">
        <v>354</v>
      </c>
      <c r="F206" t="s">
        <v>13</v>
      </c>
      <c r="G206" t="s">
        <v>20</v>
      </c>
      <c r="H206" t="s">
        <v>21</v>
      </c>
      <c r="I206" t="s">
        <v>16</v>
      </c>
    </row>
    <row r="207" spans="1:9" x14ac:dyDescent="0.4">
      <c r="A207" t="s">
        <v>361</v>
      </c>
      <c r="B207" t="s">
        <v>47</v>
      </c>
      <c r="C207" t="s">
        <v>34</v>
      </c>
      <c r="D207">
        <v>970</v>
      </c>
      <c r="E207" t="s">
        <v>354</v>
      </c>
      <c r="F207" t="s">
        <v>13</v>
      </c>
      <c r="G207" t="s">
        <v>20</v>
      </c>
      <c r="H207" t="s">
        <v>21</v>
      </c>
      <c r="I207" t="s">
        <v>16</v>
      </c>
    </row>
    <row r="208" spans="1:9" x14ac:dyDescent="0.4">
      <c r="A208" t="s">
        <v>362</v>
      </c>
      <c r="B208" t="s">
        <v>37</v>
      </c>
      <c r="C208" t="s">
        <v>11</v>
      </c>
      <c r="D208">
        <v>500</v>
      </c>
      <c r="E208" t="s">
        <v>363</v>
      </c>
      <c r="F208" t="s">
        <v>13</v>
      </c>
      <c r="G208" t="s">
        <v>364</v>
      </c>
      <c r="H208" t="s">
        <v>15</v>
      </c>
      <c r="I208" t="s">
        <v>16</v>
      </c>
    </row>
    <row r="209" spans="1:9" x14ac:dyDescent="0.4">
      <c r="A209" t="s">
        <v>365</v>
      </c>
      <c r="B209" t="s">
        <v>366</v>
      </c>
      <c r="C209" t="s">
        <v>19</v>
      </c>
      <c r="D209">
        <v>1221</v>
      </c>
      <c r="E209" t="s">
        <v>367</v>
      </c>
      <c r="F209" t="s">
        <v>68</v>
      </c>
      <c r="G209" t="s">
        <v>368</v>
      </c>
      <c r="H209" t="s">
        <v>21</v>
      </c>
      <c r="I209" t="s">
        <v>16</v>
      </c>
    </row>
    <row r="210" spans="1:9" x14ac:dyDescent="0.4">
      <c r="A210" t="s">
        <v>369</v>
      </c>
      <c r="B210" t="s">
        <v>75</v>
      </c>
      <c r="C210" t="s">
        <v>19</v>
      </c>
      <c r="D210">
        <v>33107</v>
      </c>
      <c r="E210" t="s">
        <v>367</v>
      </c>
      <c r="F210" t="s">
        <v>13</v>
      </c>
      <c r="G210" t="s">
        <v>20</v>
      </c>
      <c r="H210" t="s">
        <v>21</v>
      </c>
      <c r="I210" t="s">
        <v>16</v>
      </c>
    </row>
    <row r="211" spans="1:9" x14ac:dyDescent="0.4">
      <c r="A211" t="s">
        <v>370</v>
      </c>
      <c r="B211" t="s">
        <v>71</v>
      </c>
      <c r="C211" t="s">
        <v>19</v>
      </c>
      <c r="D211">
        <v>501</v>
      </c>
      <c r="E211" t="s">
        <v>371</v>
      </c>
      <c r="F211" t="s">
        <v>13</v>
      </c>
      <c r="G211" t="s">
        <v>20</v>
      </c>
      <c r="H211" t="s">
        <v>21</v>
      </c>
      <c r="I211" t="s">
        <v>16</v>
      </c>
    </row>
    <row r="212" spans="1:9" x14ac:dyDescent="0.4">
      <c r="A212" t="s">
        <v>372</v>
      </c>
      <c r="B212" t="s">
        <v>86</v>
      </c>
      <c r="C212" t="s">
        <v>19</v>
      </c>
      <c r="D212">
        <v>570000</v>
      </c>
      <c r="E212" t="s">
        <v>371</v>
      </c>
      <c r="F212" t="s">
        <v>13</v>
      </c>
      <c r="G212" t="s">
        <v>20</v>
      </c>
      <c r="H212" t="s">
        <v>21</v>
      </c>
      <c r="I212" t="s">
        <v>16</v>
      </c>
    </row>
    <row r="213" spans="1:9" x14ac:dyDescent="0.4">
      <c r="A213" t="s">
        <v>373</v>
      </c>
      <c r="B213" t="s">
        <v>47</v>
      </c>
      <c r="C213" t="s">
        <v>19</v>
      </c>
      <c r="D213">
        <v>1372</v>
      </c>
      <c r="E213" t="s">
        <v>371</v>
      </c>
      <c r="F213" t="s">
        <v>13</v>
      </c>
      <c r="G213" t="s">
        <v>20</v>
      </c>
      <c r="H213" t="s">
        <v>21</v>
      </c>
      <c r="I213" t="s">
        <v>16</v>
      </c>
    </row>
    <row r="214" spans="1:9" x14ac:dyDescent="0.4">
      <c r="A214" t="s">
        <v>374</v>
      </c>
      <c r="B214" t="s">
        <v>345</v>
      </c>
      <c r="C214" t="s">
        <v>11</v>
      </c>
      <c r="D214">
        <v>500</v>
      </c>
      <c r="E214" t="s">
        <v>371</v>
      </c>
      <c r="F214" t="s">
        <v>13</v>
      </c>
      <c r="G214" t="s">
        <v>20</v>
      </c>
      <c r="H214" t="s">
        <v>15</v>
      </c>
      <c r="I214" t="s">
        <v>16</v>
      </c>
    </row>
    <row r="215" spans="1:9" x14ac:dyDescent="0.4">
      <c r="A215" t="s">
        <v>375</v>
      </c>
      <c r="B215" t="s">
        <v>77</v>
      </c>
      <c r="C215" t="s">
        <v>19</v>
      </c>
      <c r="D215">
        <v>45196</v>
      </c>
      <c r="E215" t="s">
        <v>371</v>
      </c>
      <c r="F215" t="s">
        <v>13</v>
      </c>
      <c r="G215" t="s">
        <v>20</v>
      </c>
      <c r="H215" t="s">
        <v>21</v>
      </c>
      <c r="I215" t="s">
        <v>16</v>
      </c>
    </row>
    <row r="216" spans="1:9" x14ac:dyDescent="0.4">
      <c r="A216" t="s">
        <v>376</v>
      </c>
      <c r="B216" t="s">
        <v>16</v>
      </c>
      <c r="C216" t="s">
        <v>19</v>
      </c>
      <c r="D216">
        <v>24236</v>
      </c>
      <c r="E216" t="s">
        <v>377</v>
      </c>
      <c r="F216" t="s">
        <v>13</v>
      </c>
      <c r="G216" t="s">
        <v>20</v>
      </c>
      <c r="H216" t="s">
        <v>21</v>
      </c>
      <c r="I216" t="s">
        <v>16</v>
      </c>
    </row>
    <row r="217" spans="1:9" x14ac:dyDescent="0.4">
      <c r="A217" t="s">
        <v>378</v>
      </c>
      <c r="B217" t="s">
        <v>55</v>
      </c>
      <c r="C217" t="s">
        <v>19</v>
      </c>
      <c r="D217">
        <v>1524</v>
      </c>
      <c r="E217" t="s">
        <v>379</v>
      </c>
      <c r="F217" t="s">
        <v>13</v>
      </c>
      <c r="G217" t="s">
        <v>14</v>
      </c>
      <c r="H217" t="s">
        <v>21</v>
      </c>
      <c r="I217" t="s">
        <v>16</v>
      </c>
    </row>
    <row r="218" spans="1:9" x14ac:dyDescent="0.4">
      <c r="A218" t="s">
        <v>380</v>
      </c>
      <c r="B218" t="s">
        <v>41</v>
      </c>
      <c r="C218" t="s">
        <v>19</v>
      </c>
      <c r="D218">
        <v>24341</v>
      </c>
      <c r="E218" t="s">
        <v>379</v>
      </c>
      <c r="F218" t="s">
        <v>13</v>
      </c>
      <c r="G218" t="s">
        <v>20</v>
      </c>
      <c r="H218" t="s">
        <v>21</v>
      </c>
      <c r="I218" t="s">
        <v>16</v>
      </c>
    </row>
    <row r="219" spans="1:9" x14ac:dyDescent="0.4">
      <c r="A219" t="s">
        <v>381</v>
      </c>
      <c r="B219" t="s">
        <v>104</v>
      </c>
      <c r="C219" t="s">
        <v>19</v>
      </c>
      <c r="D219">
        <v>1800000</v>
      </c>
      <c r="E219" t="s">
        <v>382</v>
      </c>
      <c r="F219" t="s">
        <v>13</v>
      </c>
      <c r="G219" t="s">
        <v>20</v>
      </c>
      <c r="H219" t="s">
        <v>21</v>
      </c>
      <c r="I219" t="s">
        <v>16</v>
      </c>
    </row>
    <row r="220" spans="1:9" x14ac:dyDescent="0.4">
      <c r="A220" t="s">
        <v>383</v>
      </c>
      <c r="B220" t="s">
        <v>47</v>
      </c>
      <c r="C220" t="s">
        <v>19</v>
      </c>
      <c r="D220">
        <v>110304</v>
      </c>
      <c r="E220" t="s">
        <v>382</v>
      </c>
      <c r="F220" t="s">
        <v>13</v>
      </c>
      <c r="G220" t="s">
        <v>20</v>
      </c>
      <c r="H220" t="s">
        <v>21</v>
      </c>
      <c r="I220" t="s">
        <v>16</v>
      </c>
    </row>
    <row r="221" spans="1:9" x14ac:dyDescent="0.4">
      <c r="A221" t="s">
        <v>384</v>
      </c>
      <c r="B221" t="s">
        <v>160</v>
      </c>
      <c r="C221" t="s">
        <v>11</v>
      </c>
      <c r="D221">
        <v>501</v>
      </c>
      <c r="E221" t="s">
        <v>385</v>
      </c>
      <c r="F221" t="s">
        <v>13</v>
      </c>
      <c r="G221" t="s">
        <v>20</v>
      </c>
      <c r="H221" t="s">
        <v>15</v>
      </c>
      <c r="I221" t="s">
        <v>16</v>
      </c>
    </row>
    <row r="222" spans="1:9" x14ac:dyDescent="0.4">
      <c r="A222" t="s">
        <v>386</v>
      </c>
      <c r="B222" t="s">
        <v>104</v>
      </c>
      <c r="C222" t="s">
        <v>11</v>
      </c>
      <c r="D222">
        <v>500</v>
      </c>
      <c r="E222" t="s">
        <v>385</v>
      </c>
      <c r="F222" t="s">
        <v>13</v>
      </c>
      <c r="G222" t="s">
        <v>20</v>
      </c>
      <c r="H222" t="s">
        <v>15</v>
      </c>
      <c r="I222" t="s">
        <v>16</v>
      </c>
    </row>
    <row r="223" spans="1:9" x14ac:dyDescent="0.4">
      <c r="A223" t="s">
        <v>387</v>
      </c>
      <c r="B223" t="s">
        <v>176</v>
      </c>
      <c r="C223" t="s">
        <v>19</v>
      </c>
      <c r="D223">
        <v>24122</v>
      </c>
      <c r="E223" t="s">
        <v>385</v>
      </c>
      <c r="F223" t="s">
        <v>13</v>
      </c>
      <c r="G223" t="s">
        <v>20</v>
      </c>
      <c r="H223" t="s">
        <v>21</v>
      </c>
      <c r="I223" t="s">
        <v>16</v>
      </c>
    </row>
    <row r="224" spans="1:9" x14ac:dyDescent="0.4">
      <c r="A224" t="s">
        <v>388</v>
      </c>
      <c r="B224" t="s">
        <v>345</v>
      </c>
      <c r="C224" t="s">
        <v>19</v>
      </c>
      <c r="D224">
        <v>5800</v>
      </c>
      <c r="E224" t="s">
        <v>389</v>
      </c>
      <c r="F224" t="s">
        <v>13</v>
      </c>
      <c r="G224" t="s">
        <v>364</v>
      </c>
      <c r="H224" t="s">
        <v>21</v>
      </c>
      <c r="I224" t="s">
        <v>16</v>
      </c>
    </row>
    <row r="225" spans="1:9" x14ac:dyDescent="0.4">
      <c r="A225" t="s">
        <v>390</v>
      </c>
      <c r="B225" t="s">
        <v>160</v>
      </c>
      <c r="C225" t="s">
        <v>19</v>
      </c>
      <c r="D225">
        <v>500</v>
      </c>
      <c r="E225" t="s">
        <v>391</v>
      </c>
      <c r="F225" t="s">
        <v>13</v>
      </c>
      <c r="G225" t="s">
        <v>20</v>
      </c>
      <c r="H225" t="s">
        <v>21</v>
      </c>
      <c r="I225" t="s">
        <v>16</v>
      </c>
    </row>
    <row r="226" spans="1:9" x14ac:dyDescent="0.4">
      <c r="A226" t="s">
        <v>392</v>
      </c>
      <c r="B226" t="s">
        <v>71</v>
      </c>
      <c r="C226" t="s">
        <v>19</v>
      </c>
      <c r="D226">
        <v>90000</v>
      </c>
      <c r="E226" t="s">
        <v>391</v>
      </c>
      <c r="F226" t="s">
        <v>13</v>
      </c>
      <c r="G226" t="s">
        <v>20</v>
      </c>
      <c r="H226" t="s">
        <v>21</v>
      </c>
      <c r="I226" t="s">
        <v>16</v>
      </c>
    </row>
    <row r="227" spans="1:9" x14ac:dyDescent="0.4">
      <c r="A227" t="s">
        <v>393</v>
      </c>
      <c r="B227" t="s">
        <v>96</v>
      </c>
      <c r="C227" t="s">
        <v>11</v>
      </c>
      <c r="D227">
        <v>2151330</v>
      </c>
      <c r="E227" t="s">
        <v>391</v>
      </c>
      <c r="F227" t="s">
        <v>13</v>
      </c>
      <c r="G227" t="s">
        <v>364</v>
      </c>
      <c r="H227" t="s">
        <v>15</v>
      </c>
      <c r="I227" t="s">
        <v>16</v>
      </c>
    </row>
    <row r="228" spans="1:9" x14ac:dyDescent="0.4">
      <c r="A228" t="s">
        <v>394</v>
      </c>
      <c r="B228" t="s">
        <v>43</v>
      </c>
      <c r="C228" t="s">
        <v>11</v>
      </c>
      <c r="D228">
        <v>3043</v>
      </c>
      <c r="E228" t="s">
        <v>391</v>
      </c>
      <c r="F228" t="s">
        <v>13</v>
      </c>
      <c r="G228" t="s">
        <v>20</v>
      </c>
      <c r="H228" t="s">
        <v>15</v>
      </c>
      <c r="I228" t="s">
        <v>16</v>
      </c>
    </row>
    <row r="229" spans="1:9" x14ac:dyDescent="0.4">
      <c r="A229" t="s">
        <v>395</v>
      </c>
      <c r="B229" t="s">
        <v>41</v>
      </c>
      <c r="C229" t="s">
        <v>11</v>
      </c>
      <c r="D229">
        <v>716000</v>
      </c>
      <c r="E229" t="s">
        <v>396</v>
      </c>
      <c r="F229" t="s">
        <v>13</v>
      </c>
      <c r="G229" t="s">
        <v>20</v>
      </c>
      <c r="H229" t="s">
        <v>15</v>
      </c>
      <c r="I229" t="s">
        <v>16</v>
      </c>
    </row>
    <row r="230" spans="1:9" x14ac:dyDescent="0.4">
      <c r="A230" t="s">
        <v>397</v>
      </c>
      <c r="B230" t="s">
        <v>160</v>
      </c>
      <c r="C230" t="s">
        <v>19</v>
      </c>
      <c r="D230">
        <v>10000</v>
      </c>
      <c r="E230" t="s">
        <v>398</v>
      </c>
      <c r="F230" t="s">
        <v>13</v>
      </c>
      <c r="G230" t="s">
        <v>20</v>
      </c>
      <c r="H230" t="s">
        <v>21</v>
      </c>
      <c r="I230" t="s">
        <v>16</v>
      </c>
    </row>
    <row r="231" spans="1:9" x14ac:dyDescent="0.4">
      <c r="A231" t="s">
        <v>399</v>
      </c>
      <c r="B231" t="s">
        <v>96</v>
      </c>
      <c r="C231" t="s">
        <v>19</v>
      </c>
      <c r="D231">
        <v>538</v>
      </c>
      <c r="E231" t="s">
        <v>398</v>
      </c>
      <c r="F231" t="s">
        <v>400</v>
      </c>
      <c r="G231" t="s">
        <v>401</v>
      </c>
      <c r="H231" t="s">
        <v>21</v>
      </c>
      <c r="I231" t="s">
        <v>16</v>
      </c>
    </row>
    <row r="232" spans="1:9" x14ac:dyDescent="0.4">
      <c r="A232" t="s">
        <v>402</v>
      </c>
      <c r="B232" t="s">
        <v>138</v>
      </c>
      <c r="C232" t="s">
        <v>19</v>
      </c>
      <c r="D232">
        <v>687</v>
      </c>
      <c r="E232" t="s">
        <v>403</v>
      </c>
      <c r="F232" t="s">
        <v>68</v>
      </c>
      <c r="G232" t="s">
        <v>404</v>
      </c>
      <c r="H232" t="s">
        <v>21</v>
      </c>
      <c r="I232" t="s">
        <v>16</v>
      </c>
    </row>
    <row r="233" spans="1:9" x14ac:dyDescent="0.4">
      <c r="A233" t="s">
        <v>405</v>
      </c>
      <c r="B233" t="s">
        <v>160</v>
      </c>
      <c r="C233" t="s">
        <v>19</v>
      </c>
      <c r="D233">
        <v>600</v>
      </c>
      <c r="E233" t="s">
        <v>406</v>
      </c>
      <c r="F233" t="s">
        <v>13</v>
      </c>
      <c r="G233" t="s">
        <v>20</v>
      </c>
      <c r="H233" t="s">
        <v>21</v>
      </c>
      <c r="I233" t="s">
        <v>16</v>
      </c>
    </row>
    <row r="234" spans="1:9" x14ac:dyDescent="0.4">
      <c r="A234" t="s">
        <v>407</v>
      </c>
      <c r="B234" t="s">
        <v>60</v>
      </c>
      <c r="C234" t="s">
        <v>11</v>
      </c>
      <c r="D234">
        <v>2740</v>
      </c>
      <c r="E234" t="s">
        <v>406</v>
      </c>
      <c r="F234" t="s">
        <v>68</v>
      </c>
      <c r="G234" t="s">
        <v>196</v>
      </c>
      <c r="H234" t="s">
        <v>15</v>
      </c>
      <c r="I234" t="s">
        <v>16</v>
      </c>
    </row>
    <row r="235" spans="1:9" x14ac:dyDescent="0.4">
      <c r="A235" t="s">
        <v>408</v>
      </c>
      <c r="B235" t="s">
        <v>10</v>
      </c>
      <c r="C235" t="s">
        <v>11</v>
      </c>
      <c r="D235">
        <v>3651</v>
      </c>
      <c r="E235" t="s">
        <v>406</v>
      </c>
      <c r="F235" t="s">
        <v>13</v>
      </c>
      <c r="G235" t="s">
        <v>20</v>
      </c>
      <c r="H235" t="s">
        <v>15</v>
      </c>
      <c r="I235" t="s">
        <v>16</v>
      </c>
    </row>
    <row r="236" spans="1:9" x14ac:dyDescent="0.4">
      <c r="A236" t="s">
        <v>409</v>
      </c>
      <c r="B236" t="s">
        <v>77</v>
      </c>
      <c r="C236" t="s">
        <v>19</v>
      </c>
      <c r="D236">
        <v>22017</v>
      </c>
      <c r="E236" t="s">
        <v>406</v>
      </c>
      <c r="F236" t="s">
        <v>13</v>
      </c>
      <c r="G236" t="s">
        <v>20</v>
      </c>
      <c r="H236" t="s">
        <v>21</v>
      </c>
      <c r="I236" t="s">
        <v>16</v>
      </c>
    </row>
    <row r="237" spans="1:9" x14ac:dyDescent="0.4">
      <c r="A237" t="s">
        <v>410</v>
      </c>
      <c r="B237" t="s">
        <v>47</v>
      </c>
      <c r="C237" t="s">
        <v>19</v>
      </c>
      <c r="D237">
        <v>19408</v>
      </c>
      <c r="E237" t="s">
        <v>411</v>
      </c>
      <c r="F237" t="s">
        <v>13</v>
      </c>
      <c r="G237" t="s">
        <v>20</v>
      </c>
      <c r="H237" t="s">
        <v>21</v>
      </c>
      <c r="I237" t="s">
        <v>16</v>
      </c>
    </row>
    <row r="238" spans="1:9" x14ac:dyDescent="0.4">
      <c r="A238" t="s">
        <v>412</v>
      </c>
      <c r="B238" t="s">
        <v>91</v>
      </c>
      <c r="C238" t="s">
        <v>11</v>
      </c>
      <c r="D238">
        <v>5385</v>
      </c>
      <c r="E238" t="s">
        <v>413</v>
      </c>
      <c r="F238" t="s">
        <v>13</v>
      </c>
      <c r="G238" t="s">
        <v>20</v>
      </c>
      <c r="H238" t="s">
        <v>15</v>
      </c>
      <c r="I238" t="s">
        <v>16</v>
      </c>
    </row>
    <row r="239" spans="1:9" x14ac:dyDescent="0.4">
      <c r="A239" t="s">
        <v>414</v>
      </c>
      <c r="B239" t="s">
        <v>120</v>
      </c>
      <c r="C239" t="s">
        <v>11</v>
      </c>
      <c r="D239">
        <v>1574</v>
      </c>
      <c r="E239" t="s">
        <v>413</v>
      </c>
      <c r="F239" t="s">
        <v>13</v>
      </c>
      <c r="G239" t="s">
        <v>14</v>
      </c>
      <c r="H239" t="s">
        <v>15</v>
      </c>
      <c r="I239" t="s">
        <v>16</v>
      </c>
    </row>
    <row r="240" spans="1:9" x14ac:dyDescent="0.4">
      <c r="A240" t="s">
        <v>415</v>
      </c>
      <c r="B240" t="s">
        <v>104</v>
      </c>
      <c r="C240" t="s">
        <v>19</v>
      </c>
      <c r="D240">
        <v>501</v>
      </c>
      <c r="E240" t="s">
        <v>416</v>
      </c>
      <c r="F240" t="s">
        <v>13</v>
      </c>
      <c r="G240" t="s">
        <v>14</v>
      </c>
      <c r="H240" t="s">
        <v>21</v>
      </c>
      <c r="I240" t="s">
        <v>16</v>
      </c>
    </row>
    <row r="241" spans="1:9" x14ac:dyDescent="0.4">
      <c r="A241" t="s">
        <v>417</v>
      </c>
      <c r="B241" t="s">
        <v>77</v>
      </c>
      <c r="C241" t="s">
        <v>19</v>
      </c>
      <c r="D241">
        <v>6400</v>
      </c>
      <c r="E241" t="s">
        <v>418</v>
      </c>
      <c r="F241" t="s">
        <v>13</v>
      </c>
      <c r="G241" t="s">
        <v>51</v>
      </c>
      <c r="H241" t="s">
        <v>21</v>
      </c>
      <c r="I241" t="s">
        <v>16</v>
      </c>
    </row>
    <row r="242" spans="1:9" x14ac:dyDescent="0.4">
      <c r="A242" t="s">
        <v>419</v>
      </c>
      <c r="B242" t="s">
        <v>86</v>
      </c>
      <c r="C242" t="s">
        <v>19</v>
      </c>
      <c r="D242">
        <v>146108</v>
      </c>
      <c r="E242" t="s">
        <v>420</v>
      </c>
      <c r="F242" t="s">
        <v>13</v>
      </c>
      <c r="G242" t="s">
        <v>14</v>
      </c>
      <c r="H242" t="s">
        <v>21</v>
      </c>
      <c r="I242" t="s">
        <v>16</v>
      </c>
    </row>
    <row r="243" spans="1:9" x14ac:dyDescent="0.4">
      <c r="A243" t="s">
        <v>421</v>
      </c>
      <c r="B243" t="s">
        <v>10</v>
      </c>
      <c r="C243" t="s">
        <v>19</v>
      </c>
      <c r="D243">
        <v>19971</v>
      </c>
      <c r="E243" t="s">
        <v>420</v>
      </c>
      <c r="F243" t="s">
        <v>13</v>
      </c>
      <c r="G243" t="s">
        <v>14</v>
      </c>
      <c r="H243" t="s">
        <v>21</v>
      </c>
      <c r="I243" t="s">
        <v>16</v>
      </c>
    </row>
    <row r="244" spans="1:9" x14ac:dyDescent="0.4">
      <c r="A244" t="s">
        <v>422</v>
      </c>
      <c r="B244" t="s">
        <v>91</v>
      </c>
      <c r="C244" t="s">
        <v>19</v>
      </c>
      <c r="D244">
        <v>5073</v>
      </c>
      <c r="E244" t="s">
        <v>420</v>
      </c>
      <c r="F244" t="s">
        <v>13</v>
      </c>
      <c r="G244" t="s">
        <v>14</v>
      </c>
      <c r="H244" t="s">
        <v>21</v>
      </c>
      <c r="I244" t="s">
        <v>16</v>
      </c>
    </row>
    <row r="245" spans="1:9" x14ac:dyDescent="0.4">
      <c r="A245" t="s">
        <v>423</v>
      </c>
      <c r="B245" t="s">
        <v>10</v>
      </c>
      <c r="C245" t="s">
        <v>19</v>
      </c>
      <c r="D245">
        <v>285086</v>
      </c>
      <c r="E245" t="s">
        <v>420</v>
      </c>
      <c r="F245" t="s">
        <v>13</v>
      </c>
      <c r="G245" t="s">
        <v>20</v>
      </c>
      <c r="H245" t="s">
        <v>21</v>
      </c>
      <c r="I245" t="s">
        <v>16</v>
      </c>
    </row>
    <row r="246" spans="1:9" x14ac:dyDescent="0.4">
      <c r="A246" t="s">
        <v>424</v>
      </c>
      <c r="B246" t="s">
        <v>60</v>
      </c>
      <c r="C246" t="s">
        <v>19</v>
      </c>
      <c r="D246">
        <v>58000</v>
      </c>
      <c r="E246" t="s">
        <v>420</v>
      </c>
      <c r="F246" t="s">
        <v>13</v>
      </c>
      <c r="G246" t="s">
        <v>20</v>
      </c>
      <c r="H246" t="s">
        <v>21</v>
      </c>
      <c r="I246" t="s">
        <v>16</v>
      </c>
    </row>
    <row r="247" spans="1:9" x14ac:dyDescent="0.4">
      <c r="A247" t="s">
        <v>425</v>
      </c>
      <c r="B247" t="s">
        <v>41</v>
      </c>
      <c r="C247" t="s">
        <v>19</v>
      </c>
      <c r="D247">
        <v>10666</v>
      </c>
      <c r="E247" t="s">
        <v>420</v>
      </c>
      <c r="F247" t="s">
        <v>13</v>
      </c>
      <c r="G247" t="s">
        <v>20</v>
      </c>
      <c r="H247" t="s">
        <v>21</v>
      </c>
      <c r="I247" t="s">
        <v>16</v>
      </c>
    </row>
    <row r="248" spans="1:9" x14ac:dyDescent="0.4">
      <c r="A248" t="s">
        <v>426</v>
      </c>
      <c r="B248" t="s">
        <v>71</v>
      </c>
      <c r="C248" t="s">
        <v>19</v>
      </c>
      <c r="D248">
        <v>8918</v>
      </c>
      <c r="E248" t="s">
        <v>427</v>
      </c>
      <c r="F248" t="s">
        <v>13</v>
      </c>
      <c r="G248" t="s">
        <v>20</v>
      </c>
      <c r="H248" t="s">
        <v>21</v>
      </c>
      <c r="I248" t="s">
        <v>16</v>
      </c>
    </row>
    <row r="249" spans="1:9" x14ac:dyDescent="0.4">
      <c r="A249" t="s">
        <v>428</v>
      </c>
      <c r="B249" t="s">
        <v>18</v>
      </c>
      <c r="C249" t="s">
        <v>19</v>
      </c>
      <c r="D249">
        <v>500</v>
      </c>
      <c r="E249" t="s">
        <v>429</v>
      </c>
      <c r="F249" t="s">
        <v>13</v>
      </c>
      <c r="G249" t="s">
        <v>14</v>
      </c>
      <c r="H249" t="s">
        <v>21</v>
      </c>
      <c r="I249" t="s">
        <v>16</v>
      </c>
    </row>
    <row r="250" spans="1:9" x14ac:dyDescent="0.4">
      <c r="A250" t="s">
        <v>430</v>
      </c>
      <c r="B250" t="s">
        <v>10</v>
      </c>
      <c r="C250" t="s">
        <v>11</v>
      </c>
      <c r="D250">
        <v>648</v>
      </c>
      <c r="E250" t="s">
        <v>429</v>
      </c>
      <c r="F250" t="s">
        <v>13</v>
      </c>
      <c r="G250" t="s">
        <v>20</v>
      </c>
      <c r="H250" t="s">
        <v>15</v>
      </c>
      <c r="I250" t="s">
        <v>16</v>
      </c>
    </row>
    <row r="251" spans="1:9" x14ac:dyDescent="0.4">
      <c r="A251" t="s">
        <v>431</v>
      </c>
      <c r="B251" t="s">
        <v>26</v>
      </c>
      <c r="C251" t="s">
        <v>11</v>
      </c>
      <c r="D251">
        <v>1522</v>
      </c>
      <c r="E251" t="s">
        <v>432</v>
      </c>
      <c r="F251" t="s">
        <v>13</v>
      </c>
      <c r="G251" t="s">
        <v>404</v>
      </c>
      <c r="H251" t="s">
        <v>15</v>
      </c>
      <c r="I251" t="s">
        <v>16</v>
      </c>
    </row>
    <row r="252" spans="1:9" x14ac:dyDescent="0.4">
      <c r="A252" t="s">
        <v>433</v>
      </c>
      <c r="B252" t="s">
        <v>167</v>
      </c>
      <c r="C252" t="s">
        <v>19</v>
      </c>
      <c r="D252">
        <v>34154</v>
      </c>
      <c r="E252" t="s">
        <v>434</v>
      </c>
      <c r="F252" t="s">
        <v>13</v>
      </c>
      <c r="G252" t="s">
        <v>20</v>
      </c>
      <c r="H252" t="s">
        <v>21</v>
      </c>
      <c r="I252" t="s">
        <v>16</v>
      </c>
    </row>
    <row r="253" spans="1:9" x14ac:dyDescent="0.4">
      <c r="A253" t="s">
        <v>435</v>
      </c>
      <c r="B253" t="s">
        <v>28</v>
      </c>
      <c r="C253" t="s">
        <v>19</v>
      </c>
      <c r="D253">
        <v>133862</v>
      </c>
      <c r="E253" t="s">
        <v>434</v>
      </c>
      <c r="F253" t="s">
        <v>13</v>
      </c>
      <c r="G253" t="s">
        <v>20</v>
      </c>
      <c r="H253" t="s">
        <v>21</v>
      </c>
      <c r="I253" t="s">
        <v>16</v>
      </c>
    </row>
    <row r="254" spans="1:9" x14ac:dyDescent="0.4">
      <c r="A254" t="s">
        <v>436</v>
      </c>
      <c r="B254" t="s">
        <v>71</v>
      </c>
      <c r="C254" t="s">
        <v>19</v>
      </c>
      <c r="D254">
        <v>4631</v>
      </c>
      <c r="E254" t="s">
        <v>434</v>
      </c>
      <c r="F254" t="s">
        <v>13</v>
      </c>
      <c r="G254" t="s">
        <v>14</v>
      </c>
      <c r="H254" t="s">
        <v>21</v>
      </c>
      <c r="I254" t="s">
        <v>16</v>
      </c>
    </row>
    <row r="255" spans="1:9" x14ac:dyDescent="0.4">
      <c r="A255" t="s">
        <v>437</v>
      </c>
      <c r="B255" t="s">
        <v>57</v>
      </c>
      <c r="C255" t="s">
        <v>19</v>
      </c>
      <c r="D255">
        <v>14442</v>
      </c>
      <c r="E255" t="s">
        <v>438</v>
      </c>
      <c r="F255" t="s">
        <v>13</v>
      </c>
      <c r="G255" t="s">
        <v>20</v>
      </c>
      <c r="H255" t="s">
        <v>21</v>
      </c>
      <c r="I255" t="s">
        <v>16</v>
      </c>
    </row>
    <row r="256" spans="1:9" x14ac:dyDescent="0.4">
      <c r="A256" t="s">
        <v>439</v>
      </c>
      <c r="B256" t="s">
        <v>26</v>
      </c>
      <c r="C256" t="s">
        <v>19</v>
      </c>
      <c r="D256">
        <v>20659</v>
      </c>
      <c r="E256" t="s">
        <v>438</v>
      </c>
      <c r="F256" t="s">
        <v>13</v>
      </c>
      <c r="G256" t="s">
        <v>20</v>
      </c>
      <c r="H256" t="s">
        <v>21</v>
      </c>
      <c r="I256" t="s">
        <v>16</v>
      </c>
    </row>
    <row r="257" spans="1:9" x14ac:dyDescent="0.4">
      <c r="A257" t="s">
        <v>440</v>
      </c>
      <c r="B257" t="s">
        <v>57</v>
      </c>
      <c r="C257" t="s">
        <v>34</v>
      </c>
      <c r="D257">
        <v>1327</v>
      </c>
      <c r="E257" t="s">
        <v>438</v>
      </c>
      <c r="F257" t="s">
        <v>13</v>
      </c>
      <c r="G257" t="s">
        <v>20</v>
      </c>
      <c r="H257" t="s">
        <v>21</v>
      </c>
      <c r="I257" t="s">
        <v>16</v>
      </c>
    </row>
    <row r="258" spans="1:9" x14ac:dyDescent="0.4">
      <c r="A258" t="s">
        <v>441</v>
      </c>
      <c r="B258" t="s">
        <v>71</v>
      </c>
      <c r="C258" t="s">
        <v>19</v>
      </c>
      <c r="D258">
        <v>501</v>
      </c>
      <c r="E258" t="s">
        <v>438</v>
      </c>
      <c r="F258" t="s">
        <v>13</v>
      </c>
      <c r="G258" t="s">
        <v>20</v>
      </c>
      <c r="H258" t="s">
        <v>21</v>
      </c>
      <c r="I258" t="s">
        <v>16</v>
      </c>
    </row>
    <row r="259" spans="1:9" x14ac:dyDescent="0.4">
      <c r="A259" t="s">
        <v>442</v>
      </c>
      <c r="B259" t="s">
        <v>96</v>
      </c>
      <c r="C259" t="s">
        <v>11</v>
      </c>
      <c r="D259">
        <v>11795</v>
      </c>
      <c r="E259" t="s">
        <v>443</v>
      </c>
      <c r="F259" t="s">
        <v>13</v>
      </c>
      <c r="G259" t="s">
        <v>196</v>
      </c>
      <c r="H259" t="s">
        <v>15</v>
      </c>
      <c r="I259" t="s">
        <v>16</v>
      </c>
    </row>
    <row r="260" spans="1:9" x14ac:dyDescent="0.4">
      <c r="A260" t="s">
        <v>444</v>
      </c>
      <c r="B260" t="s">
        <v>66</v>
      </c>
      <c r="C260" t="s">
        <v>19</v>
      </c>
      <c r="D260">
        <v>3117874</v>
      </c>
      <c r="E260" t="s">
        <v>445</v>
      </c>
      <c r="F260" t="s">
        <v>13</v>
      </c>
      <c r="G260" t="s">
        <v>20</v>
      </c>
      <c r="H260" t="s">
        <v>21</v>
      </c>
      <c r="I260" t="s">
        <v>16</v>
      </c>
    </row>
    <row r="261" spans="1:9" x14ac:dyDescent="0.4">
      <c r="A261" t="s">
        <v>343</v>
      </c>
      <c r="B261" t="s">
        <v>86</v>
      </c>
      <c r="C261" t="s">
        <v>19</v>
      </c>
      <c r="D261">
        <v>2086</v>
      </c>
      <c r="E261" t="s">
        <v>446</v>
      </c>
      <c r="F261" t="s">
        <v>13</v>
      </c>
      <c r="G261" t="s">
        <v>14</v>
      </c>
      <c r="H261" t="s">
        <v>21</v>
      </c>
      <c r="I261" t="s">
        <v>16</v>
      </c>
    </row>
    <row r="262" spans="1:9" x14ac:dyDescent="0.4">
      <c r="A262" t="s">
        <v>447</v>
      </c>
      <c r="B262" t="s">
        <v>138</v>
      </c>
      <c r="C262" t="s">
        <v>19</v>
      </c>
      <c r="D262">
        <v>969</v>
      </c>
      <c r="E262" t="s">
        <v>446</v>
      </c>
      <c r="F262" t="s">
        <v>13</v>
      </c>
      <c r="G262" t="s">
        <v>20</v>
      </c>
      <c r="H262" t="s">
        <v>21</v>
      </c>
      <c r="I262" t="s">
        <v>16</v>
      </c>
    </row>
    <row r="263" spans="1:9" x14ac:dyDescent="0.4">
      <c r="A263" t="s">
        <v>448</v>
      </c>
      <c r="B263" t="s">
        <v>75</v>
      </c>
      <c r="C263" t="s">
        <v>19</v>
      </c>
      <c r="D263">
        <v>9300</v>
      </c>
      <c r="E263" t="s">
        <v>446</v>
      </c>
      <c r="F263" t="s">
        <v>13</v>
      </c>
      <c r="G263" t="s">
        <v>364</v>
      </c>
      <c r="H263" t="s">
        <v>21</v>
      </c>
      <c r="I263" t="s">
        <v>16</v>
      </c>
    </row>
    <row r="264" spans="1:9" x14ac:dyDescent="0.4">
      <c r="A264" t="s">
        <v>449</v>
      </c>
      <c r="B264" t="s">
        <v>104</v>
      </c>
      <c r="C264" t="s">
        <v>19</v>
      </c>
      <c r="D264">
        <v>739</v>
      </c>
      <c r="E264" t="s">
        <v>450</v>
      </c>
      <c r="F264" t="s">
        <v>13</v>
      </c>
      <c r="G264" t="s">
        <v>14</v>
      </c>
      <c r="H264" t="s">
        <v>21</v>
      </c>
      <c r="I264" t="s">
        <v>16</v>
      </c>
    </row>
    <row r="265" spans="1:9" x14ac:dyDescent="0.4">
      <c r="A265" t="s">
        <v>451</v>
      </c>
      <c r="B265" t="s">
        <v>10</v>
      </c>
      <c r="C265" t="s">
        <v>34</v>
      </c>
      <c r="D265">
        <v>1514</v>
      </c>
      <c r="E265" t="s">
        <v>450</v>
      </c>
      <c r="F265" t="s">
        <v>13</v>
      </c>
      <c r="G265" t="s">
        <v>20</v>
      </c>
      <c r="H265" t="s">
        <v>21</v>
      </c>
      <c r="I265" t="s">
        <v>16</v>
      </c>
    </row>
    <row r="266" spans="1:9" x14ac:dyDescent="0.4">
      <c r="A266" t="s">
        <v>452</v>
      </c>
      <c r="B266" t="s">
        <v>160</v>
      </c>
      <c r="C266" t="s">
        <v>19</v>
      </c>
      <c r="D266">
        <v>28963</v>
      </c>
      <c r="E266" t="s">
        <v>453</v>
      </c>
      <c r="F266" t="s">
        <v>13</v>
      </c>
      <c r="G266" t="s">
        <v>20</v>
      </c>
      <c r="H266" t="s">
        <v>21</v>
      </c>
      <c r="I266" t="s">
        <v>16</v>
      </c>
    </row>
    <row r="267" spans="1:9" x14ac:dyDescent="0.4">
      <c r="A267" t="s">
        <v>454</v>
      </c>
      <c r="B267" t="s">
        <v>136</v>
      </c>
      <c r="C267" t="s">
        <v>19</v>
      </c>
      <c r="D267">
        <v>3158</v>
      </c>
      <c r="E267" t="s">
        <v>455</v>
      </c>
      <c r="F267" t="s">
        <v>13</v>
      </c>
      <c r="G267" t="s">
        <v>20</v>
      </c>
      <c r="H267" t="s">
        <v>21</v>
      </c>
      <c r="I267" t="s">
        <v>16</v>
      </c>
    </row>
    <row r="268" spans="1:9" x14ac:dyDescent="0.4">
      <c r="A268" t="s">
        <v>456</v>
      </c>
      <c r="B268" t="s">
        <v>60</v>
      </c>
      <c r="C268" t="s">
        <v>11</v>
      </c>
      <c r="D268">
        <v>2158</v>
      </c>
      <c r="E268" t="s">
        <v>455</v>
      </c>
      <c r="F268" t="s">
        <v>13</v>
      </c>
      <c r="G268" t="s">
        <v>14</v>
      </c>
      <c r="H268" t="s">
        <v>15</v>
      </c>
      <c r="I268" t="s">
        <v>16</v>
      </c>
    </row>
    <row r="269" spans="1:9" x14ac:dyDescent="0.4">
      <c r="A269" t="s">
        <v>457</v>
      </c>
      <c r="B269" t="s">
        <v>345</v>
      </c>
      <c r="C269" t="s">
        <v>19</v>
      </c>
      <c r="D269">
        <v>2127</v>
      </c>
      <c r="E269" t="s">
        <v>458</v>
      </c>
      <c r="F269" t="s">
        <v>13</v>
      </c>
      <c r="G269" t="s">
        <v>20</v>
      </c>
      <c r="H269" t="s">
        <v>21</v>
      </c>
      <c r="I269" t="s">
        <v>16</v>
      </c>
    </row>
    <row r="270" spans="1:9" x14ac:dyDescent="0.4">
      <c r="A270" t="s">
        <v>459</v>
      </c>
      <c r="B270" t="s">
        <v>104</v>
      </c>
      <c r="C270" t="s">
        <v>19</v>
      </c>
      <c r="D270">
        <v>90000</v>
      </c>
      <c r="E270" t="s">
        <v>460</v>
      </c>
      <c r="F270" t="s">
        <v>13</v>
      </c>
      <c r="G270" t="s">
        <v>20</v>
      </c>
      <c r="H270" t="s">
        <v>21</v>
      </c>
      <c r="I270" t="s">
        <v>16</v>
      </c>
    </row>
    <row r="271" spans="1:9" x14ac:dyDescent="0.4">
      <c r="A271" t="s">
        <v>461</v>
      </c>
      <c r="B271" t="s">
        <v>138</v>
      </c>
      <c r="C271" t="s">
        <v>19</v>
      </c>
      <c r="D271">
        <v>4600</v>
      </c>
      <c r="E271" t="s">
        <v>460</v>
      </c>
      <c r="F271" t="s">
        <v>13</v>
      </c>
      <c r="G271" t="s">
        <v>20</v>
      </c>
      <c r="H271" t="s">
        <v>21</v>
      </c>
      <c r="I271" t="s">
        <v>16</v>
      </c>
    </row>
    <row r="272" spans="1:9" x14ac:dyDescent="0.4">
      <c r="A272" t="s">
        <v>462</v>
      </c>
      <c r="B272" t="s">
        <v>251</v>
      </c>
      <c r="C272" t="s">
        <v>19</v>
      </c>
      <c r="D272">
        <v>73281</v>
      </c>
      <c r="E272" t="s">
        <v>460</v>
      </c>
      <c r="F272" t="s">
        <v>13</v>
      </c>
      <c r="G272" t="s">
        <v>20</v>
      </c>
      <c r="H272" t="s">
        <v>21</v>
      </c>
      <c r="I272" t="s">
        <v>16</v>
      </c>
    </row>
    <row r="273" spans="1:9" x14ac:dyDescent="0.4">
      <c r="A273" t="s">
        <v>463</v>
      </c>
      <c r="B273" t="s">
        <v>91</v>
      </c>
      <c r="C273" t="s">
        <v>19</v>
      </c>
      <c r="D273">
        <v>501</v>
      </c>
      <c r="E273" t="s">
        <v>460</v>
      </c>
      <c r="F273" t="s">
        <v>13</v>
      </c>
      <c r="G273" t="s">
        <v>20</v>
      </c>
      <c r="H273" t="s">
        <v>21</v>
      </c>
      <c r="I273" t="s">
        <v>16</v>
      </c>
    </row>
    <row r="274" spans="1:9" x14ac:dyDescent="0.4">
      <c r="A274" t="s">
        <v>464</v>
      </c>
      <c r="B274" t="s">
        <v>10</v>
      </c>
      <c r="C274" t="s">
        <v>11</v>
      </c>
      <c r="D274">
        <v>501</v>
      </c>
      <c r="E274" t="s">
        <v>460</v>
      </c>
      <c r="F274" t="s">
        <v>13</v>
      </c>
      <c r="G274" t="s">
        <v>20</v>
      </c>
      <c r="H274" t="s">
        <v>15</v>
      </c>
      <c r="I274" t="s">
        <v>16</v>
      </c>
    </row>
    <row r="275" spans="1:9" x14ac:dyDescent="0.4">
      <c r="A275" t="s">
        <v>465</v>
      </c>
      <c r="B275" t="s">
        <v>18</v>
      </c>
      <c r="C275" t="s">
        <v>19</v>
      </c>
      <c r="D275">
        <v>23114</v>
      </c>
      <c r="E275" t="s">
        <v>466</v>
      </c>
      <c r="F275" t="s">
        <v>13</v>
      </c>
      <c r="G275" t="s">
        <v>20</v>
      </c>
      <c r="H275" t="s">
        <v>21</v>
      </c>
      <c r="I275" t="s">
        <v>16</v>
      </c>
    </row>
    <row r="276" spans="1:9" x14ac:dyDescent="0.4">
      <c r="A276" t="s">
        <v>467</v>
      </c>
      <c r="B276" t="s">
        <v>64</v>
      </c>
      <c r="C276" t="s">
        <v>19</v>
      </c>
      <c r="D276">
        <v>83354</v>
      </c>
      <c r="E276" t="s">
        <v>468</v>
      </c>
      <c r="F276" t="s">
        <v>13</v>
      </c>
      <c r="G276" t="s">
        <v>20</v>
      </c>
      <c r="H276" t="s">
        <v>21</v>
      </c>
      <c r="I276" t="s">
        <v>16</v>
      </c>
    </row>
    <row r="277" spans="1:9" x14ac:dyDescent="0.4">
      <c r="A277" t="s">
        <v>469</v>
      </c>
      <c r="B277" t="s">
        <v>57</v>
      </c>
      <c r="C277" t="s">
        <v>19</v>
      </c>
      <c r="D277">
        <v>20000</v>
      </c>
      <c r="E277" t="s">
        <v>468</v>
      </c>
      <c r="F277" t="s">
        <v>13</v>
      </c>
      <c r="G277" t="s">
        <v>20</v>
      </c>
      <c r="H277" t="s">
        <v>21</v>
      </c>
      <c r="I277" t="s">
        <v>16</v>
      </c>
    </row>
    <row r="278" spans="1:9" x14ac:dyDescent="0.4">
      <c r="A278" t="s">
        <v>470</v>
      </c>
      <c r="B278" t="s">
        <v>47</v>
      </c>
      <c r="C278" t="s">
        <v>19</v>
      </c>
      <c r="D278">
        <v>501</v>
      </c>
      <c r="E278" t="s">
        <v>468</v>
      </c>
      <c r="F278" t="s">
        <v>13</v>
      </c>
      <c r="G278" t="s">
        <v>20</v>
      </c>
      <c r="H278" t="s">
        <v>21</v>
      </c>
      <c r="I278" t="s">
        <v>16</v>
      </c>
    </row>
    <row r="279" spans="1:9" x14ac:dyDescent="0.4">
      <c r="A279" t="s">
        <v>471</v>
      </c>
      <c r="B279" t="s">
        <v>182</v>
      </c>
      <c r="C279" t="s">
        <v>11</v>
      </c>
      <c r="D279">
        <v>3433965</v>
      </c>
      <c r="E279" t="s">
        <v>472</v>
      </c>
      <c r="F279" t="s">
        <v>13</v>
      </c>
      <c r="G279" t="s">
        <v>20</v>
      </c>
      <c r="H279" t="s">
        <v>15</v>
      </c>
      <c r="I279" t="s">
        <v>16</v>
      </c>
    </row>
    <row r="280" spans="1:9" x14ac:dyDescent="0.4">
      <c r="A280" t="s">
        <v>473</v>
      </c>
      <c r="B280" t="s">
        <v>160</v>
      </c>
      <c r="C280" t="s">
        <v>19</v>
      </c>
      <c r="D280">
        <v>2500</v>
      </c>
      <c r="E280" t="s">
        <v>472</v>
      </c>
      <c r="F280" t="s">
        <v>13</v>
      </c>
      <c r="G280" t="s">
        <v>20</v>
      </c>
      <c r="H280" t="s">
        <v>21</v>
      </c>
      <c r="I280" t="s">
        <v>16</v>
      </c>
    </row>
    <row r="281" spans="1:9" x14ac:dyDescent="0.4">
      <c r="A281" t="s">
        <v>474</v>
      </c>
      <c r="B281" t="s">
        <v>47</v>
      </c>
      <c r="C281" t="s">
        <v>19</v>
      </c>
      <c r="D281">
        <v>11011</v>
      </c>
      <c r="E281" t="s">
        <v>472</v>
      </c>
      <c r="F281" t="s">
        <v>13</v>
      </c>
      <c r="G281" t="s">
        <v>14</v>
      </c>
      <c r="H281" t="s">
        <v>21</v>
      </c>
      <c r="I281" t="s">
        <v>16</v>
      </c>
    </row>
    <row r="282" spans="1:9" x14ac:dyDescent="0.4">
      <c r="A282" t="s">
        <v>475</v>
      </c>
      <c r="B282" t="s">
        <v>30</v>
      </c>
      <c r="C282" t="s">
        <v>19</v>
      </c>
      <c r="D282">
        <v>37796</v>
      </c>
      <c r="E282" t="s">
        <v>472</v>
      </c>
      <c r="F282" t="s">
        <v>13</v>
      </c>
      <c r="G282" t="s">
        <v>20</v>
      </c>
      <c r="H282" t="s">
        <v>21</v>
      </c>
      <c r="I282" t="s">
        <v>16</v>
      </c>
    </row>
    <row r="283" spans="1:9" x14ac:dyDescent="0.4">
      <c r="A283" t="s">
        <v>476</v>
      </c>
      <c r="B283" t="s">
        <v>138</v>
      </c>
      <c r="C283" t="s">
        <v>19</v>
      </c>
      <c r="D283">
        <v>20047</v>
      </c>
      <c r="E283" t="s">
        <v>477</v>
      </c>
      <c r="F283" t="s">
        <v>13</v>
      </c>
      <c r="G283" t="s">
        <v>20</v>
      </c>
      <c r="H283" t="s">
        <v>21</v>
      </c>
      <c r="I283" t="s">
        <v>16</v>
      </c>
    </row>
    <row r="284" spans="1:9" x14ac:dyDescent="0.4">
      <c r="A284" t="s">
        <v>478</v>
      </c>
      <c r="B284" t="s">
        <v>71</v>
      </c>
      <c r="C284" t="s">
        <v>19</v>
      </c>
      <c r="D284">
        <v>650</v>
      </c>
      <c r="E284" t="s">
        <v>479</v>
      </c>
      <c r="F284" t="s">
        <v>13</v>
      </c>
      <c r="G284" t="s">
        <v>14</v>
      </c>
      <c r="H284" t="s">
        <v>21</v>
      </c>
      <c r="I284" t="s">
        <v>16</v>
      </c>
    </row>
    <row r="285" spans="1:9" x14ac:dyDescent="0.4">
      <c r="A285" t="s">
        <v>480</v>
      </c>
      <c r="B285" t="s">
        <v>116</v>
      </c>
      <c r="C285" t="s">
        <v>19</v>
      </c>
      <c r="D285">
        <v>501</v>
      </c>
      <c r="E285" t="s">
        <v>479</v>
      </c>
      <c r="F285" t="s">
        <v>13</v>
      </c>
      <c r="G285" t="s">
        <v>20</v>
      </c>
      <c r="H285" t="s">
        <v>21</v>
      </c>
      <c r="I285" t="s">
        <v>16</v>
      </c>
    </row>
    <row r="286" spans="1:9" x14ac:dyDescent="0.4">
      <c r="A286" t="s">
        <v>481</v>
      </c>
      <c r="B286" t="s">
        <v>141</v>
      </c>
      <c r="C286" t="s">
        <v>19</v>
      </c>
      <c r="D286">
        <v>23018</v>
      </c>
      <c r="E286" t="s">
        <v>479</v>
      </c>
      <c r="F286" t="s">
        <v>13</v>
      </c>
      <c r="G286" t="s">
        <v>20</v>
      </c>
      <c r="H286" t="s">
        <v>21</v>
      </c>
      <c r="I286" t="s">
        <v>16</v>
      </c>
    </row>
    <row r="287" spans="1:9" x14ac:dyDescent="0.4">
      <c r="A287" t="s">
        <v>482</v>
      </c>
      <c r="B287" t="s">
        <v>141</v>
      </c>
      <c r="C287" t="s">
        <v>19</v>
      </c>
      <c r="D287">
        <v>1544</v>
      </c>
      <c r="E287" t="s">
        <v>483</v>
      </c>
      <c r="F287" t="s">
        <v>13</v>
      </c>
      <c r="G287" t="s">
        <v>14</v>
      </c>
      <c r="H287" t="s">
        <v>21</v>
      </c>
      <c r="I287" t="s">
        <v>16</v>
      </c>
    </row>
    <row r="288" spans="1:9" x14ac:dyDescent="0.4">
      <c r="A288" t="s">
        <v>484</v>
      </c>
      <c r="B288" t="s">
        <v>26</v>
      </c>
      <c r="C288" t="s">
        <v>19</v>
      </c>
      <c r="D288">
        <v>25832</v>
      </c>
      <c r="E288" t="s">
        <v>485</v>
      </c>
      <c r="F288" t="s">
        <v>13</v>
      </c>
      <c r="G288" t="s">
        <v>51</v>
      </c>
      <c r="H288" t="s">
        <v>21</v>
      </c>
      <c r="I288" t="s">
        <v>16</v>
      </c>
    </row>
    <row r="289" spans="1:9" x14ac:dyDescent="0.4">
      <c r="A289" t="s">
        <v>486</v>
      </c>
      <c r="B289" t="s">
        <v>18</v>
      </c>
      <c r="C289" t="s">
        <v>11</v>
      </c>
      <c r="D289">
        <v>82331</v>
      </c>
      <c r="E289" t="s">
        <v>487</v>
      </c>
      <c r="F289" t="s">
        <v>13</v>
      </c>
      <c r="G289" t="s">
        <v>20</v>
      </c>
      <c r="H289" t="s">
        <v>15</v>
      </c>
      <c r="I289" t="s">
        <v>16</v>
      </c>
    </row>
    <row r="290" spans="1:9" x14ac:dyDescent="0.4">
      <c r="A290" t="s">
        <v>488</v>
      </c>
      <c r="B290" t="s">
        <v>77</v>
      </c>
      <c r="C290" t="s">
        <v>19</v>
      </c>
      <c r="D290">
        <v>139830</v>
      </c>
      <c r="E290" t="s">
        <v>487</v>
      </c>
      <c r="F290" t="s">
        <v>13</v>
      </c>
      <c r="G290" t="s">
        <v>20</v>
      </c>
      <c r="H290" t="s">
        <v>21</v>
      </c>
      <c r="I290" t="s">
        <v>16</v>
      </c>
    </row>
    <row r="291" spans="1:9" x14ac:dyDescent="0.4">
      <c r="A291" t="s">
        <v>489</v>
      </c>
      <c r="B291" t="s">
        <v>136</v>
      </c>
      <c r="C291" t="s">
        <v>19</v>
      </c>
      <c r="D291">
        <v>9087</v>
      </c>
      <c r="E291" t="s">
        <v>490</v>
      </c>
      <c r="F291" t="s">
        <v>13</v>
      </c>
      <c r="G291" t="s">
        <v>20</v>
      </c>
      <c r="H291" t="s">
        <v>21</v>
      </c>
      <c r="I291" t="s">
        <v>16</v>
      </c>
    </row>
    <row r="292" spans="1:9" x14ac:dyDescent="0.4">
      <c r="A292" t="s">
        <v>491</v>
      </c>
      <c r="B292" t="s">
        <v>86</v>
      </c>
      <c r="C292" t="s">
        <v>19</v>
      </c>
      <c r="D292">
        <v>4626</v>
      </c>
      <c r="E292" t="s">
        <v>492</v>
      </c>
      <c r="F292" t="s">
        <v>13</v>
      </c>
      <c r="G292" t="s">
        <v>20</v>
      </c>
      <c r="H292" t="s">
        <v>21</v>
      </c>
      <c r="I292" t="s">
        <v>16</v>
      </c>
    </row>
    <row r="293" spans="1:9" x14ac:dyDescent="0.4">
      <c r="A293" t="s">
        <v>493</v>
      </c>
      <c r="B293" t="s">
        <v>43</v>
      </c>
      <c r="C293" t="s">
        <v>19</v>
      </c>
      <c r="D293">
        <v>30434</v>
      </c>
      <c r="E293" t="s">
        <v>494</v>
      </c>
      <c r="F293" t="s">
        <v>13</v>
      </c>
      <c r="G293" t="s">
        <v>20</v>
      </c>
      <c r="H293" t="s">
        <v>21</v>
      </c>
      <c r="I293" t="s">
        <v>16</v>
      </c>
    </row>
    <row r="294" spans="1:9" x14ac:dyDescent="0.4">
      <c r="A294" t="s">
        <v>495</v>
      </c>
      <c r="B294" t="s">
        <v>145</v>
      </c>
      <c r="C294" t="s">
        <v>19</v>
      </c>
      <c r="D294">
        <v>501</v>
      </c>
      <c r="E294" t="s">
        <v>494</v>
      </c>
      <c r="F294" t="s">
        <v>13</v>
      </c>
      <c r="G294" t="s">
        <v>20</v>
      </c>
      <c r="H294" t="s">
        <v>21</v>
      </c>
      <c r="I294" t="s">
        <v>16</v>
      </c>
    </row>
    <row r="295" spans="1:9" x14ac:dyDescent="0.4">
      <c r="A295" t="s">
        <v>496</v>
      </c>
      <c r="B295" t="s">
        <v>66</v>
      </c>
      <c r="C295" t="s">
        <v>19</v>
      </c>
      <c r="D295">
        <v>10320</v>
      </c>
      <c r="E295" t="s">
        <v>494</v>
      </c>
      <c r="F295" t="s">
        <v>13</v>
      </c>
      <c r="G295" t="s">
        <v>20</v>
      </c>
      <c r="H295" t="s">
        <v>21</v>
      </c>
      <c r="I295" t="s">
        <v>16</v>
      </c>
    </row>
    <row r="296" spans="1:9" x14ac:dyDescent="0.4">
      <c r="A296" t="s">
        <v>497</v>
      </c>
      <c r="B296" t="s">
        <v>55</v>
      </c>
      <c r="C296" t="s">
        <v>11</v>
      </c>
      <c r="D296">
        <v>1247</v>
      </c>
      <c r="E296" t="s">
        <v>498</v>
      </c>
      <c r="F296" t="s">
        <v>13</v>
      </c>
      <c r="G296" t="s">
        <v>499</v>
      </c>
      <c r="H296" t="s">
        <v>15</v>
      </c>
      <c r="I296" t="s">
        <v>16</v>
      </c>
    </row>
    <row r="297" spans="1:9" x14ac:dyDescent="0.4">
      <c r="A297" t="s">
        <v>500</v>
      </c>
      <c r="B297" t="s">
        <v>26</v>
      </c>
      <c r="C297" t="s">
        <v>19</v>
      </c>
      <c r="D297">
        <v>501</v>
      </c>
      <c r="E297" t="s">
        <v>498</v>
      </c>
      <c r="F297" t="s">
        <v>13</v>
      </c>
      <c r="G297" t="s">
        <v>20</v>
      </c>
      <c r="H297" t="s">
        <v>21</v>
      </c>
      <c r="I297" t="s">
        <v>16</v>
      </c>
    </row>
    <row r="298" spans="1:9" x14ac:dyDescent="0.4">
      <c r="A298" t="s">
        <v>501</v>
      </c>
      <c r="B298" t="s">
        <v>248</v>
      </c>
      <c r="C298" t="s">
        <v>19</v>
      </c>
      <c r="D298">
        <v>1476</v>
      </c>
      <c r="E298" t="s">
        <v>502</v>
      </c>
      <c r="F298" t="s">
        <v>13</v>
      </c>
      <c r="G298" t="s">
        <v>20</v>
      </c>
      <c r="H298" t="s">
        <v>15</v>
      </c>
      <c r="I298" t="s">
        <v>16</v>
      </c>
    </row>
    <row r="299" spans="1:9" x14ac:dyDescent="0.4">
      <c r="A299" t="s">
        <v>503</v>
      </c>
      <c r="B299" t="s">
        <v>55</v>
      </c>
      <c r="C299" t="s">
        <v>11</v>
      </c>
      <c r="D299">
        <v>1949534</v>
      </c>
      <c r="E299" t="s">
        <v>502</v>
      </c>
      <c r="F299" t="s">
        <v>13</v>
      </c>
      <c r="G299" t="s">
        <v>20</v>
      </c>
      <c r="H299" t="s">
        <v>15</v>
      </c>
      <c r="I299" t="s">
        <v>16</v>
      </c>
    </row>
    <row r="300" spans="1:9" x14ac:dyDescent="0.4">
      <c r="A300" t="s">
        <v>504</v>
      </c>
      <c r="B300" t="s">
        <v>10</v>
      </c>
      <c r="C300" t="s">
        <v>19</v>
      </c>
      <c r="D300">
        <v>26055</v>
      </c>
      <c r="E300" t="s">
        <v>502</v>
      </c>
      <c r="F300" t="s">
        <v>13</v>
      </c>
      <c r="G300" t="s">
        <v>20</v>
      </c>
      <c r="H300" t="s">
        <v>21</v>
      </c>
      <c r="I300" t="s">
        <v>16</v>
      </c>
    </row>
    <row r="301" spans="1:9" x14ac:dyDescent="0.4">
      <c r="A301" t="s">
        <v>505</v>
      </c>
      <c r="B301" t="s">
        <v>64</v>
      </c>
      <c r="C301" t="s">
        <v>19</v>
      </c>
      <c r="D301">
        <v>1415</v>
      </c>
      <c r="E301" t="s">
        <v>502</v>
      </c>
      <c r="F301" t="s">
        <v>13</v>
      </c>
      <c r="G301" t="s">
        <v>14</v>
      </c>
      <c r="H301" t="s">
        <v>21</v>
      </c>
      <c r="I301" t="s">
        <v>16</v>
      </c>
    </row>
    <row r="302" spans="1:9" x14ac:dyDescent="0.4">
      <c r="A302" t="s">
        <v>506</v>
      </c>
      <c r="B302" t="s">
        <v>138</v>
      </c>
      <c r="C302" t="s">
        <v>19</v>
      </c>
      <c r="D302">
        <v>11273</v>
      </c>
      <c r="E302" t="s">
        <v>507</v>
      </c>
      <c r="F302" t="s">
        <v>13</v>
      </c>
      <c r="G302" t="s">
        <v>20</v>
      </c>
      <c r="H302" t="s">
        <v>21</v>
      </c>
      <c r="I302" t="s">
        <v>16</v>
      </c>
    </row>
    <row r="303" spans="1:9" x14ac:dyDescent="0.4">
      <c r="A303" t="s">
        <v>508</v>
      </c>
      <c r="B303" t="s">
        <v>43</v>
      </c>
      <c r="C303" t="s">
        <v>19</v>
      </c>
      <c r="D303">
        <v>7447</v>
      </c>
      <c r="E303" t="s">
        <v>507</v>
      </c>
      <c r="F303" t="s">
        <v>13</v>
      </c>
      <c r="G303" t="s">
        <v>14</v>
      </c>
      <c r="H303" t="s">
        <v>21</v>
      </c>
      <c r="I303" t="s">
        <v>16</v>
      </c>
    </row>
    <row r="304" spans="1:9" x14ac:dyDescent="0.4">
      <c r="A304" t="s">
        <v>509</v>
      </c>
      <c r="B304" t="s">
        <v>116</v>
      </c>
      <c r="C304" t="s">
        <v>19</v>
      </c>
      <c r="D304">
        <v>7020</v>
      </c>
      <c r="E304" t="s">
        <v>510</v>
      </c>
      <c r="F304" t="s">
        <v>13</v>
      </c>
      <c r="G304" t="s">
        <v>14</v>
      </c>
      <c r="H304" t="s">
        <v>21</v>
      </c>
      <c r="I304" t="s">
        <v>16</v>
      </c>
    </row>
    <row r="305" spans="1:9" x14ac:dyDescent="0.4">
      <c r="A305" t="s">
        <v>511</v>
      </c>
      <c r="B305" t="s">
        <v>138</v>
      </c>
      <c r="C305" t="s">
        <v>11</v>
      </c>
      <c r="D305">
        <v>18313</v>
      </c>
      <c r="E305" t="s">
        <v>512</v>
      </c>
      <c r="F305" t="s">
        <v>13</v>
      </c>
      <c r="G305" t="s">
        <v>20</v>
      </c>
      <c r="H305" t="s">
        <v>15</v>
      </c>
      <c r="I305" t="s">
        <v>16</v>
      </c>
    </row>
    <row r="306" spans="1:9" x14ac:dyDescent="0.4">
      <c r="A306" t="s">
        <v>513</v>
      </c>
      <c r="B306" t="s">
        <v>104</v>
      </c>
      <c r="C306" t="s">
        <v>34</v>
      </c>
      <c r="D306">
        <v>4725</v>
      </c>
      <c r="E306" t="s">
        <v>512</v>
      </c>
      <c r="F306" t="s">
        <v>13</v>
      </c>
      <c r="G306" t="s">
        <v>20</v>
      </c>
      <c r="H306" t="s">
        <v>21</v>
      </c>
      <c r="I306" t="s">
        <v>16</v>
      </c>
    </row>
    <row r="307" spans="1:9" x14ac:dyDescent="0.4">
      <c r="A307" t="s">
        <v>514</v>
      </c>
      <c r="B307" t="s">
        <v>141</v>
      </c>
      <c r="C307" t="s">
        <v>11</v>
      </c>
      <c r="D307">
        <v>44425</v>
      </c>
      <c r="E307" t="s">
        <v>515</v>
      </c>
      <c r="F307" t="s">
        <v>13</v>
      </c>
      <c r="G307" t="s">
        <v>20</v>
      </c>
      <c r="H307" t="s">
        <v>15</v>
      </c>
      <c r="I307" t="s">
        <v>16</v>
      </c>
    </row>
    <row r="308" spans="1:9" x14ac:dyDescent="0.4">
      <c r="A308" t="s">
        <v>516</v>
      </c>
      <c r="B308" t="s">
        <v>75</v>
      </c>
      <c r="C308" t="s">
        <v>19</v>
      </c>
      <c r="D308">
        <v>501</v>
      </c>
      <c r="E308" t="s">
        <v>517</v>
      </c>
      <c r="F308" t="s">
        <v>13</v>
      </c>
      <c r="G308" t="s">
        <v>20</v>
      </c>
      <c r="H308" t="s">
        <v>21</v>
      </c>
      <c r="I308" t="s">
        <v>16</v>
      </c>
    </row>
    <row r="309" spans="1:9" x14ac:dyDescent="0.4">
      <c r="A309" t="s">
        <v>518</v>
      </c>
      <c r="B309" t="s">
        <v>60</v>
      </c>
      <c r="C309" t="s">
        <v>19</v>
      </c>
      <c r="D309">
        <v>3722</v>
      </c>
      <c r="E309" t="s">
        <v>517</v>
      </c>
      <c r="F309" t="s">
        <v>13</v>
      </c>
      <c r="G309" t="s">
        <v>20</v>
      </c>
      <c r="H309" t="s">
        <v>21</v>
      </c>
      <c r="I309" t="s">
        <v>16</v>
      </c>
    </row>
    <row r="310" spans="1:9" x14ac:dyDescent="0.4">
      <c r="A310" t="s">
        <v>519</v>
      </c>
      <c r="B310" t="s">
        <v>182</v>
      </c>
      <c r="C310" t="s">
        <v>19</v>
      </c>
      <c r="D310">
        <v>11818</v>
      </c>
      <c r="E310" t="s">
        <v>517</v>
      </c>
      <c r="F310" t="s">
        <v>13</v>
      </c>
      <c r="G310" t="s">
        <v>20</v>
      </c>
      <c r="H310" t="s">
        <v>21</v>
      </c>
      <c r="I310" t="s">
        <v>16</v>
      </c>
    </row>
    <row r="311" spans="1:9" x14ac:dyDescent="0.4">
      <c r="A311" t="s">
        <v>520</v>
      </c>
      <c r="B311" t="s">
        <v>138</v>
      </c>
      <c r="C311" t="s">
        <v>19</v>
      </c>
      <c r="D311">
        <v>501</v>
      </c>
      <c r="E311" t="s">
        <v>521</v>
      </c>
      <c r="F311" t="s">
        <v>13</v>
      </c>
      <c r="G311" t="s">
        <v>20</v>
      </c>
      <c r="H311" t="s">
        <v>21</v>
      </c>
      <c r="I311" t="s">
        <v>16</v>
      </c>
    </row>
    <row r="312" spans="1:9" x14ac:dyDescent="0.4">
      <c r="A312" t="s">
        <v>522</v>
      </c>
      <c r="B312" t="s">
        <v>10</v>
      </c>
      <c r="C312" t="s">
        <v>19</v>
      </c>
      <c r="D312">
        <v>2074</v>
      </c>
      <c r="E312" t="s">
        <v>521</v>
      </c>
      <c r="F312" t="s">
        <v>13</v>
      </c>
      <c r="G312" t="s">
        <v>20</v>
      </c>
      <c r="H312" t="s">
        <v>15</v>
      </c>
      <c r="I312" t="s">
        <v>16</v>
      </c>
    </row>
    <row r="313" spans="1:9" x14ac:dyDescent="0.4">
      <c r="A313" t="s">
        <v>523</v>
      </c>
      <c r="B313" t="s">
        <v>43</v>
      </c>
      <c r="C313" t="s">
        <v>19</v>
      </c>
      <c r="D313">
        <v>1406</v>
      </c>
      <c r="E313" t="s">
        <v>524</v>
      </c>
      <c r="F313" t="s">
        <v>13</v>
      </c>
      <c r="G313" t="s">
        <v>14</v>
      </c>
      <c r="H313" t="s">
        <v>21</v>
      </c>
      <c r="I313" t="s">
        <v>16</v>
      </c>
    </row>
    <row r="314" spans="1:9" x14ac:dyDescent="0.4">
      <c r="A314" t="s">
        <v>525</v>
      </c>
      <c r="B314" t="s">
        <v>71</v>
      </c>
      <c r="C314" t="s">
        <v>19</v>
      </c>
      <c r="D314">
        <v>1800</v>
      </c>
      <c r="E314" t="s">
        <v>524</v>
      </c>
      <c r="F314" t="s">
        <v>13</v>
      </c>
      <c r="G314" t="s">
        <v>20</v>
      </c>
      <c r="H314" t="s">
        <v>21</v>
      </c>
      <c r="I314" t="s">
        <v>16</v>
      </c>
    </row>
    <row r="315" spans="1:9" x14ac:dyDescent="0.4">
      <c r="A315" t="s">
        <v>526</v>
      </c>
      <c r="B315" t="s">
        <v>41</v>
      </c>
      <c r="C315" t="s">
        <v>34</v>
      </c>
      <c r="D315">
        <v>3340</v>
      </c>
      <c r="E315" t="s">
        <v>524</v>
      </c>
      <c r="F315" t="s">
        <v>13</v>
      </c>
      <c r="G315" t="s">
        <v>20</v>
      </c>
      <c r="H315" t="s">
        <v>15</v>
      </c>
      <c r="I315" t="s">
        <v>16</v>
      </c>
    </row>
    <row r="316" spans="1:9" x14ac:dyDescent="0.4">
      <c r="A316" t="s">
        <v>527</v>
      </c>
      <c r="B316" t="s">
        <v>10</v>
      </c>
      <c r="C316" t="s">
        <v>34</v>
      </c>
      <c r="D316">
        <v>68066</v>
      </c>
      <c r="E316" t="s">
        <v>528</v>
      </c>
      <c r="F316" t="s">
        <v>13</v>
      </c>
      <c r="G316" t="s">
        <v>20</v>
      </c>
      <c r="H316" t="s">
        <v>15</v>
      </c>
      <c r="I316" t="s">
        <v>16</v>
      </c>
    </row>
    <row r="317" spans="1:9" x14ac:dyDescent="0.4">
      <c r="A317" t="s">
        <v>529</v>
      </c>
      <c r="B317" t="s">
        <v>60</v>
      </c>
      <c r="C317" t="s">
        <v>11</v>
      </c>
      <c r="D317">
        <v>28185</v>
      </c>
      <c r="E317" t="s">
        <v>528</v>
      </c>
      <c r="F317" t="s">
        <v>13</v>
      </c>
      <c r="G317" t="s">
        <v>20</v>
      </c>
      <c r="H317" t="s">
        <v>15</v>
      </c>
      <c r="I317" t="s">
        <v>16</v>
      </c>
    </row>
    <row r="318" spans="1:9" x14ac:dyDescent="0.4">
      <c r="A318" t="s">
        <v>530</v>
      </c>
      <c r="B318" t="s">
        <v>77</v>
      </c>
      <c r="C318" t="s">
        <v>19</v>
      </c>
      <c r="D318">
        <v>1258</v>
      </c>
      <c r="E318" t="s">
        <v>531</v>
      </c>
      <c r="F318" t="s">
        <v>13</v>
      </c>
      <c r="G318" t="s">
        <v>14</v>
      </c>
      <c r="H318" t="s">
        <v>21</v>
      </c>
      <c r="I318" t="s">
        <v>16</v>
      </c>
    </row>
    <row r="319" spans="1:9" x14ac:dyDescent="0.4">
      <c r="A319" t="s">
        <v>532</v>
      </c>
      <c r="B319" t="s">
        <v>10</v>
      </c>
      <c r="C319" t="s">
        <v>19</v>
      </c>
      <c r="D319">
        <v>6847</v>
      </c>
      <c r="E319" t="s">
        <v>531</v>
      </c>
      <c r="F319" t="s">
        <v>13</v>
      </c>
      <c r="G319" t="s">
        <v>14</v>
      </c>
      <c r="H319" t="s">
        <v>21</v>
      </c>
      <c r="I319" t="s">
        <v>16</v>
      </c>
    </row>
    <row r="320" spans="1:9" x14ac:dyDescent="0.4">
      <c r="A320" t="s">
        <v>533</v>
      </c>
      <c r="B320" t="s">
        <v>26</v>
      </c>
      <c r="C320" t="s">
        <v>19</v>
      </c>
      <c r="D320">
        <v>1638</v>
      </c>
      <c r="E320" t="s">
        <v>531</v>
      </c>
      <c r="F320" t="s">
        <v>13</v>
      </c>
      <c r="G320" t="s">
        <v>14</v>
      </c>
      <c r="H320" t="s">
        <v>21</v>
      </c>
      <c r="I320" t="s">
        <v>16</v>
      </c>
    </row>
    <row r="321" spans="1:9" x14ac:dyDescent="0.4">
      <c r="A321" t="s">
        <v>534</v>
      </c>
      <c r="B321" t="s">
        <v>345</v>
      </c>
      <c r="C321" t="s">
        <v>19</v>
      </c>
      <c r="D321">
        <v>959</v>
      </c>
      <c r="E321" t="s">
        <v>531</v>
      </c>
      <c r="F321" t="s">
        <v>13</v>
      </c>
      <c r="G321" t="s">
        <v>20</v>
      </c>
      <c r="H321" t="s">
        <v>21</v>
      </c>
      <c r="I321" t="s">
        <v>16</v>
      </c>
    </row>
    <row r="322" spans="1:9" x14ac:dyDescent="0.4">
      <c r="A322" t="s">
        <v>535</v>
      </c>
      <c r="B322" t="s">
        <v>66</v>
      </c>
      <c r="C322" t="s">
        <v>19</v>
      </c>
      <c r="D322">
        <v>70211</v>
      </c>
      <c r="E322" t="s">
        <v>536</v>
      </c>
      <c r="F322" t="s">
        <v>13</v>
      </c>
      <c r="G322" t="s">
        <v>20</v>
      </c>
      <c r="H322" t="s">
        <v>21</v>
      </c>
      <c r="I322" t="s">
        <v>16</v>
      </c>
    </row>
    <row r="323" spans="1:9" x14ac:dyDescent="0.4">
      <c r="A323" t="s">
        <v>537</v>
      </c>
      <c r="B323" t="s">
        <v>345</v>
      </c>
      <c r="C323" t="s">
        <v>34</v>
      </c>
      <c r="D323">
        <v>26343</v>
      </c>
      <c r="E323" t="s">
        <v>536</v>
      </c>
      <c r="F323" t="s">
        <v>13</v>
      </c>
      <c r="G323" t="s">
        <v>20</v>
      </c>
      <c r="H323" t="s">
        <v>21</v>
      </c>
      <c r="I323" t="s">
        <v>16</v>
      </c>
    </row>
    <row r="324" spans="1:9" x14ac:dyDescent="0.4">
      <c r="A324" t="s">
        <v>538</v>
      </c>
      <c r="B324" t="s">
        <v>104</v>
      </c>
      <c r="C324" t="s">
        <v>11</v>
      </c>
      <c r="D324">
        <v>501</v>
      </c>
      <c r="E324" t="s">
        <v>539</v>
      </c>
      <c r="F324" t="s">
        <v>13</v>
      </c>
      <c r="G324" t="s">
        <v>20</v>
      </c>
      <c r="H324" t="s">
        <v>15</v>
      </c>
      <c r="I324" t="s">
        <v>16</v>
      </c>
    </row>
    <row r="325" spans="1:9" x14ac:dyDescent="0.4">
      <c r="A325" t="s">
        <v>540</v>
      </c>
      <c r="B325" t="s">
        <v>71</v>
      </c>
      <c r="C325" t="s">
        <v>19</v>
      </c>
      <c r="D325">
        <v>4035</v>
      </c>
      <c r="E325" t="s">
        <v>541</v>
      </c>
      <c r="F325" t="s">
        <v>13</v>
      </c>
      <c r="G325" t="s">
        <v>20</v>
      </c>
      <c r="H325" t="s">
        <v>21</v>
      </c>
      <c r="I325" t="s">
        <v>16</v>
      </c>
    </row>
    <row r="326" spans="1:9" x14ac:dyDescent="0.4">
      <c r="A326" t="s">
        <v>542</v>
      </c>
      <c r="B326" t="s">
        <v>248</v>
      </c>
      <c r="C326" t="s">
        <v>34</v>
      </c>
      <c r="D326">
        <v>6988</v>
      </c>
      <c r="E326" t="s">
        <v>543</v>
      </c>
      <c r="F326" t="s">
        <v>68</v>
      </c>
      <c r="G326" t="s">
        <v>20</v>
      </c>
      <c r="H326" t="s">
        <v>21</v>
      </c>
      <c r="I326" t="s">
        <v>16</v>
      </c>
    </row>
    <row r="327" spans="1:9" x14ac:dyDescent="0.4">
      <c r="A327" t="s">
        <v>544</v>
      </c>
      <c r="B327" t="s">
        <v>251</v>
      </c>
      <c r="C327" t="s">
        <v>19</v>
      </c>
      <c r="D327">
        <v>501</v>
      </c>
      <c r="E327" t="s">
        <v>545</v>
      </c>
      <c r="F327" t="s">
        <v>13</v>
      </c>
      <c r="G327" t="s">
        <v>20</v>
      </c>
      <c r="H327" t="s">
        <v>21</v>
      </c>
      <c r="I327" t="s">
        <v>16</v>
      </c>
    </row>
    <row r="328" spans="1:9" x14ac:dyDescent="0.4">
      <c r="A328" t="s">
        <v>546</v>
      </c>
      <c r="B328" t="s">
        <v>10</v>
      </c>
      <c r="C328" t="s">
        <v>19</v>
      </c>
      <c r="D328">
        <v>80521</v>
      </c>
      <c r="E328" t="s">
        <v>547</v>
      </c>
      <c r="F328" t="s">
        <v>13</v>
      </c>
      <c r="G328" t="s">
        <v>20</v>
      </c>
      <c r="H328" t="s">
        <v>21</v>
      </c>
      <c r="I328" t="s">
        <v>16</v>
      </c>
    </row>
    <row r="329" spans="1:9" x14ac:dyDescent="0.4">
      <c r="A329" t="s">
        <v>548</v>
      </c>
      <c r="B329" t="s">
        <v>60</v>
      </c>
      <c r="C329" t="s">
        <v>19</v>
      </c>
      <c r="D329">
        <v>501</v>
      </c>
      <c r="E329" t="s">
        <v>549</v>
      </c>
      <c r="F329" t="s">
        <v>13</v>
      </c>
      <c r="G329" t="s">
        <v>20</v>
      </c>
      <c r="H329" t="s">
        <v>21</v>
      </c>
      <c r="I329" t="s">
        <v>16</v>
      </c>
    </row>
    <row r="330" spans="1:9" x14ac:dyDescent="0.4">
      <c r="A330" t="s">
        <v>550</v>
      </c>
      <c r="B330" t="s">
        <v>47</v>
      </c>
      <c r="C330" t="s">
        <v>19</v>
      </c>
      <c r="D330">
        <v>501</v>
      </c>
      <c r="E330" t="s">
        <v>549</v>
      </c>
      <c r="F330" t="s">
        <v>13</v>
      </c>
      <c r="G330" t="s">
        <v>20</v>
      </c>
      <c r="H330" t="s">
        <v>21</v>
      </c>
      <c r="I330" t="s">
        <v>16</v>
      </c>
    </row>
    <row r="331" spans="1:9" x14ac:dyDescent="0.4">
      <c r="A331" t="s">
        <v>551</v>
      </c>
      <c r="B331" t="s">
        <v>160</v>
      </c>
      <c r="C331" t="s">
        <v>19</v>
      </c>
      <c r="D331">
        <v>32090</v>
      </c>
      <c r="E331" t="s">
        <v>549</v>
      </c>
      <c r="F331" t="s">
        <v>13</v>
      </c>
      <c r="G331" t="s">
        <v>20</v>
      </c>
      <c r="H331" t="s">
        <v>21</v>
      </c>
      <c r="I331" t="s">
        <v>16</v>
      </c>
    </row>
    <row r="332" spans="1:9" x14ac:dyDescent="0.4">
      <c r="A332" t="s">
        <v>552</v>
      </c>
      <c r="B332" t="s">
        <v>71</v>
      </c>
      <c r="C332" t="s">
        <v>19</v>
      </c>
      <c r="D332">
        <v>91513</v>
      </c>
      <c r="E332" t="s">
        <v>553</v>
      </c>
      <c r="F332" t="s">
        <v>13</v>
      </c>
      <c r="G332" t="s">
        <v>20</v>
      </c>
      <c r="H332" t="s">
        <v>21</v>
      </c>
      <c r="I332" t="s">
        <v>16</v>
      </c>
    </row>
    <row r="333" spans="1:9" x14ac:dyDescent="0.4">
      <c r="A333" t="s">
        <v>554</v>
      </c>
      <c r="B333" t="s">
        <v>104</v>
      </c>
      <c r="C333" t="s">
        <v>19</v>
      </c>
      <c r="D333">
        <v>16278</v>
      </c>
      <c r="E333" t="s">
        <v>555</v>
      </c>
      <c r="F333" t="s">
        <v>13</v>
      </c>
      <c r="G333" t="s">
        <v>14</v>
      </c>
      <c r="H333" t="s">
        <v>21</v>
      </c>
      <c r="I333" t="s">
        <v>16</v>
      </c>
    </row>
    <row r="334" spans="1:9" x14ac:dyDescent="0.4">
      <c r="A334" t="s">
        <v>556</v>
      </c>
      <c r="B334" t="s">
        <v>66</v>
      </c>
      <c r="C334" t="s">
        <v>11</v>
      </c>
      <c r="D334">
        <v>2072</v>
      </c>
      <c r="E334" t="s">
        <v>557</v>
      </c>
      <c r="F334" t="s">
        <v>68</v>
      </c>
      <c r="G334" t="s">
        <v>14</v>
      </c>
      <c r="H334" t="s">
        <v>15</v>
      </c>
      <c r="I334" t="s">
        <v>16</v>
      </c>
    </row>
    <row r="335" spans="1:9" x14ac:dyDescent="0.4">
      <c r="A335" t="s">
        <v>558</v>
      </c>
      <c r="B335" t="s">
        <v>64</v>
      </c>
      <c r="C335" t="s">
        <v>19</v>
      </c>
      <c r="D335">
        <v>1629</v>
      </c>
      <c r="E335" t="s">
        <v>559</v>
      </c>
      <c r="F335" t="s">
        <v>68</v>
      </c>
      <c r="G335" t="s">
        <v>196</v>
      </c>
      <c r="H335" t="s">
        <v>21</v>
      </c>
      <c r="I335" t="s">
        <v>16</v>
      </c>
    </row>
    <row r="336" spans="1:9" x14ac:dyDescent="0.4">
      <c r="A336" t="s">
        <v>560</v>
      </c>
      <c r="B336" t="s">
        <v>104</v>
      </c>
      <c r="C336" t="s">
        <v>11</v>
      </c>
      <c r="D336">
        <v>104071</v>
      </c>
      <c r="E336" t="s">
        <v>559</v>
      </c>
      <c r="F336" t="s">
        <v>13</v>
      </c>
      <c r="G336" t="s">
        <v>20</v>
      </c>
      <c r="H336" t="s">
        <v>15</v>
      </c>
      <c r="I336" t="s">
        <v>16</v>
      </c>
    </row>
    <row r="337" spans="1:9" x14ac:dyDescent="0.4">
      <c r="A337" t="s">
        <v>561</v>
      </c>
      <c r="B337" t="s">
        <v>26</v>
      </c>
      <c r="C337" t="s">
        <v>19</v>
      </c>
      <c r="D337">
        <v>500</v>
      </c>
      <c r="E337" t="s">
        <v>559</v>
      </c>
      <c r="F337" t="s">
        <v>13</v>
      </c>
      <c r="G337" t="s">
        <v>20</v>
      </c>
      <c r="H337" t="s">
        <v>21</v>
      </c>
      <c r="I337" t="s">
        <v>16</v>
      </c>
    </row>
    <row r="338" spans="1:9" x14ac:dyDescent="0.4">
      <c r="A338" t="s">
        <v>562</v>
      </c>
      <c r="B338" t="s">
        <v>64</v>
      </c>
      <c r="C338" t="s">
        <v>19</v>
      </c>
      <c r="D338">
        <v>4943</v>
      </c>
      <c r="E338" t="s">
        <v>559</v>
      </c>
      <c r="F338" t="s">
        <v>13</v>
      </c>
      <c r="G338" t="s">
        <v>20</v>
      </c>
      <c r="H338" t="s">
        <v>21</v>
      </c>
      <c r="I338" t="s">
        <v>16</v>
      </c>
    </row>
    <row r="339" spans="1:9" x14ac:dyDescent="0.4">
      <c r="A339" t="s">
        <v>563</v>
      </c>
      <c r="B339" t="s">
        <v>77</v>
      </c>
      <c r="C339" t="s">
        <v>19</v>
      </c>
      <c r="D339">
        <v>54570</v>
      </c>
      <c r="E339" t="s">
        <v>559</v>
      </c>
      <c r="F339" t="s">
        <v>13</v>
      </c>
      <c r="G339" t="s">
        <v>20</v>
      </c>
      <c r="H339" t="s">
        <v>21</v>
      </c>
      <c r="I339" t="s">
        <v>16</v>
      </c>
    </row>
    <row r="340" spans="1:9" x14ac:dyDescent="0.4">
      <c r="A340" t="s">
        <v>564</v>
      </c>
      <c r="B340" t="s">
        <v>26</v>
      </c>
      <c r="C340" t="s">
        <v>19</v>
      </c>
      <c r="D340">
        <v>501</v>
      </c>
      <c r="E340" t="s">
        <v>559</v>
      </c>
      <c r="F340" t="s">
        <v>13</v>
      </c>
      <c r="G340" t="s">
        <v>20</v>
      </c>
      <c r="H340" t="s">
        <v>21</v>
      </c>
      <c r="I340" t="s">
        <v>16</v>
      </c>
    </row>
    <row r="341" spans="1:9" x14ac:dyDescent="0.4">
      <c r="A341" t="s">
        <v>565</v>
      </c>
      <c r="B341" t="s">
        <v>71</v>
      </c>
      <c r="C341" t="s">
        <v>19</v>
      </c>
      <c r="D341">
        <v>6855</v>
      </c>
      <c r="E341" t="s">
        <v>566</v>
      </c>
      <c r="F341" t="s">
        <v>13</v>
      </c>
      <c r="G341" t="s">
        <v>51</v>
      </c>
      <c r="H341" t="s">
        <v>15</v>
      </c>
      <c r="I341" t="s">
        <v>16</v>
      </c>
    </row>
    <row r="342" spans="1:9" x14ac:dyDescent="0.4">
      <c r="A342" t="s">
        <v>567</v>
      </c>
      <c r="B342" t="s">
        <v>248</v>
      </c>
      <c r="C342" t="s">
        <v>19</v>
      </c>
      <c r="D342">
        <v>1000</v>
      </c>
      <c r="E342" t="s">
        <v>568</v>
      </c>
      <c r="F342" t="s">
        <v>13</v>
      </c>
      <c r="G342" t="s">
        <v>14</v>
      </c>
      <c r="H342" t="s">
        <v>21</v>
      </c>
      <c r="I342" t="s">
        <v>16</v>
      </c>
    </row>
    <row r="343" spans="1:9" x14ac:dyDescent="0.4">
      <c r="A343" t="s">
        <v>569</v>
      </c>
      <c r="B343" t="s">
        <v>10</v>
      </c>
      <c r="C343" t="s">
        <v>19</v>
      </c>
      <c r="D343">
        <v>29517</v>
      </c>
      <c r="E343" t="s">
        <v>568</v>
      </c>
      <c r="F343" t="s">
        <v>13</v>
      </c>
      <c r="G343" t="s">
        <v>14</v>
      </c>
      <c r="H343" t="s">
        <v>21</v>
      </c>
      <c r="I343" t="s">
        <v>16</v>
      </c>
    </row>
    <row r="344" spans="1:9" x14ac:dyDescent="0.4">
      <c r="A344" t="s">
        <v>570</v>
      </c>
      <c r="B344" t="s">
        <v>274</v>
      </c>
      <c r="C344" t="s">
        <v>19</v>
      </c>
      <c r="D344">
        <v>4519</v>
      </c>
      <c r="E344" t="s">
        <v>568</v>
      </c>
      <c r="F344" t="s">
        <v>13</v>
      </c>
      <c r="G344" t="s">
        <v>20</v>
      </c>
      <c r="H344" t="s">
        <v>21</v>
      </c>
      <c r="I344" t="s">
        <v>16</v>
      </c>
    </row>
    <row r="345" spans="1:9" x14ac:dyDescent="0.4">
      <c r="A345" t="s">
        <v>571</v>
      </c>
      <c r="B345" t="s">
        <v>86</v>
      </c>
      <c r="C345" t="s">
        <v>19</v>
      </c>
      <c r="D345">
        <v>2511</v>
      </c>
      <c r="E345" t="s">
        <v>572</v>
      </c>
      <c r="F345" t="s">
        <v>13</v>
      </c>
      <c r="G345" t="s">
        <v>20</v>
      </c>
      <c r="H345" t="s">
        <v>21</v>
      </c>
      <c r="I345" t="s">
        <v>16</v>
      </c>
    </row>
    <row r="346" spans="1:9" x14ac:dyDescent="0.4">
      <c r="A346" t="s">
        <v>573</v>
      </c>
      <c r="B346" t="s">
        <v>10</v>
      </c>
      <c r="C346" t="s">
        <v>19</v>
      </c>
      <c r="D346">
        <v>35236</v>
      </c>
      <c r="E346" t="s">
        <v>572</v>
      </c>
      <c r="F346" t="s">
        <v>13</v>
      </c>
      <c r="G346" t="s">
        <v>20</v>
      </c>
      <c r="H346" t="s">
        <v>21</v>
      </c>
      <c r="I346" t="s">
        <v>16</v>
      </c>
    </row>
    <row r="347" spans="1:9" x14ac:dyDescent="0.4">
      <c r="A347" t="s">
        <v>574</v>
      </c>
      <c r="B347" t="s">
        <v>248</v>
      </c>
      <c r="C347" t="s">
        <v>19</v>
      </c>
      <c r="D347">
        <v>4859</v>
      </c>
      <c r="E347" t="s">
        <v>575</v>
      </c>
      <c r="F347" t="s">
        <v>13</v>
      </c>
      <c r="G347" t="s">
        <v>20</v>
      </c>
      <c r="H347" t="s">
        <v>21</v>
      </c>
      <c r="I347" t="s">
        <v>16</v>
      </c>
    </row>
    <row r="348" spans="1:9" x14ac:dyDescent="0.4">
      <c r="A348" t="s">
        <v>576</v>
      </c>
      <c r="B348" t="s">
        <v>55</v>
      </c>
      <c r="C348" t="s">
        <v>19</v>
      </c>
      <c r="D348">
        <v>94131</v>
      </c>
      <c r="E348" t="s">
        <v>575</v>
      </c>
      <c r="F348" t="s">
        <v>13</v>
      </c>
      <c r="G348" t="s">
        <v>20</v>
      </c>
      <c r="H348" t="s">
        <v>21</v>
      </c>
      <c r="I348" t="s">
        <v>16</v>
      </c>
    </row>
    <row r="349" spans="1:9" x14ac:dyDescent="0.4">
      <c r="A349" t="s">
        <v>577</v>
      </c>
      <c r="B349" t="s">
        <v>182</v>
      </c>
      <c r="C349" t="s">
        <v>19</v>
      </c>
      <c r="D349">
        <v>501</v>
      </c>
      <c r="E349" t="s">
        <v>578</v>
      </c>
      <c r="F349" t="s">
        <v>13</v>
      </c>
      <c r="G349" t="s">
        <v>14</v>
      </c>
      <c r="H349" t="s">
        <v>21</v>
      </c>
      <c r="I349" t="s">
        <v>16</v>
      </c>
    </row>
    <row r="350" spans="1:9" x14ac:dyDescent="0.4">
      <c r="A350" t="s">
        <v>560</v>
      </c>
      <c r="B350" t="s">
        <v>104</v>
      </c>
      <c r="C350" t="s">
        <v>11</v>
      </c>
      <c r="D350">
        <v>5901</v>
      </c>
      <c r="E350" t="s">
        <v>579</v>
      </c>
      <c r="F350" t="s">
        <v>13</v>
      </c>
      <c r="G350" t="s">
        <v>20</v>
      </c>
      <c r="H350" t="s">
        <v>15</v>
      </c>
      <c r="I350" t="s">
        <v>16</v>
      </c>
    </row>
    <row r="351" spans="1:9" x14ac:dyDescent="0.4">
      <c r="A351" t="s">
        <v>560</v>
      </c>
      <c r="B351" t="s">
        <v>104</v>
      </c>
      <c r="C351" t="s">
        <v>11</v>
      </c>
      <c r="D351">
        <v>9206</v>
      </c>
      <c r="E351" t="s">
        <v>579</v>
      </c>
      <c r="F351" t="s">
        <v>13</v>
      </c>
      <c r="G351" t="s">
        <v>20</v>
      </c>
      <c r="H351" t="s">
        <v>15</v>
      </c>
      <c r="I351" t="s">
        <v>16</v>
      </c>
    </row>
    <row r="352" spans="1:9" x14ac:dyDescent="0.4">
      <c r="A352" t="s">
        <v>560</v>
      </c>
      <c r="B352" t="s">
        <v>104</v>
      </c>
      <c r="C352" t="s">
        <v>11</v>
      </c>
      <c r="D352">
        <v>20641</v>
      </c>
      <c r="E352" t="s">
        <v>579</v>
      </c>
      <c r="F352" t="s">
        <v>13</v>
      </c>
      <c r="G352" t="s">
        <v>20</v>
      </c>
      <c r="H352" t="s">
        <v>15</v>
      </c>
      <c r="I352" t="s">
        <v>16</v>
      </c>
    </row>
    <row r="353" spans="1:9" x14ac:dyDescent="0.4">
      <c r="A353" t="s">
        <v>580</v>
      </c>
      <c r="B353" t="s">
        <v>55</v>
      </c>
      <c r="C353" t="s">
        <v>19</v>
      </c>
      <c r="D353">
        <v>64332</v>
      </c>
      <c r="E353" t="s">
        <v>579</v>
      </c>
      <c r="F353" t="s">
        <v>13</v>
      </c>
      <c r="G353" t="s">
        <v>20</v>
      </c>
      <c r="H353" t="s">
        <v>21</v>
      </c>
      <c r="I353" t="s">
        <v>16</v>
      </c>
    </row>
    <row r="354" spans="1:9" x14ac:dyDescent="0.4">
      <c r="A354" t="s">
        <v>581</v>
      </c>
      <c r="B354" t="s">
        <v>10</v>
      </c>
      <c r="C354" t="s">
        <v>11</v>
      </c>
      <c r="D354">
        <v>73720</v>
      </c>
      <c r="E354" t="s">
        <v>582</v>
      </c>
      <c r="F354" t="s">
        <v>13</v>
      </c>
      <c r="G354" t="s">
        <v>20</v>
      </c>
      <c r="H354" t="s">
        <v>15</v>
      </c>
      <c r="I354" t="s">
        <v>16</v>
      </c>
    </row>
    <row r="355" spans="1:9" x14ac:dyDescent="0.4">
      <c r="A355" t="s">
        <v>583</v>
      </c>
      <c r="B355" t="s">
        <v>91</v>
      </c>
      <c r="C355" t="s">
        <v>19</v>
      </c>
      <c r="D355">
        <v>500</v>
      </c>
      <c r="E355" t="s">
        <v>582</v>
      </c>
      <c r="F355" t="s">
        <v>13</v>
      </c>
      <c r="G355" t="s">
        <v>20</v>
      </c>
      <c r="H355" t="s">
        <v>21</v>
      </c>
      <c r="I355" t="s">
        <v>16</v>
      </c>
    </row>
    <row r="356" spans="1:9" x14ac:dyDescent="0.4">
      <c r="A356" t="s">
        <v>584</v>
      </c>
      <c r="B356" t="s">
        <v>66</v>
      </c>
      <c r="C356" t="s">
        <v>34</v>
      </c>
      <c r="D356">
        <v>1066</v>
      </c>
      <c r="E356" t="s">
        <v>585</v>
      </c>
      <c r="F356" t="s">
        <v>13</v>
      </c>
      <c r="G356" t="s">
        <v>20</v>
      </c>
      <c r="H356" t="s">
        <v>15</v>
      </c>
      <c r="I356" t="s">
        <v>16</v>
      </c>
    </row>
    <row r="357" spans="1:9" x14ac:dyDescent="0.4">
      <c r="A357" t="s">
        <v>586</v>
      </c>
      <c r="B357" t="s">
        <v>71</v>
      </c>
      <c r="C357" t="s">
        <v>11</v>
      </c>
      <c r="D357">
        <v>987</v>
      </c>
      <c r="E357" t="s">
        <v>587</v>
      </c>
      <c r="F357" t="s">
        <v>13</v>
      </c>
      <c r="G357" t="s">
        <v>20</v>
      </c>
      <c r="H357" t="s">
        <v>15</v>
      </c>
      <c r="I357" t="s">
        <v>16</v>
      </c>
    </row>
    <row r="358" spans="1:9" x14ac:dyDescent="0.4">
      <c r="A358" t="s">
        <v>588</v>
      </c>
      <c r="B358" t="s">
        <v>141</v>
      </c>
      <c r="C358" t="s">
        <v>19</v>
      </c>
      <c r="D358">
        <v>113232</v>
      </c>
      <c r="E358" t="s">
        <v>589</v>
      </c>
      <c r="F358" t="s">
        <v>13</v>
      </c>
      <c r="G358" t="s">
        <v>20</v>
      </c>
      <c r="H358" t="s">
        <v>21</v>
      </c>
      <c r="I358" t="s">
        <v>16</v>
      </c>
    </row>
    <row r="359" spans="1:9" x14ac:dyDescent="0.4">
      <c r="A359" t="s">
        <v>590</v>
      </c>
      <c r="B359" t="s">
        <v>10</v>
      </c>
      <c r="C359" t="s">
        <v>19</v>
      </c>
      <c r="D359">
        <v>88863</v>
      </c>
      <c r="E359" t="s">
        <v>589</v>
      </c>
      <c r="F359" t="s">
        <v>13</v>
      </c>
      <c r="G359" t="s">
        <v>20</v>
      </c>
      <c r="H359" t="s">
        <v>21</v>
      </c>
      <c r="I359" t="s">
        <v>16</v>
      </c>
    </row>
    <row r="360" spans="1:9" x14ac:dyDescent="0.4">
      <c r="A360" t="s">
        <v>591</v>
      </c>
      <c r="B360" t="s">
        <v>60</v>
      </c>
      <c r="C360" t="s">
        <v>19</v>
      </c>
      <c r="D360">
        <v>1984</v>
      </c>
      <c r="E360" t="s">
        <v>592</v>
      </c>
      <c r="F360" t="s">
        <v>68</v>
      </c>
      <c r="G360" t="s">
        <v>499</v>
      </c>
      <c r="H360" t="s">
        <v>21</v>
      </c>
      <c r="I360" t="s">
        <v>16</v>
      </c>
    </row>
    <row r="361" spans="1:9" x14ac:dyDescent="0.4">
      <c r="A361" t="s">
        <v>593</v>
      </c>
      <c r="B361" t="s">
        <v>28</v>
      </c>
      <c r="C361" t="s">
        <v>11</v>
      </c>
      <c r="D361">
        <v>111815</v>
      </c>
      <c r="E361" t="s">
        <v>592</v>
      </c>
      <c r="F361" t="s">
        <v>13</v>
      </c>
      <c r="G361" t="s">
        <v>20</v>
      </c>
      <c r="H361" t="s">
        <v>15</v>
      </c>
      <c r="I361" t="s">
        <v>16</v>
      </c>
    </row>
    <row r="362" spans="1:9" x14ac:dyDescent="0.4">
      <c r="A362" t="s">
        <v>594</v>
      </c>
      <c r="B362" t="s">
        <v>86</v>
      </c>
      <c r="C362" t="s">
        <v>11</v>
      </c>
      <c r="D362">
        <v>1021</v>
      </c>
      <c r="E362" t="s">
        <v>592</v>
      </c>
      <c r="F362" t="s">
        <v>13</v>
      </c>
      <c r="G362" t="s">
        <v>14</v>
      </c>
      <c r="H362" t="s">
        <v>15</v>
      </c>
      <c r="I362" t="s">
        <v>16</v>
      </c>
    </row>
    <row r="363" spans="1:9" x14ac:dyDescent="0.4">
      <c r="A363" t="s">
        <v>595</v>
      </c>
      <c r="B363" t="s">
        <v>138</v>
      </c>
      <c r="C363" t="s">
        <v>19</v>
      </c>
      <c r="D363">
        <v>543</v>
      </c>
      <c r="E363" t="s">
        <v>592</v>
      </c>
      <c r="F363" t="s">
        <v>13</v>
      </c>
      <c r="G363" t="s">
        <v>20</v>
      </c>
      <c r="H363" t="s">
        <v>21</v>
      </c>
      <c r="I363" t="s">
        <v>16</v>
      </c>
    </row>
    <row r="364" spans="1:9" x14ac:dyDescent="0.4">
      <c r="A364" t="s">
        <v>596</v>
      </c>
      <c r="B364" t="s">
        <v>160</v>
      </c>
      <c r="C364" t="s">
        <v>19</v>
      </c>
      <c r="D364">
        <v>1000</v>
      </c>
      <c r="E364" t="s">
        <v>597</v>
      </c>
      <c r="F364" t="s">
        <v>68</v>
      </c>
      <c r="G364" t="s">
        <v>196</v>
      </c>
      <c r="H364" t="s">
        <v>21</v>
      </c>
      <c r="I364" t="s">
        <v>16</v>
      </c>
    </row>
    <row r="365" spans="1:9" x14ac:dyDescent="0.4">
      <c r="A365" t="s">
        <v>598</v>
      </c>
      <c r="B365" t="s">
        <v>57</v>
      </c>
      <c r="C365" t="s">
        <v>19</v>
      </c>
      <c r="D365">
        <v>80860</v>
      </c>
      <c r="E365" t="s">
        <v>597</v>
      </c>
      <c r="F365" t="s">
        <v>13</v>
      </c>
      <c r="G365" t="s">
        <v>20</v>
      </c>
      <c r="H365" t="s">
        <v>21</v>
      </c>
      <c r="I365" t="s">
        <v>16</v>
      </c>
    </row>
    <row r="366" spans="1:9" x14ac:dyDescent="0.4">
      <c r="A366" t="s">
        <v>599</v>
      </c>
      <c r="B366" t="s">
        <v>82</v>
      </c>
      <c r="C366" t="s">
        <v>19</v>
      </c>
      <c r="D366">
        <v>4651</v>
      </c>
      <c r="E366" t="s">
        <v>600</v>
      </c>
      <c r="F366" t="s">
        <v>13</v>
      </c>
      <c r="G366" t="s">
        <v>20</v>
      </c>
      <c r="H366" t="s">
        <v>21</v>
      </c>
      <c r="I366" t="s">
        <v>16</v>
      </c>
    </row>
    <row r="367" spans="1:9" x14ac:dyDescent="0.4">
      <c r="A367" t="s">
        <v>601</v>
      </c>
      <c r="B367" t="s">
        <v>138</v>
      </c>
      <c r="C367" t="s">
        <v>11</v>
      </c>
      <c r="D367">
        <v>54712</v>
      </c>
      <c r="E367" t="s">
        <v>600</v>
      </c>
      <c r="F367" t="s">
        <v>13</v>
      </c>
      <c r="G367" t="s">
        <v>20</v>
      </c>
      <c r="H367" t="s">
        <v>15</v>
      </c>
      <c r="I367" t="s">
        <v>16</v>
      </c>
    </row>
    <row r="368" spans="1:9" x14ac:dyDescent="0.4">
      <c r="A368" t="s">
        <v>602</v>
      </c>
      <c r="B368" t="s">
        <v>77</v>
      </c>
      <c r="C368" t="s">
        <v>19</v>
      </c>
      <c r="D368">
        <v>319177</v>
      </c>
      <c r="E368" t="s">
        <v>600</v>
      </c>
      <c r="F368" t="s">
        <v>13</v>
      </c>
      <c r="G368" t="s">
        <v>20</v>
      </c>
      <c r="H368" t="s">
        <v>21</v>
      </c>
      <c r="I368" t="s">
        <v>16</v>
      </c>
    </row>
    <row r="369" spans="1:9" x14ac:dyDescent="0.4">
      <c r="A369" t="s">
        <v>603</v>
      </c>
      <c r="B369" t="s">
        <v>604</v>
      </c>
      <c r="C369" t="s">
        <v>19</v>
      </c>
      <c r="D369">
        <v>14095</v>
      </c>
      <c r="E369" t="s">
        <v>605</v>
      </c>
      <c r="F369" t="s">
        <v>13</v>
      </c>
      <c r="G369" t="s">
        <v>20</v>
      </c>
      <c r="H369" t="s">
        <v>21</v>
      </c>
      <c r="I369" t="s">
        <v>16</v>
      </c>
    </row>
    <row r="370" spans="1:9" x14ac:dyDescent="0.4">
      <c r="A370" t="s">
        <v>606</v>
      </c>
      <c r="B370" t="s">
        <v>91</v>
      </c>
      <c r="C370" t="s">
        <v>19</v>
      </c>
      <c r="D370">
        <v>5207</v>
      </c>
      <c r="E370" t="s">
        <v>605</v>
      </c>
      <c r="F370" t="s">
        <v>13</v>
      </c>
      <c r="G370" t="s">
        <v>14</v>
      </c>
      <c r="H370" t="s">
        <v>21</v>
      </c>
      <c r="I370" t="s">
        <v>16</v>
      </c>
    </row>
    <row r="371" spans="1:9" x14ac:dyDescent="0.4">
      <c r="A371" t="s">
        <v>560</v>
      </c>
      <c r="B371" t="s">
        <v>104</v>
      </c>
      <c r="C371" t="s">
        <v>11</v>
      </c>
      <c r="D371">
        <v>238615</v>
      </c>
      <c r="E371" t="s">
        <v>607</v>
      </c>
      <c r="F371" t="s">
        <v>13</v>
      </c>
      <c r="G371" t="s">
        <v>20</v>
      </c>
      <c r="H371" t="s">
        <v>15</v>
      </c>
      <c r="I371" t="s">
        <v>16</v>
      </c>
    </row>
    <row r="372" spans="1:9" x14ac:dyDescent="0.4">
      <c r="A372" t="s">
        <v>608</v>
      </c>
      <c r="B372" t="s">
        <v>104</v>
      </c>
      <c r="C372" t="s">
        <v>19</v>
      </c>
      <c r="D372">
        <v>3426</v>
      </c>
      <c r="E372" t="s">
        <v>607</v>
      </c>
      <c r="F372" t="s">
        <v>13</v>
      </c>
      <c r="G372" t="s">
        <v>20</v>
      </c>
      <c r="H372" t="s">
        <v>21</v>
      </c>
      <c r="I372" t="s">
        <v>16</v>
      </c>
    </row>
    <row r="373" spans="1:9" x14ac:dyDescent="0.4">
      <c r="A373" t="s">
        <v>609</v>
      </c>
      <c r="B373" t="s">
        <v>57</v>
      </c>
      <c r="C373" t="s">
        <v>19</v>
      </c>
      <c r="D373">
        <v>27174</v>
      </c>
      <c r="E373" t="s">
        <v>607</v>
      </c>
      <c r="F373" t="s">
        <v>13</v>
      </c>
      <c r="G373" t="s">
        <v>20</v>
      </c>
      <c r="H373" t="s">
        <v>21</v>
      </c>
      <c r="I373" t="s">
        <v>16</v>
      </c>
    </row>
    <row r="374" spans="1:9" x14ac:dyDescent="0.4">
      <c r="A374" t="s">
        <v>610</v>
      </c>
      <c r="B374" t="s">
        <v>141</v>
      </c>
      <c r="C374" t="s">
        <v>11</v>
      </c>
      <c r="D374">
        <v>10929</v>
      </c>
      <c r="E374" t="s">
        <v>611</v>
      </c>
      <c r="F374" t="s">
        <v>13</v>
      </c>
      <c r="G374" t="s">
        <v>20</v>
      </c>
      <c r="H374" t="s">
        <v>15</v>
      </c>
      <c r="I374" t="s">
        <v>16</v>
      </c>
    </row>
    <row r="375" spans="1:9" x14ac:dyDescent="0.4">
      <c r="A375" t="s">
        <v>612</v>
      </c>
      <c r="B375" t="s">
        <v>47</v>
      </c>
      <c r="C375" t="s">
        <v>34</v>
      </c>
      <c r="D375">
        <v>500</v>
      </c>
      <c r="E375" t="s">
        <v>611</v>
      </c>
      <c r="F375" t="s">
        <v>13</v>
      </c>
      <c r="G375" t="s">
        <v>20</v>
      </c>
      <c r="H375" t="s">
        <v>21</v>
      </c>
      <c r="I375" t="s">
        <v>16</v>
      </c>
    </row>
    <row r="376" spans="1:9" x14ac:dyDescent="0.4">
      <c r="A376" t="s">
        <v>613</v>
      </c>
      <c r="B376" t="s">
        <v>75</v>
      </c>
      <c r="C376" t="s">
        <v>34</v>
      </c>
      <c r="D376">
        <v>21834</v>
      </c>
      <c r="E376" t="s">
        <v>611</v>
      </c>
      <c r="F376" t="s">
        <v>13</v>
      </c>
      <c r="G376" t="s">
        <v>20</v>
      </c>
      <c r="H376" t="s">
        <v>21</v>
      </c>
      <c r="I376" t="s">
        <v>16</v>
      </c>
    </row>
    <row r="377" spans="1:9" x14ac:dyDescent="0.4">
      <c r="A377" t="s">
        <v>614</v>
      </c>
      <c r="B377" t="s">
        <v>615</v>
      </c>
      <c r="C377" t="s">
        <v>19</v>
      </c>
      <c r="D377">
        <v>70555</v>
      </c>
      <c r="E377" t="s">
        <v>611</v>
      </c>
      <c r="F377" t="s">
        <v>13</v>
      </c>
      <c r="G377" t="s">
        <v>20</v>
      </c>
      <c r="H377" t="s">
        <v>21</v>
      </c>
      <c r="I377" t="s">
        <v>16</v>
      </c>
    </row>
    <row r="378" spans="1:9" x14ac:dyDescent="0.4">
      <c r="A378" t="s">
        <v>616</v>
      </c>
      <c r="B378" t="s">
        <v>26</v>
      </c>
      <c r="C378" t="s">
        <v>19</v>
      </c>
      <c r="D378">
        <v>501</v>
      </c>
      <c r="E378" t="s">
        <v>617</v>
      </c>
      <c r="F378" t="s">
        <v>13</v>
      </c>
      <c r="G378" t="s">
        <v>20</v>
      </c>
      <c r="H378" t="s">
        <v>21</v>
      </c>
      <c r="I378" t="s">
        <v>16</v>
      </c>
    </row>
    <row r="379" spans="1:9" x14ac:dyDescent="0.4">
      <c r="A379" t="s">
        <v>618</v>
      </c>
      <c r="B379" t="s">
        <v>77</v>
      </c>
      <c r="C379" t="s">
        <v>19</v>
      </c>
      <c r="D379">
        <v>6376</v>
      </c>
      <c r="E379" t="s">
        <v>617</v>
      </c>
      <c r="F379" t="s">
        <v>68</v>
      </c>
      <c r="G379" t="s">
        <v>14</v>
      </c>
      <c r="H379" t="s">
        <v>21</v>
      </c>
      <c r="I379" t="s">
        <v>16</v>
      </c>
    </row>
    <row r="380" spans="1:9" x14ac:dyDescent="0.4">
      <c r="A380" t="s">
        <v>619</v>
      </c>
      <c r="B380" t="s">
        <v>47</v>
      </c>
      <c r="C380" t="s">
        <v>19</v>
      </c>
      <c r="D380">
        <v>25784</v>
      </c>
      <c r="E380" t="s">
        <v>620</v>
      </c>
      <c r="F380" t="s">
        <v>13</v>
      </c>
      <c r="G380" t="s">
        <v>20</v>
      </c>
      <c r="H380" t="s">
        <v>21</v>
      </c>
      <c r="I380" t="s">
        <v>16</v>
      </c>
    </row>
    <row r="381" spans="1:9" x14ac:dyDescent="0.4">
      <c r="A381" t="s">
        <v>621</v>
      </c>
      <c r="B381" t="s">
        <v>120</v>
      </c>
      <c r="C381" t="s">
        <v>19</v>
      </c>
      <c r="D381">
        <v>40051</v>
      </c>
      <c r="E381" t="s">
        <v>622</v>
      </c>
      <c r="F381" t="s">
        <v>13</v>
      </c>
      <c r="G381" t="s">
        <v>20</v>
      </c>
      <c r="H381" t="s">
        <v>21</v>
      </c>
      <c r="I381" t="s">
        <v>16</v>
      </c>
    </row>
    <row r="382" spans="1:9" x14ac:dyDescent="0.4">
      <c r="A382" t="s">
        <v>623</v>
      </c>
      <c r="B382" t="s">
        <v>120</v>
      </c>
      <c r="C382" t="s">
        <v>19</v>
      </c>
      <c r="D382">
        <v>35952</v>
      </c>
      <c r="E382" t="s">
        <v>624</v>
      </c>
      <c r="F382" t="s">
        <v>13</v>
      </c>
      <c r="G382" t="s">
        <v>14</v>
      </c>
      <c r="H382" t="s">
        <v>21</v>
      </c>
      <c r="I382" t="s">
        <v>16</v>
      </c>
    </row>
    <row r="383" spans="1:9" x14ac:dyDescent="0.4">
      <c r="A383" t="s">
        <v>625</v>
      </c>
      <c r="B383" t="s">
        <v>47</v>
      </c>
      <c r="C383" t="s">
        <v>19</v>
      </c>
      <c r="D383">
        <v>17800</v>
      </c>
      <c r="E383" t="s">
        <v>624</v>
      </c>
      <c r="F383" t="s">
        <v>13</v>
      </c>
      <c r="G383" t="s">
        <v>196</v>
      </c>
      <c r="H383" t="s">
        <v>21</v>
      </c>
      <c r="I383" t="s">
        <v>16</v>
      </c>
    </row>
    <row r="384" spans="1:9" x14ac:dyDescent="0.4">
      <c r="A384" t="s">
        <v>626</v>
      </c>
      <c r="B384" t="s">
        <v>627</v>
      </c>
      <c r="C384" t="s">
        <v>34</v>
      </c>
      <c r="D384">
        <v>817</v>
      </c>
      <c r="E384" t="s">
        <v>628</v>
      </c>
      <c r="F384" t="s">
        <v>13</v>
      </c>
      <c r="G384" t="s">
        <v>20</v>
      </c>
      <c r="H384" t="s">
        <v>21</v>
      </c>
      <c r="I384" t="s">
        <v>16</v>
      </c>
    </row>
    <row r="385" spans="1:9" x14ac:dyDescent="0.4">
      <c r="A385" t="s">
        <v>629</v>
      </c>
      <c r="B385" t="s">
        <v>71</v>
      </c>
      <c r="C385" t="s">
        <v>19</v>
      </c>
      <c r="D385">
        <v>4285</v>
      </c>
      <c r="E385" t="s">
        <v>628</v>
      </c>
      <c r="F385" t="s">
        <v>13</v>
      </c>
      <c r="G385" t="s">
        <v>20</v>
      </c>
      <c r="H385" t="s">
        <v>21</v>
      </c>
      <c r="I385" t="s">
        <v>16</v>
      </c>
    </row>
    <row r="386" spans="1:9" x14ac:dyDescent="0.4">
      <c r="A386" t="s">
        <v>630</v>
      </c>
      <c r="B386" t="s">
        <v>77</v>
      </c>
      <c r="C386" t="s">
        <v>19</v>
      </c>
      <c r="D386">
        <v>3682</v>
      </c>
      <c r="E386" t="s">
        <v>631</v>
      </c>
      <c r="F386" t="s">
        <v>400</v>
      </c>
      <c r="G386" t="s">
        <v>196</v>
      </c>
      <c r="H386" t="s">
        <v>21</v>
      </c>
      <c r="I386" t="s">
        <v>16</v>
      </c>
    </row>
    <row r="387" spans="1:9" x14ac:dyDescent="0.4">
      <c r="A387" t="s">
        <v>632</v>
      </c>
      <c r="B387" t="s">
        <v>10</v>
      </c>
      <c r="C387" t="s">
        <v>19</v>
      </c>
      <c r="D387">
        <v>108967</v>
      </c>
      <c r="E387" t="s">
        <v>631</v>
      </c>
      <c r="F387" t="s">
        <v>13</v>
      </c>
      <c r="G387" t="s">
        <v>20</v>
      </c>
      <c r="H387" t="s">
        <v>21</v>
      </c>
      <c r="I387" t="s">
        <v>16</v>
      </c>
    </row>
    <row r="388" spans="1:9" x14ac:dyDescent="0.4">
      <c r="A388" t="s">
        <v>633</v>
      </c>
      <c r="B388" t="s">
        <v>138</v>
      </c>
      <c r="C388" t="s">
        <v>19</v>
      </c>
      <c r="D388">
        <v>200000</v>
      </c>
      <c r="E388" t="s">
        <v>634</v>
      </c>
      <c r="F388" t="s">
        <v>13</v>
      </c>
      <c r="G388" t="s">
        <v>20</v>
      </c>
      <c r="H388" t="s">
        <v>21</v>
      </c>
      <c r="I388" t="s">
        <v>16</v>
      </c>
    </row>
    <row r="389" spans="1:9" x14ac:dyDescent="0.4">
      <c r="A389" t="s">
        <v>635</v>
      </c>
      <c r="B389" t="s">
        <v>71</v>
      </c>
      <c r="C389" t="s">
        <v>19</v>
      </c>
      <c r="D389">
        <v>209560</v>
      </c>
      <c r="E389" t="s">
        <v>634</v>
      </c>
      <c r="F389" t="s">
        <v>13</v>
      </c>
      <c r="G389" t="s">
        <v>20</v>
      </c>
      <c r="H389" t="s">
        <v>21</v>
      </c>
      <c r="I389" t="s">
        <v>16</v>
      </c>
    </row>
    <row r="390" spans="1:9" x14ac:dyDescent="0.4">
      <c r="A390" t="s">
        <v>636</v>
      </c>
      <c r="B390" t="s">
        <v>60</v>
      </c>
      <c r="C390" t="s">
        <v>19</v>
      </c>
      <c r="D390">
        <v>976</v>
      </c>
      <c r="E390" t="s">
        <v>634</v>
      </c>
      <c r="F390" t="s">
        <v>13</v>
      </c>
      <c r="G390" t="s">
        <v>20</v>
      </c>
      <c r="H390" t="s">
        <v>21</v>
      </c>
      <c r="I390" t="s">
        <v>16</v>
      </c>
    </row>
    <row r="391" spans="1:9" x14ac:dyDescent="0.4">
      <c r="A391" t="s">
        <v>637</v>
      </c>
      <c r="B391" t="s">
        <v>71</v>
      </c>
      <c r="C391" t="s">
        <v>19</v>
      </c>
      <c r="D391">
        <v>57655</v>
      </c>
      <c r="E391" t="s">
        <v>634</v>
      </c>
      <c r="F391" t="s">
        <v>13</v>
      </c>
      <c r="G391" t="s">
        <v>20</v>
      </c>
      <c r="H391" t="s">
        <v>21</v>
      </c>
      <c r="I391" t="s">
        <v>16</v>
      </c>
    </row>
    <row r="392" spans="1:9" x14ac:dyDescent="0.4">
      <c r="A392" t="s">
        <v>638</v>
      </c>
      <c r="B392" t="s">
        <v>251</v>
      </c>
      <c r="C392" t="s">
        <v>19</v>
      </c>
      <c r="D392">
        <v>501</v>
      </c>
      <c r="E392" t="s">
        <v>639</v>
      </c>
      <c r="F392" t="s">
        <v>68</v>
      </c>
      <c r="G392" t="s">
        <v>14</v>
      </c>
      <c r="H392" t="s">
        <v>21</v>
      </c>
      <c r="I392" t="s">
        <v>16</v>
      </c>
    </row>
    <row r="393" spans="1:9" x14ac:dyDescent="0.4">
      <c r="A393" t="s">
        <v>640</v>
      </c>
      <c r="B393" t="s">
        <v>96</v>
      </c>
      <c r="C393" t="s">
        <v>19</v>
      </c>
      <c r="D393">
        <v>362713</v>
      </c>
      <c r="E393" t="s">
        <v>639</v>
      </c>
      <c r="F393" t="s">
        <v>13</v>
      </c>
      <c r="G393" t="s">
        <v>20</v>
      </c>
      <c r="H393" t="s">
        <v>21</v>
      </c>
      <c r="I393" t="s">
        <v>16</v>
      </c>
    </row>
    <row r="394" spans="1:9" x14ac:dyDescent="0.4">
      <c r="A394" t="s">
        <v>641</v>
      </c>
      <c r="B394" t="s">
        <v>60</v>
      </c>
      <c r="C394" t="s">
        <v>19</v>
      </c>
      <c r="D394">
        <v>4213</v>
      </c>
      <c r="E394" t="s">
        <v>642</v>
      </c>
      <c r="F394" t="s">
        <v>13</v>
      </c>
      <c r="G394" t="s">
        <v>14</v>
      </c>
      <c r="H394" t="s">
        <v>21</v>
      </c>
      <c r="I394" t="s">
        <v>16</v>
      </c>
    </row>
    <row r="395" spans="1:9" x14ac:dyDescent="0.4">
      <c r="A395" t="s">
        <v>643</v>
      </c>
      <c r="B395" t="s">
        <v>615</v>
      </c>
      <c r="C395" t="s">
        <v>19</v>
      </c>
      <c r="D395">
        <v>1195</v>
      </c>
      <c r="E395" t="s">
        <v>642</v>
      </c>
      <c r="F395" t="s">
        <v>13</v>
      </c>
      <c r="G395" t="s">
        <v>14</v>
      </c>
      <c r="H395" t="s">
        <v>21</v>
      </c>
      <c r="I395" t="s">
        <v>16</v>
      </c>
    </row>
    <row r="396" spans="1:9" x14ac:dyDescent="0.4">
      <c r="A396" t="s">
        <v>644</v>
      </c>
      <c r="B396" t="s">
        <v>251</v>
      </c>
      <c r="C396" t="s">
        <v>11</v>
      </c>
      <c r="D396">
        <v>1000</v>
      </c>
      <c r="E396" t="s">
        <v>645</v>
      </c>
      <c r="F396" t="s">
        <v>13</v>
      </c>
      <c r="G396" t="s">
        <v>20</v>
      </c>
      <c r="H396" t="s">
        <v>15</v>
      </c>
      <c r="I396" t="s">
        <v>16</v>
      </c>
    </row>
    <row r="397" spans="1:9" x14ac:dyDescent="0.4">
      <c r="A397" t="s">
        <v>646</v>
      </c>
      <c r="B397" t="s">
        <v>176</v>
      </c>
      <c r="C397" t="s">
        <v>19</v>
      </c>
      <c r="D397">
        <v>9536</v>
      </c>
      <c r="E397" t="s">
        <v>647</v>
      </c>
      <c r="F397" t="s">
        <v>13</v>
      </c>
      <c r="G397" t="s">
        <v>20</v>
      </c>
      <c r="H397" t="s">
        <v>21</v>
      </c>
      <c r="I397" t="s">
        <v>16</v>
      </c>
    </row>
    <row r="398" spans="1:9" x14ac:dyDescent="0.4">
      <c r="A398" t="s">
        <v>648</v>
      </c>
      <c r="B398" t="s">
        <v>64</v>
      </c>
      <c r="C398" t="s">
        <v>19</v>
      </c>
      <c r="D398">
        <v>1310</v>
      </c>
      <c r="E398" t="s">
        <v>647</v>
      </c>
      <c r="F398" t="s">
        <v>13</v>
      </c>
      <c r="G398" t="s">
        <v>20</v>
      </c>
      <c r="H398" t="s">
        <v>15</v>
      </c>
      <c r="I398" t="s">
        <v>16</v>
      </c>
    </row>
    <row r="399" spans="1:9" x14ac:dyDescent="0.4">
      <c r="A399" t="s">
        <v>649</v>
      </c>
      <c r="B399" t="s">
        <v>71</v>
      </c>
      <c r="C399" t="s">
        <v>19</v>
      </c>
      <c r="D399">
        <v>9809</v>
      </c>
      <c r="E399" t="s">
        <v>650</v>
      </c>
      <c r="F399" t="s">
        <v>13</v>
      </c>
      <c r="G399" t="s">
        <v>499</v>
      </c>
      <c r="H399" t="s">
        <v>21</v>
      </c>
      <c r="I399" t="s">
        <v>16</v>
      </c>
    </row>
    <row r="400" spans="1:9" x14ac:dyDescent="0.4">
      <c r="A400" t="s">
        <v>651</v>
      </c>
      <c r="B400" t="s">
        <v>10</v>
      </c>
      <c r="C400" t="s">
        <v>11</v>
      </c>
      <c r="D400">
        <v>6547</v>
      </c>
      <c r="E400" t="s">
        <v>650</v>
      </c>
      <c r="F400" t="s">
        <v>68</v>
      </c>
      <c r="G400" t="s">
        <v>196</v>
      </c>
      <c r="H400" t="s">
        <v>15</v>
      </c>
      <c r="I400" t="s">
        <v>16</v>
      </c>
    </row>
    <row r="401" spans="1:9" x14ac:dyDescent="0.4">
      <c r="A401" t="s">
        <v>652</v>
      </c>
      <c r="B401" t="s">
        <v>77</v>
      </c>
      <c r="C401" t="s">
        <v>19</v>
      </c>
      <c r="D401">
        <v>5000</v>
      </c>
      <c r="E401" t="s">
        <v>653</v>
      </c>
      <c r="F401" t="s">
        <v>68</v>
      </c>
      <c r="G401" t="s">
        <v>196</v>
      </c>
      <c r="H401" t="s">
        <v>21</v>
      </c>
      <c r="I401" t="s">
        <v>16</v>
      </c>
    </row>
    <row r="402" spans="1:9" x14ac:dyDescent="0.4">
      <c r="A402" t="s">
        <v>654</v>
      </c>
      <c r="B402" t="s">
        <v>138</v>
      </c>
      <c r="C402" t="s">
        <v>19</v>
      </c>
      <c r="D402">
        <v>17979</v>
      </c>
      <c r="E402" t="s">
        <v>655</v>
      </c>
      <c r="F402" t="s">
        <v>13</v>
      </c>
      <c r="G402" t="s">
        <v>20</v>
      </c>
      <c r="H402" t="s">
        <v>21</v>
      </c>
      <c r="I402" t="s">
        <v>16</v>
      </c>
    </row>
    <row r="403" spans="1:9" x14ac:dyDescent="0.4">
      <c r="A403" t="s">
        <v>656</v>
      </c>
      <c r="B403" t="s">
        <v>325</v>
      </c>
      <c r="C403" t="s">
        <v>19</v>
      </c>
      <c r="D403">
        <v>43728</v>
      </c>
      <c r="E403" t="s">
        <v>655</v>
      </c>
      <c r="F403" t="s">
        <v>13</v>
      </c>
      <c r="G403" t="s">
        <v>20</v>
      </c>
      <c r="H403" t="s">
        <v>21</v>
      </c>
      <c r="I403" t="s">
        <v>16</v>
      </c>
    </row>
    <row r="404" spans="1:9" x14ac:dyDescent="0.4">
      <c r="A404" t="s">
        <v>657</v>
      </c>
      <c r="B404" t="s">
        <v>26</v>
      </c>
      <c r="C404" t="s">
        <v>34</v>
      </c>
      <c r="D404">
        <v>68111</v>
      </c>
      <c r="E404" t="s">
        <v>655</v>
      </c>
      <c r="F404" t="s">
        <v>13</v>
      </c>
      <c r="G404" t="s">
        <v>20</v>
      </c>
      <c r="H404" t="s">
        <v>21</v>
      </c>
      <c r="I404" t="s">
        <v>16</v>
      </c>
    </row>
    <row r="405" spans="1:9" x14ac:dyDescent="0.4">
      <c r="A405" t="s">
        <v>658</v>
      </c>
      <c r="B405" t="s">
        <v>77</v>
      </c>
      <c r="C405" t="s">
        <v>11</v>
      </c>
      <c r="D405">
        <v>198795</v>
      </c>
      <c r="E405" t="s">
        <v>655</v>
      </c>
      <c r="F405" t="s">
        <v>13</v>
      </c>
      <c r="G405" t="s">
        <v>20</v>
      </c>
      <c r="H405" t="s">
        <v>15</v>
      </c>
      <c r="I405" t="s">
        <v>16</v>
      </c>
    </row>
    <row r="406" spans="1:9" x14ac:dyDescent="0.4">
      <c r="A406" t="s">
        <v>659</v>
      </c>
      <c r="B406" t="s">
        <v>248</v>
      </c>
      <c r="C406" t="s">
        <v>19</v>
      </c>
      <c r="D406">
        <v>6588</v>
      </c>
      <c r="E406" t="s">
        <v>660</v>
      </c>
      <c r="F406" t="s">
        <v>13</v>
      </c>
      <c r="G406" t="s">
        <v>20</v>
      </c>
      <c r="H406" t="s">
        <v>21</v>
      </c>
      <c r="I406" t="s">
        <v>16</v>
      </c>
    </row>
    <row r="407" spans="1:9" x14ac:dyDescent="0.4">
      <c r="A407" t="s">
        <v>661</v>
      </c>
      <c r="B407" t="s">
        <v>251</v>
      </c>
      <c r="C407" t="s">
        <v>11</v>
      </c>
      <c r="D407">
        <v>501</v>
      </c>
      <c r="E407" t="s">
        <v>662</v>
      </c>
      <c r="F407" t="s">
        <v>13</v>
      </c>
      <c r="G407" t="s">
        <v>20</v>
      </c>
      <c r="H407" t="s">
        <v>15</v>
      </c>
      <c r="I407" t="s">
        <v>16</v>
      </c>
    </row>
    <row r="408" spans="1:9" x14ac:dyDescent="0.4">
      <c r="A408" t="s">
        <v>663</v>
      </c>
      <c r="B408" t="s">
        <v>96</v>
      </c>
      <c r="C408" t="s">
        <v>19</v>
      </c>
      <c r="D408">
        <v>1093</v>
      </c>
      <c r="E408" t="s">
        <v>664</v>
      </c>
      <c r="F408" t="s">
        <v>68</v>
      </c>
      <c r="G408" t="s">
        <v>69</v>
      </c>
      <c r="H408" t="s">
        <v>21</v>
      </c>
      <c r="I408" t="s">
        <v>16</v>
      </c>
    </row>
    <row r="409" spans="1:9" x14ac:dyDescent="0.4">
      <c r="A409" t="s">
        <v>665</v>
      </c>
      <c r="B409" t="s">
        <v>86</v>
      </c>
      <c r="C409" t="s">
        <v>19</v>
      </c>
      <c r="D409">
        <v>500</v>
      </c>
      <c r="E409" t="s">
        <v>666</v>
      </c>
      <c r="F409" t="s">
        <v>13</v>
      </c>
      <c r="G409" t="s">
        <v>20</v>
      </c>
      <c r="H409" t="s">
        <v>21</v>
      </c>
      <c r="I409" t="s">
        <v>16</v>
      </c>
    </row>
    <row r="410" spans="1:9" x14ac:dyDescent="0.4">
      <c r="A410" t="s">
        <v>667</v>
      </c>
      <c r="B410" t="s">
        <v>10</v>
      </c>
      <c r="C410" t="s">
        <v>19</v>
      </c>
      <c r="D410">
        <v>28515</v>
      </c>
      <c r="E410" t="s">
        <v>668</v>
      </c>
      <c r="F410" t="s">
        <v>13</v>
      </c>
      <c r="G410" t="s">
        <v>14</v>
      </c>
      <c r="H410" t="s">
        <v>21</v>
      </c>
      <c r="I410" t="s">
        <v>16</v>
      </c>
    </row>
    <row r="411" spans="1:9" x14ac:dyDescent="0.4">
      <c r="A411" t="s">
        <v>669</v>
      </c>
      <c r="B411" t="s">
        <v>64</v>
      </c>
      <c r="C411" t="s">
        <v>11</v>
      </c>
      <c r="D411">
        <v>21265</v>
      </c>
      <c r="E411" t="s">
        <v>668</v>
      </c>
      <c r="F411" t="s">
        <v>68</v>
      </c>
      <c r="G411" t="s">
        <v>20</v>
      </c>
      <c r="H411" t="s">
        <v>15</v>
      </c>
      <c r="I411" t="s">
        <v>16</v>
      </c>
    </row>
    <row r="412" spans="1:9" x14ac:dyDescent="0.4">
      <c r="A412" t="s">
        <v>670</v>
      </c>
      <c r="B412" t="s">
        <v>55</v>
      </c>
      <c r="C412" t="s">
        <v>19</v>
      </c>
      <c r="D412">
        <v>1483</v>
      </c>
      <c r="E412" t="s">
        <v>671</v>
      </c>
      <c r="F412" t="s">
        <v>13</v>
      </c>
      <c r="G412" t="s">
        <v>14</v>
      </c>
      <c r="H412" t="s">
        <v>21</v>
      </c>
      <c r="I412" t="s">
        <v>16</v>
      </c>
    </row>
    <row r="413" spans="1:9" x14ac:dyDescent="0.4">
      <c r="A413" t="s">
        <v>672</v>
      </c>
      <c r="B413" t="s">
        <v>28</v>
      </c>
      <c r="C413" t="s">
        <v>11</v>
      </c>
      <c r="D413">
        <v>62224658</v>
      </c>
      <c r="E413" t="s">
        <v>673</v>
      </c>
      <c r="F413" t="s">
        <v>13</v>
      </c>
      <c r="G413" t="s">
        <v>20</v>
      </c>
      <c r="H413" t="s">
        <v>15</v>
      </c>
      <c r="I413" t="s">
        <v>16</v>
      </c>
    </row>
    <row r="414" spans="1:9" x14ac:dyDescent="0.4">
      <c r="A414" t="s">
        <v>674</v>
      </c>
      <c r="B414" t="s">
        <v>136</v>
      </c>
      <c r="C414" t="s">
        <v>11</v>
      </c>
      <c r="D414">
        <v>579</v>
      </c>
      <c r="E414" t="s">
        <v>675</v>
      </c>
      <c r="F414" t="s">
        <v>13</v>
      </c>
      <c r="G414" t="s">
        <v>20</v>
      </c>
      <c r="H414" t="s">
        <v>15</v>
      </c>
      <c r="I414" t="s">
        <v>16</v>
      </c>
    </row>
    <row r="415" spans="1:9" x14ac:dyDescent="0.4">
      <c r="A415" t="s">
        <v>676</v>
      </c>
      <c r="B415" t="s">
        <v>627</v>
      </c>
      <c r="C415" t="s">
        <v>19</v>
      </c>
      <c r="D415">
        <v>75054</v>
      </c>
      <c r="E415" t="s">
        <v>677</v>
      </c>
      <c r="F415" t="s">
        <v>13</v>
      </c>
      <c r="G415" t="s">
        <v>20</v>
      </c>
      <c r="H415" t="s">
        <v>21</v>
      </c>
      <c r="I415" t="s">
        <v>16</v>
      </c>
    </row>
    <row r="416" spans="1:9" x14ac:dyDescent="0.4">
      <c r="A416" t="s">
        <v>678</v>
      </c>
      <c r="B416" t="s">
        <v>366</v>
      </c>
      <c r="C416" t="s">
        <v>19</v>
      </c>
      <c r="D416">
        <v>62238</v>
      </c>
      <c r="E416" t="s">
        <v>677</v>
      </c>
      <c r="F416" t="s">
        <v>13</v>
      </c>
      <c r="G416" t="s">
        <v>20</v>
      </c>
      <c r="H416" t="s">
        <v>21</v>
      </c>
      <c r="I416" t="s">
        <v>16</v>
      </c>
    </row>
    <row r="417" spans="1:9" x14ac:dyDescent="0.4">
      <c r="A417" t="s">
        <v>679</v>
      </c>
      <c r="B417" t="s">
        <v>77</v>
      </c>
      <c r="C417" t="s">
        <v>19</v>
      </c>
      <c r="D417">
        <v>2248</v>
      </c>
      <c r="E417" t="s">
        <v>677</v>
      </c>
      <c r="F417" t="s">
        <v>13</v>
      </c>
      <c r="G417" t="s">
        <v>14</v>
      </c>
      <c r="H417" t="s">
        <v>21</v>
      </c>
      <c r="I417" t="s">
        <v>16</v>
      </c>
    </row>
    <row r="418" spans="1:9" x14ac:dyDescent="0.4">
      <c r="A418" t="s">
        <v>680</v>
      </c>
      <c r="B418" t="s">
        <v>77</v>
      </c>
      <c r="C418" t="s">
        <v>19</v>
      </c>
      <c r="D418">
        <v>18819</v>
      </c>
      <c r="E418" t="s">
        <v>677</v>
      </c>
      <c r="F418" t="s">
        <v>13</v>
      </c>
      <c r="G418" t="s">
        <v>20</v>
      </c>
      <c r="H418" t="s">
        <v>21</v>
      </c>
      <c r="I418" t="s">
        <v>16</v>
      </c>
    </row>
    <row r="419" spans="1:9" x14ac:dyDescent="0.4">
      <c r="A419" t="s">
        <v>681</v>
      </c>
      <c r="B419" t="s">
        <v>627</v>
      </c>
      <c r="C419" t="s">
        <v>19</v>
      </c>
      <c r="D419">
        <v>21866</v>
      </c>
      <c r="E419" t="s">
        <v>682</v>
      </c>
      <c r="F419" t="s">
        <v>13</v>
      </c>
      <c r="G419" t="s">
        <v>20</v>
      </c>
      <c r="H419" t="s">
        <v>21</v>
      </c>
      <c r="I419" t="s">
        <v>16</v>
      </c>
    </row>
    <row r="420" spans="1:9" x14ac:dyDescent="0.4">
      <c r="A420" t="s">
        <v>683</v>
      </c>
      <c r="B420" t="s">
        <v>356</v>
      </c>
      <c r="C420" t="s">
        <v>34</v>
      </c>
      <c r="D420">
        <v>103879</v>
      </c>
      <c r="E420" t="s">
        <v>682</v>
      </c>
      <c r="F420" t="s">
        <v>13</v>
      </c>
      <c r="G420" t="s">
        <v>20</v>
      </c>
      <c r="H420" t="s">
        <v>21</v>
      </c>
      <c r="I420" t="s">
        <v>16</v>
      </c>
    </row>
    <row r="421" spans="1:9" x14ac:dyDescent="0.4">
      <c r="A421" t="s">
        <v>684</v>
      </c>
      <c r="B421" t="s">
        <v>251</v>
      </c>
      <c r="C421" t="s">
        <v>34</v>
      </c>
      <c r="D421">
        <v>3177</v>
      </c>
      <c r="E421" t="s">
        <v>682</v>
      </c>
      <c r="F421" t="s">
        <v>68</v>
      </c>
      <c r="G421" t="s">
        <v>196</v>
      </c>
      <c r="H421" t="s">
        <v>21</v>
      </c>
      <c r="I421" t="s">
        <v>16</v>
      </c>
    </row>
    <row r="422" spans="1:9" x14ac:dyDescent="0.4">
      <c r="A422" t="s">
        <v>685</v>
      </c>
      <c r="B422" t="s">
        <v>10</v>
      </c>
      <c r="C422" t="s">
        <v>19</v>
      </c>
      <c r="D422">
        <v>5357</v>
      </c>
      <c r="E422" t="s">
        <v>682</v>
      </c>
      <c r="F422" t="s">
        <v>68</v>
      </c>
      <c r="G422" t="s">
        <v>196</v>
      </c>
      <c r="H422" t="s">
        <v>21</v>
      </c>
      <c r="I422" t="s">
        <v>16</v>
      </c>
    </row>
    <row r="423" spans="1:9" x14ac:dyDescent="0.4">
      <c r="A423" t="s">
        <v>686</v>
      </c>
      <c r="B423" t="s">
        <v>64</v>
      </c>
      <c r="C423" t="s">
        <v>19</v>
      </c>
      <c r="D423">
        <v>216000</v>
      </c>
      <c r="E423" t="s">
        <v>687</v>
      </c>
      <c r="F423" t="s">
        <v>13</v>
      </c>
      <c r="G423" t="s">
        <v>20</v>
      </c>
      <c r="H423" t="s">
        <v>21</v>
      </c>
      <c r="I423" t="s">
        <v>16</v>
      </c>
    </row>
    <row r="424" spans="1:9" x14ac:dyDescent="0.4">
      <c r="A424" t="s">
        <v>688</v>
      </c>
      <c r="B424" t="s">
        <v>167</v>
      </c>
      <c r="C424" t="s">
        <v>19</v>
      </c>
      <c r="D424">
        <v>1528</v>
      </c>
      <c r="E424" t="s">
        <v>689</v>
      </c>
      <c r="F424" t="s">
        <v>13</v>
      </c>
      <c r="G424" t="s">
        <v>14</v>
      </c>
      <c r="H424" t="s">
        <v>21</v>
      </c>
      <c r="I424" t="s">
        <v>16</v>
      </c>
    </row>
    <row r="425" spans="1:9" x14ac:dyDescent="0.4">
      <c r="A425" t="s">
        <v>690</v>
      </c>
      <c r="B425" t="s">
        <v>71</v>
      </c>
      <c r="C425" t="s">
        <v>19</v>
      </c>
      <c r="D425">
        <v>1166</v>
      </c>
      <c r="E425" t="s">
        <v>691</v>
      </c>
      <c r="F425" t="s">
        <v>13</v>
      </c>
      <c r="G425" t="s">
        <v>20</v>
      </c>
      <c r="H425" t="s">
        <v>21</v>
      </c>
      <c r="I425" t="s">
        <v>16</v>
      </c>
    </row>
    <row r="426" spans="1:9" x14ac:dyDescent="0.4">
      <c r="A426" t="s">
        <v>692</v>
      </c>
      <c r="B426" t="s">
        <v>182</v>
      </c>
      <c r="C426" t="s">
        <v>19</v>
      </c>
      <c r="D426">
        <v>70129</v>
      </c>
      <c r="E426" t="s">
        <v>691</v>
      </c>
      <c r="F426" t="s">
        <v>13</v>
      </c>
      <c r="G426" t="s">
        <v>20</v>
      </c>
      <c r="H426" t="s">
        <v>21</v>
      </c>
      <c r="I426" t="s">
        <v>16</v>
      </c>
    </row>
    <row r="427" spans="1:9" x14ac:dyDescent="0.4">
      <c r="A427" t="s">
        <v>693</v>
      </c>
      <c r="B427" t="s">
        <v>57</v>
      </c>
      <c r="C427" t="s">
        <v>19</v>
      </c>
      <c r="D427">
        <v>11866</v>
      </c>
      <c r="E427" t="s">
        <v>691</v>
      </c>
      <c r="F427" t="s">
        <v>13</v>
      </c>
      <c r="G427" t="s">
        <v>48</v>
      </c>
      <c r="H427" t="s">
        <v>21</v>
      </c>
      <c r="I427" t="s">
        <v>16</v>
      </c>
    </row>
    <row r="428" spans="1:9" x14ac:dyDescent="0.4">
      <c r="A428" t="s">
        <v>694</v>
      </c>
      <c r="B428" t="s">
        <v>138</v>
      </c>
      <c r="C428" t="s">
        <v>11</v>
      </c>
      <c r="D428">
        <v>410491</v>
      </c>
      <c r="E428" t="s">
        <v>695</v>
      </c>
      <c r="F428" t="s">
        <v>13</v>
      </c>
      <c r="G428" t="s">
        <v>20</v>
      </c>
      <c r="H428" t="s">
        <v>15</v>
      </c>
      <c r="I428" t="s">
        <v>16</v>
      </c>
    </row>
    <row r="429" spans="1:9" x14ac:dyDescent="0.4">
      <c r="A429" t="s">
        <v>696</v>
      </c>
      <c r="B429" t="s">
        <v>55</v>
      </c>
      <c r="C429" t="s">
        <v>11</v>
      </c>
      <c r="D429">
        <v>501</v>
      </c>
      <c r="E429" t="s">
        <v>697</v>
      </c>
      <c r="F429" t="s">
        <v>13</v>
      </c>
      <c r="G429" t="s">
        <v>20</v>
      </c>
      <c r="H429" t="s">
        <v>15</v>
      </c>
      <c r="I429" t="s">
        <v>16</v>
      </c>
    </row>
    <row r="430" spans="1:9" x14ac:dyDescent="0.4">
      <c r="A430" t="s">
        <v>698</v>
      </c>
      <c r="B430" t="s">
        <v>86</v>
      </c>
      <c r="C430" t="s">
        <v>11</v>
      </c>
      <c r="D430">
        <v>2672036</v>
      </c>
      <c r="E430" t="s">
        <v>697</v>
      </c>
      <c r="F430" t="s">
        <v>13</v>
      </c>
      <c r="G430" t="s">
        <v>20</v>
      </c>
      <c r="H430" t="s">
        <v>15</v>
      </c>
      <c r="I430" t="s">
        <v>16</v>
      </c>
    </row>
    <row r="431" spans="1:9" x14ac:dyDescent="0.4">
      <c r="A431" t="s">
        <v>699</v>
      </c>
      <c r="B431" t="s">
        <v>182</v>
      </c>
      <c r="C431" t="s">
        <v>19</v>
      </c>
      <c r="D431">
        <v>11538</v>
      </c>
      <c r="E431" t="s">
        <v>697</v>
      </c>
      <c r="F431" t="s">
        <v>13</v>
      </c>
      <c r="G431" t="s">
        <v>20</v>
      </c>
      <c r="H431" t="s">
        <v>21</v>
      </c>
      <c r="I431" t="s">
        <v>16</v>
      </c>
    </row>
    <row r="432" spans="1:9" x14ac:dyDescent="0.4">
      <c r="A432" t="s">
        <v>700</v>
      </c>
      <c r="B432" t="s">
        <v>55</v>
      </c>
      <c r="C432" t="s">
        <v>19</v>
      </c>
      <c r="D432">
        <v>13083</v>
      </c>
      <c r="E432" t="s">
        <v>701</v>
      </c>
      <c r="F432" t="s">
        <v>13</v>
      </c>
      <c r="G432" t="s">
        <v>20</v>
      </c>
      <c r="H432" t="s">
        <v>21</v>
      </c>
      <c r="I432" t="s">
        <v>16</v>
      </c>
    </row>
    <row r="433" spans="1:9" x14ac:dyDescent="0.4">
      <c r="A433" t="s">
        <v>702</v>
      </c>
      <c r="B433" t="s">
        <v>28</v>
      </c>
      <c r="C433" t="s">
        <v>19</v>
      </c>
      <c r="D433">
        <v>36332</v>
      </c>
      <c r="E433" t="s">
        <v>703</v>
      </c>
      <c r="F433" t="s">
        <v>13</v>
      </c>
      <c r="G433" t="s">
        <v>14</v>
      </c>
      <c r="H433" t="s">
        <v>21</v>
      </c>
      <c r="I433" t="s">
        <v>16</v>
      </c>
    </row>
    <row r="434" spans="1:9" x14ac:dyDescent="0.4">
      <c r="A434" t="s">
        <v>704</v>
      </c>
      <c r="B434" t="s">
        <v>366</v>
      </c>
      <c r="C434" t="s">
        <v>19</v>
      </c>
      <c r="D434">
        <v>27001</v>
      </c>
      <c r="E434" t="s">
        <v>703</v>
      </c>
      <c r="F434" t="s">
        <v>13</v>
      </c>
      <c r="G434" t="s">
        <v>20</v>
      </c>
      <c r="H434" t="s">
        <v>21</v>
      </c>
      <c r="I434" t="s">
        <v>16</v>
      </c>
    </row>
    <row r="435" spans="1:9" x14ac:dyDescent="0.4">
      <c r="A435" t="s">
        <v>705</v>
      </c>
      <c r="B435" t="s">
        <v>28</v>
      </c>
      <c r="C435" t="s">
        <v>19</v>
      </c>
      <c r="D435">
        <v>1428</v>
      </c>
      <c r="E435" t="s">
        <v>706</v>
      </c>
      <c r="F435" t="s">
        <v>13</v>
      </c>
      <c r="G435" t="s">
        <v>20</v>
      </c>
      <c r="H435" t="s">
        <v>21</v>
      </c>
      <c r="I435" t="s">
        <v>16</v>
      </c>
    </row>
    <row r="436" spans="1:9" x14ac:dyDescent="0.4">
      <c r="A436" t="s">
        <v>707</v>
      </c>
      <c r="B436" t="s">
        <v>28</v>
      </c>
      <c r="C436" t="s">
        <v>19</v>
      </c>
      <c r="D436">
        <v>501</v>
      </c>
      <c r="E436" t="s">
        <v>708</v>
      </c>
      <c r="F436" t="s">
        <v>13</v>
      </c>
      <c r="G436" t="s">
        <v>20</v>
      </c>
      <c r="H436" t="s">
        <v>21</v>
      </c>
      <c r="I436" t="s">
        <v>16</v>
      </c>
    </row>
    <row r="437" spans="1:9" x14ac:dyDescent="0.4">
      <c r="A437" t="s">
        <v>709</v>
      </c>
      <c r="B437" t="s">
        <v>251</v>
      </c>
      <c r="C437" t="s">
        <v>19</v>
      </c>
      <c r="D437">
        <v>97217</v>
      </c>
      <c r="E437" t="s">
        <v>708</v>
      </c>
      <c r="F437" t="s">
        <v>13</v>
      </c>
      <c r="G437" t="s">
        <v>20</v>
      </c>
      <c r="H437" t="s">
        <v>21</v>
      </c>
      <c r="I437" t="s">
        <v>16</v>
      </c>
    </row>
    <row r="438" spans="1:9" x14ac:dyDescent="0.4">
      <c r="A438" t="s">
        <v>710</v>
      </c>
      <c r="B438" t="s">
        <v>116</v>
      </c>
      <c r="C438" t="s">
        <v>19</v>
      </c>
      <c r="D438">
        <v>169017</v>
      </c>
      <c r="E438" t="s">
        <v>711</v>
      </c>
      <c r="F438" t="s">
        <v>13</v>
      </c>
      <c r="G438" t="s">
        <v>20</v>
      </c>
      <c r="H438" t="s">
        <v>21</v>
      </c>
      <c r="I438" t="s">
        <v>16</v>
      </c>
    </row>
    <row r="439" spans="1:9" x14ac:dyDescent="0.4">
      <c r="A439" t="s">
        <v>712</v>
      </c>
      <c r="B439" t="s">
        <v>86</v>
      </c>
      <c r="C439" t="s">
        <v>19</v>
      </c>
      <c r="D439">
        <v>6679</v>
      </c>
      <c r="E439" t="s">
        <v>713</v>
      </c>
      <c r="F439" t="s">
        <v>13</v>
      </c>
      <c r="G439" t="s">
        <v>14</v>
      </c>
      <c r="H439" t="s">
        <v>21</v>
      </c>
      <c r="I439" t="s">
        <v>16</v>
      </c>
    </row>
    <row r="440" spans="1:9" x14ac:dyDescent="0.4">
      <c r="A440" t="s">
        <v>714</v>
      </c>
      <c r="B440" t="s">
        <v>138</v>
      </c>
      <c r="C440" t="s">
        <v>19</v>
      </c>
      <c r="D440">
        <v>991</v>
      </c>
      <c r="E440" t="s">
        <v>713</v>
      </c>
      <c r="F440" t="s">
        <v>13</v>
      </c>
      <c r="G440" t="s">
        <v>14</v>
      </c>
      <c r="H440" t="s">
        <v>21</v>
      </c>
      <c r="I440" t="s">
        <v>16</v>
      </c>
    </row>
    <row r="441" spans="1:9" x14ac:dyDescent="0.4">
      <c r="A441" t="s">
        <v>715</v>
      </c>
      <c r="B441" t="s">
        <v>138</v>
      </c>
      <c r="C441" t="s">
        <v>19</v>
      </c>
      <c r="D441">
        <v>23899</v>
      </c>
      <c r="E441" t="s">
        <v>716</v>
      </c>
      <c r="F441" t="s">
        <v>13</v>
      </c>
      <c r="G441" t="s">
        <v>20</v>
      </c>
      <c r="H441" t="s">
        <v>21</v>
      </c>
      <c r="I441" t="s">
        <v>16</v>
      </c>
    </row>
    <row r="442" spans="1:9" x14ac:dyDescent="0.4">
      <c r="A442" t="s">
        <v>717</v>
      </c>
      <c r="B442" t="s">
        <v>10</v>
      </c>
      <c r="C442" t="s">
        <v>19</v>
      </c>
      <c r="D442">
        <v>1236</v>
      </c>
      <c r="E442" t="s">
        <v>716</v>
      </c>
      <c r="F442" t="s">
        <v>13</v>
      </c>
      <c r="G442" t="s">
        <v>14</v>
      </c>
      <c r="H442" t="s">
        <v>21</v>
      </c>
      <c r="I442" t="s">
        <v>16</v>
      </c>
    </row>
    <row r="443" spans="1:9" x14ac:dyDescent="0.4">
      <c r="A443" t="s">
        <v>718</v>
      </c>
      <c r="B443" t="s">
        <v>86</v>
      </c>
      <c r="C443" t="s">
        <v>11</v>
      </c>
      <c r="D443">
        <v>43009</v>
      </c>
      <c r="E443" t="s">
        <v>719</v>
      </c>
      <c r="F443" t="s">
        <v>13</v>
      </c>
      <c r="G443" t="s">
        <v>20</v>
      </c>
      <c r="H443" t="s">
        <v>15</v>
      </c>
      <c r="I443" t="s">
        <v>16</v>
      </c>
    </row>
    <row r="444" spans="1:9" x14ac:dyDescent="0.4">
      <c r="A444" t="s">
        <v>720</v>
      </c>
      <c r="B444" t="s">
        <v>30</v>
      </c>
      <c r="C444" t="s">
        <v>19</v>
      </c>
      <c r="D444">
        <v>501</v>
      </c>
      <c r="E444" t="s">
        <v>721</v>
      </c>
      <c r="F444" t="s">
        <v>13</v>
      </c>
      <c r="G444" t="s">
        <v>20</v>
      </c>
      <c r="H444" t="s">
        <v>21</v>
      </c>
      <c r="I444" t="s">
        <v>16</v>
      </c>
    </row>
    <row r="445" spans="1:9" x14ac:dyDescent="0.4">
      <c r="A445" t="s">
        <v>722</v>
      </c>
      <c r="B445" t="s">
        <v>77</v>
      </c>
      <c r="C445" t="s">
        <v>19</v>
      </c>
      <c r="D445">
        <v>246711</v>
      </c>
      <c r="E445" t="s">
        <v>721</v>
      </c>
      <c r="F445" t="s">
        <v>13</v>
      </c>
      <c r="G445" t="s">
        <v>20</v>
      </c>
      <c r="H445" t="s">
        <v>21</v>
      </c>
      <c r="I445" t="s">
        <v>16</v>
      </c>
    </row>
    <row r="446" spans="1:9" x14ac:dyDescent="0.4">
      <c r="A446" t="s">
        <v>723</v>
      </c>
      <c r="B446" t="s">
        <v>91</v>
      </c>
      <c r="C446" t="s">
        <v>19</v>
      </c>
      <c r="D446">
        <v>3572</v>
      </c>
      <c r="E446" t="s">
        <v>724</v>
      </c>
      <c r="F446" t="s">
        <v>13</v>
      </c>
      <c r="G446" t="s">
        <v>14</v>
      </c>
      <c r="H446" t="s">
        <v>21</v>
      </c>
      <c r="I446" t="s">
        <v>16</v>
      </c>
    </row>
    <row r="447" spans="1:9" x14ac:dyDescent="0.4">
      <c r="A447" t="s">
        <v>725</v>
      </c>
      <c r="B447" t="s">
        <v>77</v>
      </c>
      <c r="C447" t="s">
        <v>19</v>
      </c>
      <c r="D447">
        <v>152691</v>
      </c>
      <c r="E447" t="s">
        <v>726</v>
      </c>
      <c r="F447" t="s">
        <v>13</v>
      </c>
      <c r="G447" t="s">
        <v>20</v>
      </c>
      <c r="H447" t="s">
        <v>21</v>
      </c>
      <c r="I447" t="s">
        <v>16</v>
      </c>
    </row>
    <row r="448" spans="1:9" x14ac:dyDescent="0.4">
      <c r="A448" t="s">
        <v>727</v>
      </c>
      <c r="B448" t="s">
        <v>26</v>
      </c>
      <c r="C448" t="s">
        <v>34</v>
      </c>
      <c r="D448">
        <v>19231</v>
      </c>
      <c r="E448" t="s">
        <v>726</v>
      </c>
      <c r="F448" t="s">
        <v>13</v>
      </c>
      <c r="G448" t="s">
        <v>20</v>
      </c>
      <c r="H448" t="s">
        <v>21</v>
      </c>
      <c r="I448" t="s">
        <v>16</v>
      </c>
    </row>
    <row r="449" spans="1:9" x14ac:dyDescent="0.4">
      <c r="A449" t="s">
        <v>728</v>
      </c>
      <c r="B449" t="s">
        <v>366</v>
      </c>
      <c r="C449" t="s">
        <v>11</v>
      </c>
      <c r="D449">
        <v>501</v>
      </c>
      <c r="E449" t="s">
        <v>729</v>
      </c>
      <c r="F449" t="s">
        <v>13</v>
      </c>
      <c r="G449" t="s">
        <v>20</v>
      </c>
      <c r="H449" t="s">
        <v>15</v>
      </c>
      <c r="I449" t="s">
        <v>16</v>
      </c>
    </row>
    <row r="450" spans="1:9" x14ac:dyDescent="0.4">
      <c r="A450" t="s">
        <v>730</v>
      </c>
      <c r="B450" t="s">
        <v>274</v>
      </c>
      <c r="C450" t="s">
        <v>19</v>
      </c>
      <c r="D450">
        <v>6243</v>
      </c>
      <c r="E450" t="s">
        <v>729</v>
      </c>
      <c r="F450" t="s">
        <v>13</v>
      </c>
      <c r="G450" t="s">
        <v>14</v>
      </c>
      <c r="H450" t="s">
        <v>21</v>
      </c>
      <c r="I450" t="s">
        <v>16</v>
      </c>
    </row>
    <row r="451" spans="1:9" x14ac:dyDescent="0.4">
      <c r="A451" t="s">
        <v>731</v>
      </c>
      <c r="B451" t="s">
        <v>160</v>
      </c>
      <c r="C451" t="s">
        <v>19</v>
      </c>
      <c r="D451">
        <v>3569</v>
      </c>
      <c r="E451" t="s">
        <v>732</v>
      </c>
      <c r="F451" t="s">
        <v>13</v>
      </c>
      <c r="G451" t="s">
        <v>20</v>
      </c>
      <c r="H451" t="s">
        <v>21</v>
      </c>
      <c r="I451" t="s">
        <v>16</v>
      </c>
    </row>
    <row r="452" spans="1:9" x14ac:dyDescent="0.4">
      <c r="A452" t="s">
        <v>733</v>
      </c>
      <c r="B452" t="s">
        <v>71</v>
      </c>
      <c r="C452" t="s">
        <v>19</v>
      </c>
      <c r="D452">
        <v>4799</v>
      </c>
      <c r="E452" t="s">
        <v>732</v>
      </c>
      <c r="F452" t="s">
        <v>13</v>
      </c>
      <c r="G452" t="s">
        <v>20</v>
      </c>
      <c r="H452" t="s">
        <v>21</v>
      </c>
      <c r="I452" t="s">
        <v>16</v>
      </c>
    </row>
    <row r="453" spans="1:9" x14ac:dyDescent="0.4">
      <c r="A453" t="s">
        <v>734</v>
      </c>
      <c r="B453" t="s">
        <v>104</v>
      </c>
      <c r="C453" t="s">
        <v>19</v>
      </c>
      <c r="D453">
        <v>2974</v>
      </c>
      <c r="E453" t="s">
        <v>732</v>
      </c>
      <c r="F453" t="s">
        <v>13</v>
      </c>
      <c r="G453" t="s">
        <v>14</v>
      </c>
      <c r="H453" t="s">
        <v>21</v>
      </c>
      <c r="I453" t="s">
        <v>16</v>
      </c>
    </row>
    <row r="454" spans="1:9" x14ac:dyDescent="0.4">
      <c r="A454" t="s">
        <v>735</v>
      </c>
      <c r="B454" t="s">
        <v>138</v>
      </c>
      <c r="C454" t="s">
        <v>19</v>
      </c>
      <c r="D454">
        <v>35000</v>
      </c>
      <c r="E454" t="s">
        <v>736</v>
      </c>
      <c r="F454" t="s">
        <v>13</v>
      </c>
      <c r="G454" t="s">
        <v>499</v>
      </c>
      <c r="H454" t="s">
        <v>21</v>
      </c>
      <c r="I454" t="s">
        <v>16</v>
      </c>
    </row>
    <row r="455" spans="1:9" x14ac:dyDescent="0.4">
      <c r="A455" t="s">
        <v>737</v>
      </c>
      <c r="B455" t="s">
        <v>104</v>
      </c>
      <c r="C455" t="s">
        <v>19</v>
      </c>
      <c r="D455">
        <v>9742</v>
      </c>
      <c r="E455" t="s">
        <v>738</v>
      </c>
      <c r="F455" t="s">
        <v>13</v>
      </c>
      <c r="G455" t="s">
        <v>20</v>
      </c>
      <c r="H455" t="s">
        <v>21</v>
      </c>
      <c r="I455" t="s">
        <v>16</v>
      </c>
    </row>
    <row r="456" spans="1:9" x14ac:dyDescent="0.4">
      <c r="A456" t="s">
        <v>739</v>
      </c>
      <c r="B456" t="s">
        <v>104</v>
      </c>
      <c r="C456" t="s">
        <v>19</v>
      </c>
      <c r="D456">
        <v>5736</v>
      </c>
      <c r="E456" t="s">
        <v>738</v>
      </c>
      <c r="F456" t="s">
        <v>13</v>
      </c>
      <c r="G456" t="s">
        <v>20</v>
      </c>
      <c r="H456" t="s">
        <v>21</v>
      </c>
      <c r="I456" t="s">
        <v>16</v>
      </c>
    </row>
    <row r="457" spans="1:9" x14ac:dyDescent="0.4">
      <c r="A457" t="s">
        <v>740</v>
      </c>
      <c r="B457" t="s">
        <v>120</v>
      </c>
      <c r="C457" t="s">
        <v>19</v>
      </c>
      <c r="D457">
        <v>5590</v>
      </c>
      <c r="E457" t="s">
        <v>738</v>
      </c>
      <c r="F457" t="s">
        <v>13</v>
      </c>
      <c r="G457" t="s">
        <v>20</v>
      </c>
      <c r="H457" t="s">
        <v>21</v>
      </c>
      <c r="I457" t="s">
        <v>16</v>
      </c>
    </row>
    <row r="458" spans="1:9" x14ac:dyDescent="0.4">
      <c r="A458" t="s">
        <v>741</v>
      </c>
      <c r="B458" t="s">
        <v>91</v>
      </c>
      <c r="C458" t="s">
        <v>11</v>
      </c>
      <c r="D458">
        <v>2266</v>
      </c>
      <c r="E458" t="s">
        <v>738</v>
      </c>
      <c r="F458" t="s">
        <v>68</v>
      </c>
      <c r="G458" t="s">
        <v>150</v>
      </c>
      <c r="H458" t="s">
        <v>15</v>
      </c>
      <c r="I458" t="s">
        <v>16</v>
      </c>
    </row>
    <row r="459" spans="1:9" x14ac:dyDescent="0.4">
      <c r="A459" t="s">
        <v>742</v>
      </c>
      <c r="B459" t="s">
        <v>71</v>
      </c>
      <c r="C459" t="s">
        <v>19</v>
      </c>
      <c r="D459">
        <v>13158</v>
      </c>
      <c r="E459" t="s">
        <v>738</v>
      </c>
      <c r="F459" t="s">
        <v>13</v>
      </c>
      <c r="G459" t="s">
        <v>14</v>
      </c>
      <c r="H459" t="s">
        <v>21</v>
      </c>
      <c r="I459" t="s">
        <v>16</v>
      </c>
    </row>
    <row r="460" spans="1:9" x14ac:dyDescent="0.4">
      <c r="A460" t="s">
        <v>743</v>
      </c>
      <c r="B460" t="s">
        <v>118</v>
      </c>
      <c r="C460" t="s">
        <v>19</v>
      </c>
      <c r="D460">
        <v>838</v>
      </c>
      <c r="E460" t="s">
        <v>744</v>
      </c>
      <c r="F460" t="s">
        <v>13</v>
      </c>
      <c r="G460" t="s">
        <v>20</v>
      </c>
      <c r="H460" t="s">
        <v>21</v>
      </c>
      <c r="I460" t="s">
        <v>16</v>
      </c>
    </row>
    <row r="461" spans="1:9" x14ac:dyDescent="0.4">
      <c r="A461" t="s">
        <v>745</v>
      </c>
      <c r="B461" t="s">
        <v>64</v>
      </c>
      <c r="C461" t="s">
        <v>19</v>
      </c>
      <c r="D461">
        <v>19315</v>
      </c>
      <c r="E461" t="s">
        <v>744</v>
      </c>
      <c r="F461" t="s">
        <v>13</v>
      </c>
      <c r="G461" t="s">
        <v>20</v>
      </c>
      <c r="H461" t="s">
        <v>21</v>
      </c>
      <c r="I461" t="s">
        <v>16</v>
      </c>
    </row>
    <row r="462" spans="1:9" x14ac:dyDescent="0.4">
      <c r="A462" t="s">
        <v>746</v>
      </c>
      <c r="B462" t="s">
        <v>47</v>
      </c>
      <c r="C462" t="s">
        <v>11</v>
      </c>
      <c r="D462">
        <v>501</v>
      </c>
      <c r="E462" t="s">
        <v>744</v>
      </c>
      <c r="F462" t="s">
        <v>13</v>
      </c>
      <c r="G462" t="s">
        <v>20</v>
      </c>
      <c r="H462" t="s">
        <v>15</v>
      </c>
      <c r="I462" t="s">
        <v>16</v>
      </c>
    </row>
    <row r="463" spans="1:9" x14ac:dyDescent="0.4">
      <c r="A463" t="s">
        <v>747</v>
      </c>
      <c r="B463" t="s">
        <v>104</v>
      </c>
      <c r="C463" t="s">
        <v>34</v>
      </c>
      <c r="D463">
        <v>637</v>
      </c>
      <c r="E463" t="s">
        <v>744</v>
      </c>
      <c r="F463" t="s">
        <v>68</v>
      </c>
      <c r="G463" t="s">
        <v>404</v>
      </c>
      <c r="H463" t="s">
        <v>21</v>
      </c>
      <c r="I463" t="s">
        <v>16</v>
      </c>
    </row>
    <row r="464" spans="1:9" x14ac:dyDescent="0.4">
      <c r="A464" t="s">
        <v>748</v>
      </c>
      <c r="B464" t="s">
        <v>10</v>
      </c>
      <c r="C464" t="s">
        <v>11</v>
      </c>
      <c r="D464">
        <v>500</v>
      </c>
      <c r="E464" t="s">
        <v>749</v>
      </c>
      <c r="F464" t="s">
        <v>13</v>
      </c>
      <c r="G464" t="s">
        <v>20</v>
      </c>
      <c r="H464" t="s">
        <v>15</v>
      </c>
      <c r="I464" t="s">
        <v>16</v>
      </c>
    </row>
    <row r="465" spans="1:9" x14ac:dyDescent="0.4">
      <c r="A465" t="s">
        <v>748</v>
      </c>
      <c r="B465" t="s">
        <v>10</v>
      </c>
      <c r="C465" t="s">
        <v>11</v>
      </c>
      <c r="D465">
        <v>500</v>
      </c>
      <c r="E465" t="s">
        <v>749</v>
      </c>
      <c r="F465" t="s">
        <v>13</v>
      </c>
      <c r="G465" t="s">
        <v>20</v>
      </c>
      <c r="H465" t="s">
        <v>15</v>
      </c>
      <c r="I465" t="s">
        <v>16</v>
      </c>
    </row>
    <row r="466" spans="1:9" x14ac:dyDescent="0.4">
      <c r="A466" t="s">
        <v>748</v>
      </c>
      <c r="B466" t="s">
        <v>10</v>
      </c>
      <c r="C466" t="s">
        <v>11</v>
      </c>
      <c r="D466">
        <v>500</v>
      </c>
      <c r="E466" t="s">
        <v>749</v>
      </c>
      <c r="F466" t="s">
        <v>13</v>
      </c>
      <c r="G466" t="s">
        <v>20</v>
      </c>
      <c r="H466" t="s">
        <v>15</v>
      </c>
      <c r="I466" t="s">
        <v>16</v>
      </c>
    </row>
    <row r="467" spans="1:9" x14ac:dyDescent="0.4">
      <c r="A467" t="s">
        <v>750</v>
      </c>
      <c r="B467" t="s">
        <v>77</v>
      </c>
      <c r="C467" t="s">
        <v>19</v>
      </c>
      <c r="D467">
        <v>111509</v>
      </c>
      <c r="E467" t="s">
        <v>749</v>
      </c>
      <c r="F467" t="s">
        <v>13</v>
      </c>
      <c r="G467" t="s">
        <v>20</v>
      </c>
      <c r="H467" t="s">
        <v>21</v>
      </c>
      <c r="I467" t="s">
        <v>16</v>
      </c>
    </row>
    <row r="468" spans="1:9" x14ac:dyDescent="0.4">
      <c r="A468" t="s">
        <v>751</v>
      </c>
      <c r="B468" t="s">
        <v>118</v>
      </c>
      <c r="C468" t="s">
        <v>19</v>
      </c>
      <c r="D468">
        <v>2491</v>
      </c>
      <c r="E468" t="s">
        <v>752</v>
      </c>
      <c r="F468" t="s">
        <v>13</v>
      </c>
      <c r="G468" t="s">
        <v>20</v>
      </c>
      <c r="H468" t="s">
        <v>21</v>
      </c>
      <c r="I468" t="s">
        <v>16</v>
      </c>
    </row>
    <row r="469" spans="1:9" x14ac:dyDescent="0.4">
      <c r="A469" t="s">
        <v>753</v>
      </c>
      <c r="B469" t="s">
        <v>77</v>
      </c>
      <c r="C469" t="s">
        <v>19</v>
      </c>
      <c r="D469">
        <v>138209</v>
      </c>
      <c r="E469" t="s">
        <v>754</v>
      </c>
      <c r="F469" t="s">
        <v>13</v>
      </c>
      <c r="G469" t="s">
        <v>20</v>
      </c>
      <c r="H469" t="s">
        <v>21</v>
      </c>
      <c r="I469" t="s">
        <v>16</v>
      </c>
    </row>
    <row r="470" spans="1:9" x14ac:dyDescent="0.4">
      <c r="A470" t="s">
        <v>755</v>
      </c>
      <c r="B470" t="s">
        <v>345</v>
      </c>
      <c r="C470" t="s">
        <v>19</v>
      </c>
      <c r="D470">
        <v>605</v>
      </c>
      <c r="E470" t="s">
        <v>754</v>
      </c>
      <c r="F470" t="s">
        <v>13</v>
      </c>
      <c r="G470" t="s">
        <v>499</v>
      </c>
      <c r="H470" t="s">
        <v>21</v>
      </c>
      <c r="I470" t="s">
        <v>16</v>
      </c>
    </row>
    <row r="471" spans="1:9" x14ac:dyDescent="0.4">
      <c r="A471" t="s">
        <v>756</v>
      </c>
      <c r="B471" t="s">
        <v>104</v>
      </c>
      <c r="C471" t="s">
        <v>11</v>
      </c>
      <c r="D471">
        <v>501</v>
      </c>
      <c r="E471" t="s">
        <v>757</v>
      </c>
      <c r="F471" t="s">
        <v>13</v>
      </c>
      <c r="G471" t="s">
        <v>20</v>
      </c>
      <c r="H471" t="s">
        <v>15</v>
      </c>
      <c r="I471" t="s">
        <v>16</v>
      </c>
    </row>
    <row r="472" spans="1:9" x14ac:dyDescent="0.4">
      <c r="A472" t="s">
        <v>758</v>
      </c>
      <c r="B472" t="s">
        <v>138</v>
      </c>
      <c r="C472" t="s">
        <v>19</v>
      </c>
      <c r="D472">
        <v>510</v>
      </c>
      <c r="E472" t="s">
        <v>757</v>
      </c>
      <c r="F472" t="s">
        <v>68</v>
      </c>
      <c r="G472" t="s">
        <v>196</v>
      </c>
      <c r="H472" t="s">
        <v>21</v>
      </c>
      <c r="I472" t="s">
        <v>16</v>
      </c>
    </row>
    <row r="473" spans="1:9" x14ac:dyDescent="0.4">
      <c r="A473" t="s">
        <v>759</v>
      </c>
      <c r="B473" t="s">
        <v>77</v>
      </c>
      <c r="C473" t="s">
        <v>19</v>
      </c>
      <c r="D473">
        <v>43446</v>
      </c>
      <c r="E473" t="s">
        <v>757</v>
      </c>
      <c r="F473" t="s">
        <v>13</v>
      </c>
      <c r="G473" t="s">
        <v>20</v>
      </c>
      <c r="H473" t="s">
        <v>21</v>
      </c>
      <c r="I473" t="s">
        <v>16</v>
      </c>
    </row>
    <row r="474" spans="1:9" x14ac:dyDescent="0.4">
      <c r="A474" t="s">
        <v>760</v>
      </c>
      <c r="B474" t="s">
        <v>77</v>
      </c>
      <c r="C474" t="s">
        <v>19</v>
      </c>
      <c r="D474">
        <v>90133</v>
      </c>
      <c r="E474" t="s">
        <v>761</v>
      </c>
      <c r="F474" t="s">
        <v>13</v>
      </c>
      <c r="G474" t="s">
        <v>20</v>
      </c>
      <c r="H474" t="s">
        <v>21</v>
      </c>
      <c r="I474" t="s">
        <v>16</v>
      </c>
    </row>
    <row r="475" spans="1:9" x14ac:dyDescent="0.4">
      <c r="A475" t="s">
        <v>762</v>
      </c>
      <c r="B475" t="s">
        <v>77</v>
      </c>
      <c r="C475" t="s">
        <v>19</v>
      </c>
      <c r="D475">
        <v>9980</v>
      </c>
      <c r="E475" t="s">
        <v>761</v>
      </c>
      <c r="F475" t="s">
        <v>13</v>
      </c>
      <c r="G475" t="s">
        <v>20</v>
      </c>
      <c r="H475" t="s">
        <v>15</v>
      </c>
      <c r="I475" t="s">
        <v>16</v>
      </c>
    </row>
    <row r="476" spans="1:9" x14ac:dyDescent="0.4">
      <c r="A476" t="s">
        <v>763</v>
      </c>
      <c r="B476" t="s">
        <v>138</v>
      </c>
      <c r="C476" t="s">
        <v>19</v>
      </c>
      <c r="D476">
        <v>39218</v>
      </c>
      <c r="E476" t="s">
        <v>761</v>
      </c>
      <c r="F476" t="s">
        <v>13</v>
      </c>
      <c r="G476" t="s">
        <v>20</v>
      </c>
      <c r="H476" t="s">
        <v>21</v>
      </c>
      <c r="I476" t="s">
        <v>16</v>
      </c>
    </row>
    <row r="477" spans="1:9" x14ac:dyDescent="0.4">
      <c r="A477" t="s">
        <v>764</v>
      </c>
      <c r="B477" t="s">
        <v>91</v>
      </c>
      <c r="C477" t="s">
        <v>19</v>
      </c>
      <c r="D477">
        <v>501</v>
      </c>
      <c r="E477" t="s">
        <v>761</v>
      </c>
      <c r="F477" t="s">
        <v>13</v>
      </c>
      <c r="G477" t="s">
        <v>20</v>
      </c>
      <c r="H477" t="s">
        <v>21</v>
      </c>
      <c r="I477" t="s">
        <v>16</v>
      </c>
    </row>
    <row r="478" spans="1:9" x14ac:dyDescent="0.4">
      <c r="A478" t="s">
        <v>765</v>
      </c>
      <c r="B478" t="s">
        <v>71</v>
      </c>
      <c r="C478" t="s">
        <v>19</v>
      </c>
      <c r="D478">
        <v>1001</v>
      </c>
      <c r="E478" t="s">
        <v>761</v>
      </c>
      <c r="F478" t="s">
        <v>13</v>
      </c>
      <c r="G478" t="s">
        <v>20</v>
      </c>
      <c r="H478" t="s">
        <v>21</v>
      </c>
      <c r="I478" t="s">
        <v>16</v>
      </c>
    </row>
    <row r="479" spans="1:9" x14ac:dyDescent="0.4">
      <c r="A479" t="s">
        <v>766</v>
      </c>
      <c r="B479" t="s">
        <v>71</v>
      </c>
      <c r="C479" t="s">
        <v>19</v>
      </c>
      <c r="D479">
        <v>1001</v>
      </c>
      <c r="E479" t="s">
        <v>767</v>
      </c>
      <c r="F479" t="s">
        <v>13</v>
      </c>
      <c r="G479" t="s">
        <v>20</v>
      </c>
      <c r="H479" t="s">
        <v>21</v>
      </c>
      <c r="I479" t="s">
        <v>16</v>
      </c>
    </row>
    <row r="480" spans="1:9" x14ac:dyDescent="0.4">
      <c r="A480" t="s">
        <v>768</v>
      </c>
      <c r="B480" t="s">
        <v>43</v>
      </c>
      <c r="C480" t="s">
        <v>19</v>
      </c>
      <c r="D480">
        <v>58081</v>
      </c>
      <c r="E480" t="s">
        <v>769</v>
      </c>
      <c r="F480" t="s">
        <v>13</v>
      </c>
      <c r="G480" t="s">
        <v>20</v>
      </c>
      <c r="H480" t="s">
        <v>21</v>
      </c>
      <c r="I480" t="s">
        <v>16</v>
      </c>
    </row>
    <row r="481" spans="1:9" x14ac:dyDescent="0.4">
      <c r="A481" t="s">
        <v>770</v>
      </c>
      <c r="B481" t="s">
        <v>26</v>
      </c>
      <c r="C481" t="s">
        <v>11</v>
      </c>
      <c r="D481">
        <v>4289</v>
      </c>
      <c r="E481" t="s">
        <v>769</v>
      </c>
      <c r="F481" t="s">
        <v>68</v>
      </c>
      <c r="G481" t="s">
        <v>69</v>
      </c>
      <c r="H481" t="s">
        <v>15</v>
      </c>
      <c r="I481" t="s">
        <v>16</v>
      </c>
    </row>
    <row r="482" spans="1:9" x14ac:dyDescent="0.4">
      <c r="A482" t="s">
        <v>771</v>
      </c>
      <c r="B482" t="s">
        <v>345</v>
      </c>
      <c r="C482" t="s">
        <v>19</v>
      </c>
      <c r="D482">
        <v>3590</v>
      </c>
      <c r="E482" t="s">
        <v>772</v>
      </c>
      <c r="F482" t="s">
        <v>13</v>
      </c>
      <c r="G482" t="s">
        <v>14</v>
      </c>
      <c r="H482" t="s">
        <v>21</v>
      </c>
      <c r="I482" t="s">
        <v>16</v>
      </c>
    </row>
    <row r="483" spans="1:9" x14ac:dyDescent="0.4">
      <c r="A483" t="s">
        <v>773</v>
      </c>
      <c r="B483" t="s">
        <v>71</v>
      </c>
      <c r="C483" t="s">
        <v>19</v>
      </c>
      <c r="D483">
        <v>11016</v>
      </c>
      <c r="E483" t="s">
        <v>774</v>
      </c>
      <c r="F483" t="s">
        <v>13</v>
      </c>
      <c r="G483" t="s">
        <v>20</v>
      </c>
      <c r="H483" t="s">
        <v>21</v>
      </c>
      <c r="I483" t="s">
        <v>16</v>
      </c>
    </row>
    <row r="484" spans="1:9" x14ac:dyDescent="0.4">
      <c r="A484" t="s">
        <v>775</v>
      </c>
      <c r="B484" t="s">
        <v>160</v>
      </c>
      <c r="C484" t="s">
        <v>34</v>
      </c>
      <c r="D484">
        <v>13924906</v>
      </c>
      <c r="E484" t="s">
        <v>776</v>
      </c>
      <c r="F484" t="s">
        <v>13</v>
      </c>
      <c r="G484" t="s">
        <v>20</v>
      </c>
      <c r="H484" t="s">
        <v>21</v>
      </c>
      <c r="I484" t="s">
        <v>16</v>
      </c>
    </row>
    <row r="485" spans="1:9" x14ac:dyDescent="0.4">
      <c r="A485" t="s">
        <v>777</v>
      </c>
      <c r="B485" t="s">
        <v>71</v>
      </c>
      <c r="C485" t="s">
        <v>19</v>
      </c>
      <c r="D485">
        <v>500</v>
      </c>
      <c r="E485" t="s">
        <v>776</v>
      </c>
      <c r="F485" t="s">
        <v>13</v>
      </c>
      <c r="G485" t="s">
        <v>20</v>
      </c>
      <c r="H485" t="s">
        <v>21</v>
      </c>
      <c r="I485" t="s">
        <v>16</v>
      </c>
    </row>
    <row r="486" spans="1:9" x14ac:dyDescent="0.4">
      <c r="A486" t="s">
        <v>778</v>
      </c>
      <c r="B486" t="s">
        <v>104</v>
      </c>
      <c r="C486" t="s">
        <v>19</v>
      </c>
      <c r="D486">
        <v>3343</v>
      </c>
      <c r="E486" t="s">
        <v>776</v>
      </c>
      <c r="F486" t="s">
        <v>13</v>
      </c>
      <c r="G486" t="s">
        <v>14</v>
      </c>
      <c r="H486" t="s">
        <v>21</v>
      </c>
      <c r="I486" t="s">
        <v>16</v>
      </c>
    </row>
    <row r="487" spans="1:9" x14ac:dyDescent="0.4">
      <c r="A487" t="s">
        <v>779</v>
      </c>
      <c r="B487" t="s">
        <v>71</v>
      </c>
      <c r="C487" t="s">
        <v>19</v>
      </c>
      <c r="D487">
        <v>7000</v>
      </c>
      <c r="E487" t="s">
        <v>780</v>
      </c>
      <c r="F487" t="s">
        <v>13</v>
      </c>
      <c r="G487" t="s">
        <v>20</v>
      </c>
      <c r="H487" t="s">
        <v>21</v>
      </c>
      <c r="I487" t="s">
        <v>16</v>
      </c>
    </row>
    <row r="488" spans="1:9" x14ac:dyDescent="0.4">
      <c r="A488" t="s">
        <v>781</v>
      </c>
      <c r="B488" t="s">
        <v>77</v>
      </c>
      <c r="C488" t="s">
        <v>19</v>
      </c>
      <c r="D488">
        <v>92332</v>
      </c>
      <c r="E488" t="s">
        <v>780</v>
      </c>
      <c r="F488" t="s">
        <v>13</v>
      </c>
      <c r="G488" t="s">
        <v>20</v>
      </c>
      <c r="H488" t="s">
        <v>21</v>
      </c>
      <c r="I488" t="s">
        <v>16</v>
      </c>
    </row>
    <row r="489" spans="1:9" x14ac:dyDescent="0.4">
      <c r="A489" t="s">
        <v>782</v>
      </c>
      <c r="B489" t="s">
        <v>136</v>
      </c>
      <c r="C489" t="s">
        <v>19</v>
      </c>
      <c r="D489">
        <v>14386</v>
      </c>
      <c r="E489" t="s">
        <v>783</v>
      </c>
      <c r="F489" t="s">
        <v>13</v>
      </c>
      <c r="G489" t="s">
        <v>20</v>
      </c>
      <c r="H489" t="s">
        <v>21</v>
      </c>
      <c r="I489" t="s">
        <v>16</v>
      </c>
    </row>
    <row r="490" spans="1:9" x14ac:dyDescent="0.4">
      <c r="A490" t="s">
        <v>784</v>
      </c>
      <c r="B490" t="s">
        <v>104</v>
      </c>
      <c r="C490" t="s">
        <v>11</v>
      </c>
      <c r="D490">
        <v>22586</v>
      </c>
      <c r="E490" t="s">
        <v>783</v>
      </c>
      <c r="F490" t="s">
        <v>13</v>
      </c>
      <c r="G490" t="s">
        <v>20</v>
      </c>
      <c r="H490" t="s">
        <v>15</v>
      </c>
      <c r="I490" t="s">
        <v>16</v>
      </c>
    </row>
    <row r="491" spans="1:9" x14ac:dyDescent="0.4">
      <c r="A491" t="s">
        <v>785</v>
      </c>
      <c r="B491" t="s">
        <v>118</v>
      </c>
      <c r="C491" t="s">
        <v>19</v>
      </c>
      <c r="D491">
        <v>111766</v>
      </c>
      <c r="E491" t="s">
        <v>786</v>
      </c>
      <c r="F491" t="s">
        <v>13</v>
      </c>
      <c r="G491" t="s">
        <v>20</v>
      </c>
      <c r="H491" t="s">
        <v>21</v>
      </c>
      <c r="I491" t="s">
        <v>16</v>
      </c>
    </row>
    <row r="492" spans="1:9" x14ac:dyDescent="0.4">
      <c r="A492" t="s">
        <v>787</v>
      </c>
      <c r="B492" t="s">
        <v>47</v>
      </c>
      <c r="C492" t="s">
        <v>11</v>
      </c>
      <c r="D492">
        <v>46061</v>
      </c>
      <c r="E492" t="s">
        <v>786</v>
      </c>
      <c r="F492" t="s">
        <v>13</v>
      </c>
      <c r="G492" t="s">
        <v>20</v>
      </c>
      <c r="H492" t="s">
        <v>15</v>
      </c>
      <c r="I492" t="s">
        <v>16</v>
      </c>
    </row>
    <row r="493" spans="1:9" x14ac:dyDescent="0.4">
      <c r="A493" t="s">
        <v>788</v>
      </c>
      <c r="B493" t="s">
        <v>18</v>
      </c>
      <c r="C493" t="s">
        <v>19</v>
      </c>
      <c r="D493">
        <v>2689826</v>
      </c>
      <c r="E493" t="s">
        <v>786</v>
      </c>
      <c r="F493" t="s">
        <v>13</v>
      </c>
      <c r="G493" t="s">
        <v>20</v>
      </c>
      <c r="H493" t="s">
        <v>21</v>
      </c>
      <c r="I493" t="s">
        <v>16</v>
      </c>
    </row>
    <row r="494" spans="1:9" x14ac:dyDescent="0.4">
      <c r="A494" t="s">
        <v>789</v>
      </c>
      <c r="B494" t="s">
        <v>138</v>
      </c>
      <c r="C494" t="s">
        <v>19</v>
      </c>
      <c r="D494">
        <v>4703</v>
      </c>
      <c r="E494" t="s">
        <v>790</v>
      </c>
      <c r="F494" t="s">
        <v>13</v>
      </c>
      <c r="G494" t="s">
        <v>20</v>
      </c>
      <c r="H494" t="s">
        <v>21</v>
      </c>
      <c r="I494" t="s">
        <v>16</v>
      </c>
    </row>
    <row r="495" spans="1:9" x14ac:dyDescent="0.4">
      <c r="A495" t="s">
        <v>791</v>
      </c>
      <c r="B495" t="s">
        <v>18</v>
      </c>
      <c r="C495" t="s">
        <v>19</v>
      </c>
      <c r="D495">
        <v>5044</v>
      </c>
      <c r="E495" t="s">
        <v>790</v>
      </c>
      <c r="F495" t="s">
        <v>13</v>
      </c>
      <c r="G495" t="s">
        <v>14</v>
      </c>
      <c r="H495" t="s">
        <v>21</v>
      </c>
      <c r="I495" t="s">
        <v>16</v>
      </c>
    </row>
    <row r="496" spans="1:9" x14ac:dyDescent="0.4">
      <c r="A496" t="s">
        <v>792</v>
      </c>
      <c r="B496" t="s">
        <v>18</v>
      </c>
      <c r="C496" t="s">
        <v>19</v>
      </c>
      <c r="D496">
        <v>6057</v>
      </c>
      <c r="E496" t="s">
        <v>793</v>
      </c>
      <c r="F496" t="s">
        <v>13</v>
      </c>
      <c r="G496" t="s">
        <v>20</v>
      </c>
      <c r="H496" t="s">
        <v>21</v>
      </c>
      <c r="I496" t="s">
        <v>16</v>
      </c>
    </row>
    <row r="497" spans="1:9" x14ac:dyDescent="0.4">
      <c r="A497" t="s">
        <v>794</v>
      </c>
      <c r="B497" t="s">
        <v>77</v>
      </c>
      <c r="C497" t="s">
        <v>19</v>
      </c>
      <c r="D497">
        <v>5440</v>
      </c>
      <c r="E497" t="s">
        <v>793</v>
      </c>
      <c r="F497" t="s">
        <v>13</v>
      </c>
      <c r="G497" t="s">
        <v>20</v>
      </c>
      <c r="H497" t="s">
        <v>21</v>
      </c>
      <c r="I497" t="s">
        <v>16</v>
      </c>
    </row>
    <row r="498" spans="1:9" x14ac:dyDescent="0.4">
      <c r="A498" t="s">
        <v>795</v>
      </c>
      <c r="B498" t="s">
        <v>86</v>
      </c>
      <c r="C498" t="s">
        <v>11</v>
      </c>
      <c r="D498">
        <v>174378</v>
      </c>
      <c r="E498" t="s">
        <v>793</v>
      </c>
      <c r="F498" t="s">
        <v>13</v>
      </c>
      <c r="G498" t="s">
        <v>20</v>
      </c>
      <c r="H498" t="s">
        <v>15</v>
      </c>
      <c r="I498" t="s">
        <v>16</v>
      </c>
    </row>
    <row r="499" spans="1:9" x14ac:dyDescent="0.4">
      <c r="A499" t="s">
        <v>796</v>
      </c>
      <c r="B499" t="s">
        <v>66</v>
      </c>
      <c r="C499" t="s">
        <v>11</v>
      </c>
      <c r="D499">
        <v>1308</v>
      </c>
      <c r="E499" t="s">
        <v>793</v>
      </c>
      <c r="F499" t="s">
        <v>13</v>
      </c>
      <c r="G499" t="s">
        <v>14</v>
      </c>
      <c r="H499" t="s">
        <v>15</v>
      </c>
      <c r="I499" t="s">
        <v>16</v>
      </c>
    </row>
    <row r="500" spans="1:9" x14ac:dyDescent="0.4">
      <c r="A500" t="s">
        <v>797</v>
      </c>
      <c r="B500" t="s">
        <v>96</v>
      </c>
      <c r="C500" t="s">
        <v>19</v>
      </c>
      <c r="D500">
        <v>19419</v>
      </c>
      <c r="E500" t="s">
        <v>798</v>
      </c>
      <c r="F500" t="s">
        <v>13</v>
      </c>
      <c r="G500" t="s">
        <v>20</v>
      </c>
      <c r="H500" t="s">
        <v>21</v>
      </c>
      <c r="I500" t="s">
        <v>16</v>
      </c>
    </row>
    <row r="501" spans="1:9" x14ac:dyDescent="0.4">
      <c r="A501" t="s">
        <v>799</v>
      </c>
      <c r="B501" t="s">
        <v>10</v>
      </c>
      <c r="C501" t="s">
        <v>19</v>
      </c>
      <c r="D501">
        <v>6242</v>
      </c>
      <c r="E501" t="s">
        <v>800</v>
      </c>
      <c r="F501" t="s">
        <v>13</v>
      </c>
      <c r="G501" t="s">
        <v>20</v>
      </c>
      <c r="H501" t="s">
        <v>21</v>
      </c>
      <c r="I501" t="s">
        <v>16</v>
      </c>
    </row>
    <row r="502" spans="1:9" x14ac:dyDescent="0.4">
      <c r="A502" t="s">
        <v>801</v>
      </c>
      <c r="B502" t="s">
        <v>60</v>
      </c>
      <c r="C502" t="s">
        <v>19</v>
      </c>
      <c r="D502">
        <v>58839</v>
      </c>
      <c r="E502" t="s">
        <v>800</v>
      </c>
      <c r="F502" t="s">
        <v>13</v>
      </c>
      <c r="G502" t="s">
        <v>20</v>
      </c>
      <c r="H502" t="s">
        <v>21</v>
      </c>
      <c r="I502" t="s">
        <v>16</v>
      </c>
    </row>
    <row r="503" spans="1:9" x14ac:dyDescent="0.4">
      <c r="A503" t="s">
        <v>802</v>
      </c>
      <c r="B503" t="s">
        <v>10</v>
      </c>
      <c r="C503" t="s">
        <v>19</v>
      </c>
      <c r="D503">
        <v>44579</v>
      </c>
      <c r="E503" t="s">
        <v>803</v>
      </c>
      <c r="F503" t="s">
        <v>13</v>
      </c>
      <c r="G503" t="s">
        <v>20</v>
      </c>
      <c r="H503" t="s">
        <v>21</v>
      </c>
      <c r="I503" t="s">
        <v>16</v>
      </c>
    </row>
    <row r="504" spans="1:9" x14ac:dyDescent="0.4">
      <c r="A504" t="s">
        <v>804</v>
      </c>
      <c r="B504" t="s">
        <v>71</v>
      </c>
      <c r="C504" t="s">
        <v>11</v>
      </c>
      <c r="D504">
        <v>1506</v>
      </c>
      <c r="E504" t="s">
        <v>805</v>
      </c>
      <c r="F504" t="s">
        <v>13</v>
      </c>
      <c r="G504" t="s">
        <v>20</v>
      </c>
      <c r="H504" t="s">
        <v>15</v>
      </c>
      <c r="I504" t="s">
        <v>16</v>
      </c>
    </row>
    <row r="505" spans="1:9" x14ac:dyDescent="0.4">
      <c r="A505" t="s">
        <v>806</v>
      </c>
      <c r="B505" t="s">
        <v>64</v>
      </c>
      <c r="C505" t="s">
        <v>19</v>
      </c>
      <c r="D505">
        <v>1695382</v>
      </c>
      <c r="E505" t="s">
        <v>805</v>
      </c>
      <c r="F505" t="s">
        <v>13</v>
      </c>
      <c r="G505" t="s">
        <v>20</v>
      </c>
      <c r="H505" t="s">
        <v>21</v>
      </c>
      <c r="I505" t="s">
        <v>16</v>
      </c>
    </row>
    <row r="506" spans="1:9" x14ac:dyDescent="0.4">
      <c r="A506" t="s">
        <v>807</v>
      </c>
      <c r="B506" t="s">
        <v>96</v>
      </c>
      <c r="C506" t="s">
        <v>19</v>
      </c>
      <c r="D506">
        <v>23517</v>
      </c>
      <c r="E506" t="s">
        <v>805</v>
      </c>
      <c r="F506" t="s">
        <v>13</v>
      </c>
      <c r="G506" t="s">
        <v>20</v>
      </c>
      <c r="H506" t="s">
        <v>21</v>
      </c>
      <c r="I506" t="s">
        <v>16</v>
      </c>
    </row>
    <row r="507" spans="1:9" x14ac:dyDescent="0.4">
      <c r="A507" t="s">
        <v>808</v>
      </c>
      <c r="B507" t="s">
        <v>138</v>
      </c>
      <c r="C507" t="s">
        <v>19</v>
      </c>
      <c r="D507">
        <v>3232</v>
      </c>
      <c r="E507" t="s">
        <v>809</v>
      </c>
      <c r="F507" t="s">
        <v>13</v>
      </c>
      <c r="G507" t="s">
        <v>14</v>
      </c>
      <c r="H507" t="s">
        <v>21</v>
      </c>
      <c r="I507" t="s">
        <v>16</v>
      </c>
    </row>
    <row r="508" spans="1:9" x14ac:dyDescent="0.4">
      <c r="A508" t="s">
        <v>810</v>
      </c>
      <c r="B508" t="s">
        <v>77</v>
      </c>
      <c r="C508" t="s">
        <v>19</v>
      </c>
      <c r="D508">
        <v>20000</v>
      </c>
      <c r="E508" t="s">
        <v>811</v>
      </c>
      <c r="F508" t="s">
        <v>13</v>
      </c>
      <c r="G508" t="s">
        <v>20</v>
      </c>
      <c r="H508" t="s">
        <v>15</v>
      </c>
      <c r="I508" t="s">
        <v>16</v>
      </c>
    </row>
    <row r="509" spans="1:9" x14ac:dyDescent="0.4">
      <c r="A509" t="s">
        <v>812</v>
      </c>
      <c r="B509" t="s">
        <v>104</v>
      </c>
      <c r="C509" t="s">
        <v>19</v>
      </c>
      <c r="D509">
        <v>607</v>
      </c>
      <c r="E509" t="s">
        <v>813</v>
      </c>
      <c r="F509" t="s">
        <v>13</v>
      </c>
      <c r="G509" t="s">
        <v>14</v>
      </c>
      <c r="H509" t="s">
        <v>21</v>
      </c>
      <c r="I509" t="s">
        <v>16</v>
      </c>
    </row>
    <row r="510" spans="1:9" x14ac:dyDescent="0.4">
      <c r="A510" t="s">
        <v>814</v>
      </c>
      <c r="B510" t="s">
        <v>18</v>
      </c>
      <c r="C510" t="s">
        <v>19</v>
      </c>
      <c r="D510">
        <v>47593</v>
      </c>
      <c r="E510" t="s">
        <v>815</v>
      </c>
      <c r="F510" t="s">
        <v>13</v>
      </c>
      <c r="G510" t="s">
        <v>20</v>
      </c>
      <c r="H510" t="s">
        <v>21</v>
      </c>
      <c r="I510" t="s">
        <v>16</v>
      </c>
    </row>
    <row r="511" spans="1:9" x14ac:dyDescent="0.4">
      <c r="A511" t="s">
        <v>816</v>
      </c>
      <c r="B511" t="s">
        <v>141</v>
      </c>
      <c r="C511" t="s">
        <v>19</v>
      </c>
      <c r="D511">
        <v>2567</v>
      </c>
      <c r="E511" t="s">
        <v>817</v>
      </c>
      <c r="F511" t="s">
        <v>13</v>
      </c>
      <c r="G511" t="s">
        <v>20</v>
      </c>
      <c r="H511" t="s">
        <v>21</v>
      </c>
      <c r="I511" t="s">
        <v>16</v>
      </c>
    </row>
    <row r="512" spans="1:9" x14ac:dyDescent="0.4">
      <c r="A512" t="s">
        <v>818</v>
      </c>
      <c r="B512" t="s">
        <v>26</v>
      </c>
      <c r="C512" t="s">
        <v>11</v>
      </c>
      <c r="D512">
        <v>8840</v>
      </c>
      <c r="E512" t="s">
        <v>819</v>
      </c>
      <c r="F512" t="s">
        <v>13</v>
      </c>
      <c r="G512" t="s">
        <v>20</v>
      </c>
      <c r="H512" t="s">
        <v>15</v>
      </c>
      <c r="I512" t="s">
        <v>16</v>
      </c>
    </row>
    <row r="513" spans="1:9" x14ac:dyDescent="0.4">
      <c r="A513" t="s">
        <v>820</v>
      </c>
      <c r="B513" t="s">
        <v>26</v>
      </c>
      <c r="C513" t="s">
        <v>11</v>
      </c>
      <c r="D513">
        <v>7864</v>
      </c>
      <c r="E513" t="s">
        <v>819</v>
      </c>
      <c r="F513" t="s">
        <v>13</v>
      </c>
      <c r="G513" t="s">
        <v>20</v>
      </c>
      <c r="H513" t="s">
        <v>15</v>
      </c>
      <c r="I513" t="s">
        <v>16</v>
      </c>
    </row>
    <row r="514" spans="1:9" x14ac:dyDescent="0.4">
      <c r="A514" t="s">
        <v>821</v>
      </c>
      <c r="B514" t="s">
        <v>55</v>
      </c>
      <c r="C514" t="s">
        <v>19</v>
      </c>
      <c r="D514">
        <v>1905000</v>
      </c>
      <c r="E514" t="s">
        <v>819</v>
      </c>
      <c r="F514" t="s">
        <v>13</v>
      </c>
      <c r="G514" t="s">
        <v>20</v>
      </c>
      <c r="H514" t="s">
        <v>21</v>
      </c>
      <c r="I514" t="s">
        <v>16</v>
      </c>
    </row>
    <row r="515" spans="1:9" x14ac:dyDescent="0.4">
      <c r="A515" t="s">
        <v>822</v>
      </c>
      <c r="B515" t="s">
        <v>47</v>
      </c>
      <c r="C515" t="s">
        <v>19</v>
      </c>
      <c r="D515">
        <v>3324</v>
      </c>
      <c r="E515" t="s">
        <v>823</v>
      </c>
      <c r="F515" t="s">
        <v>13</v>
      </c>
      <c r="G515" t="s">
        <v>20</v>
      </c>
      <c r="H515" t="s">
        <v>21</v>
      </c>
      <c r="I515" t="s">
        <v>16</v>
      </c>
    </row>
    <row r="516" spans="1:9" x14ac:dyDescent="0.4">
      <c r="A516" t="s">
        <v>824</v>
      </c>
      <c r="B516" t="s">
        <v>86</v>
      </c>
      <c r="C516" t="s">
        <v>19</v>
      </c>
      <c r="D516">
        <v>501</v>
      </c>
      <c r="E516" t="s">
        <v>823</v>
      </c>
      <c r="F516" t="s">
        <v>13</v>
      </c>
      <c r="G516" t="s">
        <v>20</v>
      </c>
      <c r="H516" t="s">
        <v>21</v>
      </c>
      <c r="I516" t="s">
        <v>16</v>
      </c>
    </row>
    <row r="517" spans="1:9" x14ac:dyDescent="0.4">
      <c r="A517" t="s">
        <v>825</v>
      </c>
      <c r="B517" t="s">
        <v>77</v>
      </c>
      <c r="C517" t="s">
        <v>19</v>
      </c>
      <c r="D517">
        <v>10000</v>
      </c>
      <c r="E517" t="s">
        <v>826</v>
      </c>
      <c r="F517" t="s">
        <v>13</v>
      </c>
      <c r="G517" t="s">
        <v>20</v>
      </c>
      <c r="H517" t="s">
        <v>21</v>
      </c>
      <c r="I517" t="s">
        <v>16</v>
      </c>
    </row>
    <row r="518" spans="1:9" x14ac:dyDescent="0.4">
      <c r="A518" t="s">
        <v>827</v>
      </c>
      <c r="B518" t="s">
        <v>120</v>
      </c>
      <c r="C518" t="s">
        <v>19</v>
      </c>
      <c r="D518">
        <v>3233</v>
      </c>
      <c r="E518" t="s">
        <v>828</v>
      </c>
      <c r="F518" t="s">
        <v>13</v>
      </c>
      <c r="G518" t="s">
        <v>20</v>
      </c>
      <c r="H518" t="s">
        <v>21</v>
      </c>
      <c r="I518" t="s">
        <v>16</v>
      </c>
    </row>
    <row r="519" spans="1:9" x14ac:dyDescent="0.4">
      <c r="A519" t="s">
        <v>829</v>
      </c>
      <c r="B519" t="s">
        <v>77</v>
      </c>
      <c r="C519" t="s">
        <v>11</v>
      </c>
      <c r="D519">
        <v>279275</v>
      </c>
      <c r="E519" t="s">
        <v>828</v>
      </c>
      <c r="F519" t="s">
        <v>13</v>
      </c>
      <c r="G519" t="s">
        <v>20</v>
      </c>
      <c r="H519" t="s">
        <v>15</v>
      </c>
      <c r="I519" t="s">
        <v>16</v>
      </c>
    </row>
    <row r="520" spans="1:9" x14ac:dyDescent="0.4">
      <c r="A520" t="s">
        <v>830</v>
      </c>
      <c r="B520" t="s">
        <v>145</v>
      </c>
      <c r="C520" t="s">
        <v>11</v>
      </c>
      <c r="D520">
        <v>232506</v>
      </c>
      <c r="E520" t="s">
        <v>828</v>
      </c>
      <c r="F520" t="s">
        <v>13</v>
      </c>
      <c r="G520" t="s">
        <v>20</v>
      </c>
      <c r="H520" t="s">
        <v>15</v>
      </c>
      <c r="I520" t="s">
        <v>16</v>
      </c>
    </row>
    <row r="521" spans="1:9" x14ac:dyDescent="0.4">
      <c r="A521" t="s">
        <v>831</v>
      </c>
      <c r="B521" t="s">
        <v>60</v>
      </c>
      <c r="C521" t="s">
        <v>11</v>
      </c>
      <c r="D521">
        <v>17040</v>
      </c>
      <c r="E521" t="s">
        <v>828</v>
      </c>
      <c r="F521" t="s">
        <v>13</v>
      </c>
      <c r="G521" t="s">
        <v>20</v>
      </c>
      <c r="H521" t="s">
        <v>15</v>
      </c>
      <c r="I521" t="s">
        <v>16</v>
      </c>
    </row>
    <row r="522" spans="1:9" x14ac:dyDescent="0.4">
      <c r="A522" t="s">
        <v>832</v>
      </c>
      <c r="B522" t="s">
        <v>116</v>
      </c>
      <c r="C522" t="s">
        <v>19</v>
      </c>
      <c r="D522">
        <v>2060</v>
      </c>
      <c r="E522" t="s">
        <v>828</v>
      </c>
      <c r="F522" t="s">
        <v>13</v>
      </c>
      <c r="G522" t="s">
        <v>14</v>
      </c>
      <c r="H522" t="s">
        <v>21</v>
      </c>
      <c r="I522" t="s">
        <v>16</v>
      </c>
    </row>
    <row r="523" spans="1:9" x14ac:dyDescent="0.4">
      <c r="A523" t="s">
        <v>833</v>
      </c>
      <c r="B523" t="s">
        <v>141</v>
      </c>
      <c r="C523" t="s">
        <v>19</v>
      </c>
      <c r="D523">
        <v>1419091</v>
      </c>
      <c r="E523" t="s">
        <v>834</v>
      </c>
      <c r="F523" t="s">
        <v>13</v>
      </c>
      <c r="G523" t="s">
        <v>20</v>
      </c>
      <c r="H523" t="s">
        <v>21</v>
      </c>
      <c r="I523" t="s">
        <v>16</v>
      </c>
    </row>
    <row r="524" spans="1:9" x14ac:dyDescent="0.4">
      <c r="A524" t="s">
        <v>835</v>
      </c>
      <c r="B524" t="s">
        <v>836</v>
      </c>
      <c r="C524" t="s">
        <v>19</v>
      </c>
      <c r="D524">
        <v>29430</v>
      </c>
      <c r="E524" t="s">
        <v>834</v>
      </c>
      <c r="F524" t="s">
        <v>13</v>
      </c>
      <c r="G524" t="s">
        <v>20</v>
      </c>
      <c r="H524" t="s">
        <v>21</v>
      </c>
      <c r="I524" t="s">
        <v>16</v>
      </c>
    </row>
    <row r="525" spans="1:9" x14ac:dyDescent="0.4">
      <c r="A525" t="s">
        <v>717</v>
      </c>
      <c r="B525" t="s">
        <v>10</v>
      </c>
      <c r="C525" t="s">
        <v>19</v>
      </c>
      <c r="D525">
        <v>19481</v>
      </c>
      <c r="E525" t="s">
        <v>837</v>
      </c>
      <c r="F525" t="s">
        <v>13</v>
      </c>
      <c r="G525" t="s">
        <v>20</v>
      </c>
      <c r="H525" t="s">
        <v>21</v>
      </c>
      <c r="I525" t="s">
        <v>16</v>
      </c>
    </row>
    <row r="526" spans="1:9" x14ac:dyDescent="0.4">
      <c r="A526" t="s">
        <v>838</v>
      </c>
      <c r="B526" t="s">
        <v>55</v>
      </c>
      <c r="C526" t="s">
        <v>34</v>
      </c>
      <c r="D526">
        <v>107154</v>
      </c>
      <c r="E526" t="s">
        <v>837</v>
      </c>
      <c r="F526" t="s">
        <v>13</v>
      </c>
      <c r="G526" t="s">
        <v>20</v>
      </c>
      <c r="H526" t="s">
        <v>21</v>
      </c>
      <c r="I526" t="s">
        <v>16</v>
      </c>
    </row>
    <row r="527" spans="1:9" x14ac:dyDescent="0.4">
      <c r="A527" t="s">
        <v>839</v>
      </c>
      <c r="B527" t="s">
        <v>138</v>
      </c>
      <c r="C527" t="s">
        <v>19</v>
      </c>
      <c r="D527">
        <v>1432</v>
      </c>
      <c r="E527" t="s">
        <v>837</v>
      </c>
      <c r="F527" t="s">
        <v>68</v>
      </c>
      <c r="G527" t="s">
        <v>69</v>
      </c>
      <c r="H527" t="s">
        <v>21</v>
      </c>
      <c r="I527" t="s">
        <v>16</v>
      </c>
    </row>
    <row r="528" spans="1:9" x14ac:dyDescent="0.4">
      <c r="A528" t="s">
        <v>840</v>
      </c>
      <c r="B528" t="s">
        <v>41</v>
      </c>
      <c r="C528" t="s">
        <v>11</v>
      </c>
      <c r="D528">
        <v>501</v>
      </c>
      <c r="E528" t="s">
        <v>841</v>
      </c>
      <c r="F528" t="s">
        <v>13</v>
      </c>
      <c r="G528" t="s">
        <v>20</v>
      </c>
      <c r="H528" t="s">
        <v>15</v>
      </c>
      <c r="I528" t="s">
        <v>16</v>
      </c>
    </row>
    <row r="529" spans="1:9" x14ac:dyDescent="0.4">
      <c r="A529" t="s">
        <v>842</v>
      </c>
      <c r="B529" t="s">
        <v>104</v>
      </c>
      <c r="C529" t="s">
        <v>34</v>
      </c>
      <c r="D529">
        <v>56615</v>
      </c>
      <c r="E529" t="s">
        <v>843</v>
      </c>
      <c r="F529" t="s">
        <v>13</v>
      </c>
      <c r="G529" t="s">
        <v>20</v>
      </c>
      <c r="H529" t="s">
        <v>21</v>
      </c>
      <c r="I529" t="s">
        <v>16</v>
      </c>
    </row>
    <row r="530" spans="1:9" x14ac:dyDescent="0.4">
      <c r="A530" t="s">
        <v>844</v>
      </c>
      <c r="B530" t="s">
        <v>120</v>
      </c>
      <c r="C530" t="s">
        <v>19</v>
      </c>
      <c r="D530">
        <v>16046</v>
      </c>
      <c r="E530" t="s">
        <v>845</v>
      </c>
      <c r="F530" t="s">
        <v>13</v>
      </c>
      <c r="G530" t="s">
        <v>20</v>
      </c>
      <c r="H530" t="s">
        <v>21</v>
      </c>
      <c r="I530" t="s">
        <v>16</v>
      </c>
    </row>
    <row r="531" spans="1:9" x14ac:dyDescent="0.4">
      <c r="A531" t="s">
        <v>846</v>
      </c>
      <c r="B531" t="s">
        <v>60</v>
      </c>
      <c r="C531" t="s">
        <v>19</v>
      </c>
      <c r="D531">
        <v>743131</v>
      </c>
      <c r="E531" t="s">
        <v>847</v>
      </c>
      <c r="F531" t="s">
        <v>13</v>
      </c>
      <c r="G531" t="s">
        <v>20</v>
      </c>
      <c r="H531" t="s">
        <v>21</v>
      </c>
      <c r="I531" t="s">
        <v>16</v>
      </c>
    </row>
    <row r="532" spans="1:9" x14ac:dyDescent="0.4">
      <c r="A532" t="s">
        <v>848</v>
      </c>
      <c r="B532" t="s">
        <v>91</v>
      </c>
      <c r="C532" t="s">
        <v>19</v>
      </c>
      <c r="D532">
        <v>1099</v>
      </c>
      <c r="E532" t="s">
        <v>847</v>
      </c>
      <c r="F532" t="s">
        <v>68</v>
      </c>
      <c r="G532" t="s">
        <v>69</v>
      </c>
      <c r="H532" t="s">
        <v>21</v>
      </c>
      <c r="I532" t="s">
        <v>16</v>
      </c>
    </row>
    <row r="533" spans="1:9" x14ac:dyDescent="0.4">
      <c r="A533" t="s">
        <v>849</v>
      </c>
      <c r="B533" t="s">
        <v>118</v>
      </c>
      <c r="C533" t="s">
        <v>19</v>
      </c>
      <c r="D533">
        <v>101104</v>
      </c>
      <c r="E533" t="s">
        <v>850</v>
      </c>
      <c r="F533" t="s">
        <v>13</v>
      </c>
      <c r="G533" t="s">
        <v>20</v>
      </c>
      <c r="H533" t="s">
        <v>21</v>
      </c>
      <c r="I533" t="s">
        <v>16</v>
      </c>
    </row>
    <row r="534" spans="1:9" x14ac:dyDescent="0.4">
      <c r="A534" t="s">
        <v>851</v>
      </c>
      <c r="B534" t="s">
        <v>71</v>
      </c>
      <c r="C534" t="s">
        <v>11</v>
      </c>
      <c r="D534">
        <v>673</v>
      </c>
      <c r="E534" t="s">
        <v>850</v>
      </c>
      <c r="F534" t="s">
        <v>68</v>
      </c>
      <c r="G534" t="s">
        <v>14</v>
      </c>
      <c r="H534" t="s">
        <v>15</v>
      </c>
      <c r="I534" t="s">
        <v>16</v>
      </c>
    </row>
    <row r="535" spans="1:9" x14ac:dyDescent="0.4">
      <c r="A535" t="s">
        <v>852</v>
      </c>
      <c r="B535" t="s">
        <v>182</v>
      </c>
      <c r="C535" t="s">
        <v>19</v>
      </c>
      <c r="D535">
        <v>23671</v>
      </c>
      <c r="E535" t="s">
        <v>853</v>
      </c>
      <c r="F535" t="s">
        <v>13</v>
      </c>
      <c r="G535" t="s">
        <v>20</v>
      </c>
      <c r="H535" t="s">
        <v>21</v>
      </c>
      <c r="I535" t="s">
        <v>16</v>
      </c>
    </row>
    <row r="536" spans="1:9" x14ac:dyDescent="0.4">
      <c r="A536" t="s">
        <v>854</v>
      </c>
      <c r="B536" t="s">
        <v>71</v>
      </c>
      <c r="C536" t="s">
        <v>19</v>
      </c>
      <c r="D536">
        <v>19000</v>
      </c>
      <c r="E536" t="s">
        <v>853</v>
      </c>
      <c r="F536" t="s">
        <v>13</v>
      </c>
      <c r="G536" t="s">
        <v>14</v>
      </c>
      <c r="H536" t="s">
        <v>21</v>
      </c>
      <c r="I536" t="s">
        <v>16</v>
      </c>
    </row>
    <row r="537" spans="1:9" x14ac:dyDescent="0.4">
      <c r="A537" t="s">
        <v>855</v>
      </c>
      <c r="B537" t="s">
        <v>64</v>
      </c>
      <c r="C537" t="s">
        <v>19</v>
      </c>
      <c r="D537">
        <v>3604</v>
      </c>
      <c r="E537" t="s">
        <v>853</v>
      </c>
      <c r="F537" t="s">
        <v>13</v>
      </c>
      <c r="G537" t="s">
        <v>14</v>
      </c>
      <c r="H537" t="s">
        <v>21</v>
      </c>
      <c r="I537" t="s">
        <v>16</v>
      </c>
    </row>
    <row r="538" spans="1:9" x14ac:dyDescent="0.4">
      <c r="A538" t="s">
        <v>686</v>
      </c>
      <c r="B538" t="s">
        <v>64</v>
      </c>
      <c r="C538" t="s">
        <v>19</v>
      </c>
      <c r="D538">
        <v>2703</v>
      </c>
      <c r="E538" t="s">
        <v>853</v>
      </c>
      <c r="F538" t="s">
        <v>13</v>
      </c>
      <c r="G538" t="s">
        <v>14</v>
      </c>
      <c r="H538" t="s">
        <v>21</v>
      </c>
      <c r="I538" t="s">
        <v>16</v>
      </c>
    </row>
    <row r="539" spans="1:9" x14ac:dyDescent="0.4">
      <c r="A539" t="s">
        <v>856</v>
      </c>
      <c r="B539" t="s">
        <v>55</v>
      </c>
      <c r="C539" t="s">
        <v>19</v>
      </c>
      <c r="D539">
        <v>1038</v>
      </c>
      <c r="E539" t="s">
        <v>857</v>
      </c>
      <c r="F539" t="s">
        <v>13</v>
      </c>
      <c r="G539" t="s">
        <v>14</v>
      </c>
      <c r="H539" t="s">
        <v>21</v>
      </c>
      <c r="I539" t="s">
        <v>16</v>
      </c>
    </row>
    <row r="540" spans="1:9" x14ac:dyDescent="0.4">
      <c r="A540" t="s">
        <v>858</v>
      </c>
      <c r="B540" t="s">
        <v>64</v>
      </c>
      <c r="C540" t="s">
        <v>19</v>
      </c>
      <c r="D540">
        <v>1499</v>
      </c>
      <c r="E540" t="s">
        <v>859</v>
      </c>
      <c r="F540" t="s">
        <v>13</v>
      </c>
      <c r="G540" t="s">
        <v>14</v>
      </c>
      <c r="H540" t="s">
        <v>21</v>
      </c>
      <c r="I540" t="s">
        <v>16</v>
      </c>
    </row>
    <row r="541" spans="1:9" x14ac:dyDescent="0.4">
      <c r="A541" t="s">
        <v>860</v>
      </c>
      <c r="B541" t="s">
        <v>10</v>
      </c>
      <c r="C541" t="s">
        <v>19</v>
      </c>
      <c r="D541">
        <v>637</v>
      </c>
      <c r="E541" t="s">
        <v>861</v>
      </c>
      <c r="F541" t="s">
        <v>68</v>
      </c>
      <c r="G541" t="s">
        <v>14</v>
      </c>
      <c r="H541" t="s">
        <v>21</v>
      </c>
      <c r="I541" t="s">
        <v>16</v>
      </c>
    </row>
    <row r="542" spans="1:9" x14ac:dyDescent="0.4">
      <c r="A542" t="s">
        <v>862</v>
      </c>
      <c r="B542" t="s">
        <v>136</v>
      </c>
      <c r="C542" t="s">
        <v>19</v>
      </c>
      <c r="D542">
        <v>536</v>
      </c>
      <c r="E542" t="s">
        <v>861</v>
      </c>
      <c r="F542" t="s">
        <v>13</v>
      </c>
      <c r="G542" t="s">
        <v>20</v>
      </c>
      <c r="H542" t="s">
        <v>15</v>
      </c>
      <c r="I542" t="s">
        <v>16</v>
      </c>
    </row>
    <row r="543" spans="1:9" x14ac:dyDescent="0.4">
      <c r="A543" t="s">
        <v>863</v>
      </c>
      <c r="B543" t="s">
        <v>176</v>
      </c>
      <c r="C543" t="s">
        <v>19</v>
      </c>
      <c r="D543">
        <v>166953</v>
      </c>
      <c r="E543" t="s">
        <v>864</v>
      </c>
      <c r="F543" t="s">
        <v>13</v>
      </c>
      <c r="G543" t="s">
        <v>20</v>
      </c>
      <c r="H543" t="s">
        <v>21</v>
      </c>
      <c r="I543" t="s">
        <v>16</v>
      </c>
    </row>
    <row r="544" spans="1:9" x14ac:dyDescent="0.4">
      <c r="A544" t="s">
        <v>865</v>
      </c>
      <c r="B544" t="s">
        <v>77</v>
      </c>
      <c r="C544" t="s">
        <v>11</v>
      </c>
      <c r="D544">
        <v>501</v>
      </c>
      <c r="E544" t="s">
        <v>864</v>
      </c>
      <c r="F544" t="s">
        <v>13</v>
      </c>
      <c r="G544" t="s">
        <v>20</v>
      </c>
      <c r="H544" t="s">
        <v>15</v>
      </c>
      <c r="I544" t="s">
        <v>16</v>
      </c>
    </row>
    <row r="545" spans="1:9" x14ac:dyDescent="0.4">
      <c r="A545" t="s">
        <v>441</v>
      </c>
      <c r="B545" t="s">
        <v>71</v>
      </c>
      <c r="C545" t="s">
        <v>19</v>
      </c>
      <c r="D545">
        <v>4530</v>
      </c>
      <c r="E545" t="s">
        <v>864</v>
      </c>
      <c r="F545" t="s">
        <v>68</v>
      </c>
      <c r="G545" t="s">
        <v>14</v>
      </c>
      <c r="H545" t="s">
        <v>21</v>
      </c>
      <c r="I545" t="s">
        <v>16</v>
      </c>
    </row>
    <row r="546" spans="1:9" x14ac:dyDescent="0.4">
      <c r="A546" t="s">
        <v>866</v>
      </c>
      <c r="B546" t="s">
        <v>141</v>
      </c>
      <c r="C546" t="s">
        <v>19</v>
      </c>
      <c r="D546">
        <v>38191</v>
      </c>
      <c r="E546" t="s">
        <v>864</v>
      </c>
      <c r="F546" t="s">
        <v>13</v>
      </c>
      <c r="G546" t="s">
        <v>20</v>
      </c>
      <c r="H546" t="s">
        <v>21</v>
      </c>
      <c r="I546" t="s">
        <v>16</v>
      </c>
    </row>
    <row r="547" spans="1:9" x14ac:dyDescent="0.4">
      <c r="A547" t="s">
        <v>867</v>
      </c>
      <c r="B547" t="s">
        <v>71</v>
      </c>
      <c r="C547" t="s">
        <v>19</v>
      </c>
      <c r="D547">
        <v>10358</v>
      </c>
      <c r="E547" t="s">
        <v>868</v>
      </c>
      <c r="F547" t="s">
        <v>13</v>
      </c>
      <c r="G547" t="s">
        <v>20</v>
      </c>
      <c r="H547" t="s">
        <v>21</v>
      </c>
      <c r="I547" t="s">
        <v>16</v>
      </c>
    </row>
    <row r="548" spans="1:9" x14ac:dyDescent="0.4">
      <c r="A548" t="s">
        <v>869</v>
      </c>
      <c r="B548" t="s">
        <v>104</v>
      </c>
      <c r="C548" t="s">
        <v>11</v>
      </c>
      <c r="D548">
        <v>771</v>
      </c>
      <c r="E548" t="s">
        <v>868</v>
      </c>
      <c r="F548" t="s">
        <v>13</v>
      </c>
      <c r="G548" t="s">
        <v>20</v>
      </c>
      <c r="H548" t="s">
        <v>15</v>
      </c>
      <c r="I548" t="s">
        <v>16</v>
      </c>
    </row>
    <row r="549" spans="1:9" x14ac:dyDescent="0.4">
      <c r="A549" t="s">
        <v>870</v>
      </c>
      <c r="B549" t="s">
        <v>116</v>
      </c>
      <c r="C549" t="s">
        <v>19</v>
      </c>
      <c r="D549">
        <v>36542</v>
      </c>
      <c r="E549" t="s">
        <v>868</v>
      </c>
      <c r="F549" t="s">
        <v>13</v>
      </c>
      <c r="G549" t="s">
        <v>20</v>
      </c>
      <c r="H549" t="s">
        <v>21</v>
      </c>
      <c r="I549" t="s">
        <v>16</v>
      </c>
    </row>
    <row r="550" spans="1:9" x14ac:dyDescent="0.4">
      <c r="A550" t="s">
        <v>871</v>
      </c>
      <c r="B550" t="s">
        <v>60</v>
      </c>
      <c r="C550" t="s">
        <v>19</v>
      </c>
      <c r="D550">
        <v>2757</v>
      </c>
      <c r="E550" t="s">
        <v>872</v>
      </c>
      <c r="F550" t="s">
        <v>13</v>
      </c>
      <c r="G550" t="s">
        <v>20</v>
      </c>
      <c r="H550" t="s">
        <v>15</v>
      </c>
      <c r="I550" t="s">
        <v>16</v>
      </c>
    </row>
    <row r="551" spans="1:9" x14ac:dyDescent="0.4">
      <c r="A551" t="s">
        <v>873</v>
      </c>
      <c r="B551" t="s">
        <v>160</v>
      </c>
      <c r="C551" t="s">
        <v>34</v>
      </c>
      <c r="D551">
        <v>606</v>
      </c>
      <c r="E551" t="s">
        <v>874</v>
      </c>
      <c r="F551" t="s">
        <v>13</v>
      </c>
      <c r="G551" t="s">
        <v>20</v>
      </c>
      <c r="H551" t="s">
        <v>15</v>
      </c>
      <c r="I551" t="s">
        <v>16</v>
      </c>
    </row>
    <row r="552" spans="1:9" x14ac:dyDescent="0.4">
      <c r="A552" t="s">
        <v>875</v>
      </c>
      <c r="B552" t="s">
        <v>71</v>
      </c>
      <c r="C552" t="s">
        <v>11</v>
      </c>
      <c r="D552">
        <v>6725572</v>
      </c>
      <c r="E552" t="s">
        <v>876</v>
      </c>
      <c r="F552" t="s">
        <v>13</v>
      </c>
      <c r="G552" t="s">
        <v>20</v>
      </c>
      <c r="H552" t="s">
        <v>15</v>
      </c>
      <c r="I552" t="s">
        <v>16</v>
      </c>
    </row>
    <row r="553" spans="1:9" x14ac:dyDescent="0.4">
      <c r="A553" t="s">
        <v>851</v>
      </c>
      <c r="B553" t="s">
        <v>71</v>
      </c>
      <c r="C553" t="s">
        <v>11</v>
      </c>
      <c r="D553">
        <v>1543</v>
      </c>
      <c r="E553" t="s">
        <v>876</v>
      </c>
      <c r="F553" t="s">
        <v>68</v>
      </c>
      <c r="G553" t="s">
        <v>404</v>
      </c>
      <c r="H553" t="s">
        <v>15</v>
      </c>
      <c r="I553" t="s">
        <v>16</v>
      </c>
    </row>
    <row r="554" spans="1:9" x14ac:dyDescent="0.4">
      <c r="A554" t="s">
        <v>877</v>
      </c>
      <c r="B554" t="s">
        <v>71</v>
      </c>
      <c r="C554" t="s">
        <v>19</v>
      </c>
      <c r="D554">
        <v>26976</v>
      </c>
      <c r="E554" t="s">
        <v>876</v>
      </c>
      <c r="F554" t="s">
        <v>13</v>
      </c>
      <c r="G554" t="s">
        <v>20</v>
      </c>
      <c r="H554" t="s">
        <v>15</v>
      </c>
      <c r="I554" t="s">
        <v>16</v>
      </c>
    </row>
    <row r="555" spans="1:9" x14ac:dyDescent="0.4">
      <c r="A555" t="s">
        <v>878</v>
      </c>
      <c r="B555" t="s">
        <v>77</v>
      </c>
      <c r="C555" t="s">
        <v>19</v>
      </c>
      <c r="D555">
        <v>2599</v>
      </c>
      <c r="E555" t="s">
        <v>876</v>
      </c>
      <c r="F555" t="s">
        <v>68</v>
      </c>
      <c r="G555" t="s">
        <v>196</v>
      </c>
      <c r="H555" t="s">
        <v>21</v>
      </c>
      <c r="I555" t="s">
        <v>16</v>
      </c>
    </row>
    <row r="556" spans="1:9" x14ac:dyDescent="0.4">
      <c r="A556" t="s">
        <v>879</v>
      </c>
      <c r="B556" t="s">
        <v>71</v>
      </c>
      <c r="C556" t="s">
        <v>19</v>
      </c>
      <c r="D556">
        <v>500</v>
      </c>
      <c r="E556" t="s">
        <v>876</v>
      </c>
      <c r="F556" t="s">
        <v>13</v>
      </c>
      <c r="G556" t="s">
        <v>20</v>
      </c>
      <c r="H556" t="s">
        <v>15</v>
      </c>
      <c r="I556" t="s">
        <v>16</v>
      </c>
    </row>
    <row r="557" spans="1:9" x14ac:dyDescent="0.4">
      <c r="A557" t="s">
        <v>880</v>
      </c>
      <c r="B557" t="s">
        <v>881</v>
      </c>
      <c r="C557" t="s">
        <v>19</v>
      </c>
      <c r="D557">
        <v>25398</v>
      </c>
      <c r="E557" t="s">
        <v>876</v>
      </c>
      <c r="F557" t="s">
        <v>13</v>
      </c>
      <c r="G557" t="s">
        <v>20</v>
      </c>
      <c r="H557" t="s">
        <v>21</v>
      </c>
      <c r="I557" t="s">
        <v>16</v>
      </c>
    </row>
    <row r="558" spans="1:9" x14ac:dyDescent="0.4">
      <c r="A558" t="s">
        <v>882</v>
      </c>
      <c r="B558" t="s">
        <v>160</v>
      </c>
      <c r="C558" t="s">
        <v>11</v>
      </c>
      <c r="D558">
        <v>630</v>
      </c>
      <c r="E558" t="s">
        <v>876</v>
      </c>
      <c r="F558" t="s">
        <v>68</v>
      </c>
      <c r="G558" t="s">
        <v>14</v>
      </c>
      <c r="H558" t="s">
        <v>15</v>
      </c>
      <c r="I558" t="s">
        <v>16</v>
      </c>
    </row>
    <row r="559" spans="1:9" x14ac:dyDescent="0.4">
      <c r="A559" t="s">
        <v>883</v>
      </c>
      <c r="B559" t="s">
        <v>104</v>
      </c>
      <c r="C559" t="s">
        <v>19</v>
      </c>
      <c r="D559">
        <v>5728</v>
      </c>
      <c r="E559" t="s">
        <v>876</v>
      </c>
      <c r="F559" t="s">
        <v>13</v>
      </c>
      <c r="G559" t="s">
        <v>20</v>
      </c>
      <c r="H559" t="s">
        <v>15</v>
      </c>
      <c r="I559" t="s">
        <v>16</v>
      </c>
    </row>
    <row r="560" spans="1:9" x14ac:dyDescent="0.4">
      <c r="A560" t="s">
        <v>884</v>
      </c>
      <c r="B560" t="s">
        <v>138</v>
      </c>
      <c r="C560" t="s">
        <v>19</v>
      </c>
      <c r="D560">
        <v>5000</v>
      </c>
      <c r="E560" t="s">
        <v>885</v>
      </c>
      <c r="F560" t="s">
        <v>13</v>
      </c>
      <c r="G560" t="s">
        <v>20</v>
      </c>
      <c r="H560" t="s">
        <v>21</v>
      </c>
      <c r="I560" t="s">
        <v>16</v>
      </c>
    </row>
    <row r="561" spans="1:9" x14ac:dyDescent="0.4">
      <c r="A561" t="s">
        <v>886</v>
      </c>
      <c r="B561" t="s">
        <v>10</v>
      </c>
      <c r="C561" t="s">
        <v>11</v>
      </c>
      <c r="D561">
        <v>13717</v>
      </c>
      <c r="E561" t="s">
        <v>885</v>
      </c>
      <c r="F561" t="s">
        <v>13</v>
      </c>
      <c r="G561" t="s">
        <v>20</v>
      </c>
      <c r="H561" t="s">
        <v>15</v>
      </c>
      <c r="I561" t="s">
        <v>16</v>
      </c>
    </row>
    <row r="562" spans="1:9" x14ac:dyDescent="0.4">
      <c r="A562" t="s">
        <v>887</v>
      </c>
      <c r="B562" t="s">
        <v>77</v>
      </c>
      <c r="C562" t="s">
        <v>19</v>
      </c>
      <c r="D562">
        <v>38401</v>
      </c>
      <c r="E562" t="s">
        <v>885</v>
      </c>
      <c r="F562" t="s">
        <v>13</v>
      </c>
      <c r="G562" t="s">
        <v>14</v>
      </c>
      <c r="H562" t="s">
        <v>21</v>
      </c>
      <c r="I562" t="s">
        <v>16</v>
      </c>
    </row>
    <row r="563" spans="1:9" x14ac:dyDescent="0.4">
      <c r="A563" t="s">
        <v>888</v>
      </c>
      <c r="B563" t="s">
        <v>28</v>
      </c>
      <c r="C563" t="s">
        <v>34</v>
      </c>
      <c r="D563">
        <v>781</v>
      </c>
      <c r="E563" t="s">
        <v>885</v>
      </c>
      <c r="F563" t="s">
        <v>13</v>
      </c>
      <c r="G563" t="s">
        <v>20</v>
      </c>
      <c r="H563" t="s">
        <v>21</v>
      </c>
      <c r="I563" t="s">
        <v>16</v>
      </c>
    </row>
    <row r="564" spans="1:9" x14ac:dyDescent="0.4">
      <c r="A564" t="s">
        <v>889</v>
      </c>
      <c r="B564" t="s">
        <v>26</v>
      </c>
      <c r="C564" t="s">
        <v>19</v>
      </c>
      <c r="D564">
        <v>12090</v>
      </c>
      <c r="E564" t="s">
        <v>885</v>
      </c>
      <c r="F564" t="s">
        <v>13</v>
      </c>
      <c r="G564" t="s">
        <v>20</v>
      </c>
      <c r="H564" t="s">
        <v>21</v>
      </c>
      <c r="I564" t="s">
        <v>16</v>
      </c>
    </row>
    <row r="565" spans="1:9" x14ac:dyDescent="0.4">
      <c r="A565" t="s">
        <v>890</v>
      </c>
      <c r="B565" t="s">
        <v>141</v>
      </c>
      <c r="C565" t="s">
        <v>19</v>
      </c>
      <c r="D565">
        <v>21856</v>
      </c>
      <c r="E565" t="s">
        <v>891</v>
      </c>
      <c r="F565" t="s">
        <v>13</v>
      </c>
      <c r="G565" t="s">
        <v>20</v>
      </c>
      <c r="H565" t="s">
        <v>21</v>
      </c>
      <c r="I565" t="s">
        <v>16</v>
      </c>
    </row>
    <row r="566" spans="1:9" x14ac:dyDescent="0.4">
      <c r="A566" t="s">
        <v>892</v>
      </c>
      <c r="B566" t="s">
        <v>77</v>
      </c>
      <c r="C566" t="s">
        <v>19</v>
      </c>
      <c r="D566">
        <v>34498</v>
      </c>
      <c r="E566" t="s">
        <v>891</v>
      </c>
      <c r="F566" t="s">
        <v>13</v>
      </c>
      <c r="G566" t="s">
        <v>20</v>
      </c>
      <c r="H566" t="s">
        <v>21</v>
      </c>
      <c r="I566" t="s">
        <v>16</v>
      </c>
    </row>
    <row r="567" spans="1:9" x14ac:dyDescent="0.4">
      <c r="A567" t="s">
        <v>893</v>
      </c>
      <c r="B567" t="s">
        <v>104</v>
      </c>
      <c r="C567" t="s">
        <v>19</v>
      </c>
      <c r="D567">
        <v>2263</v>
      </c>
      <c r="E567" t="s">
        <v>894</v>
      </c>
      <c r="F567" t="s">
        <v>68</v>
      </c>
      <c r="G567" t="s">
        <v>499</v>
      </c>
      <c r="H567" t="s">
        <v>21</v>
      </c>
      <c r="I567" t="s">
        <v>16</v>
      </c>
    </row>
    <row r="568" spans="1:9" x14ac:dyDescent="0.4">
      <c r="A568" t="s">
        <v>895</v>
      </c>
      <c r="B568" t="s">
        <v>10</v>
      </c>
      <c r="C568" t="s">
        <v>11</v>
      </c>
      <c r="D568">
        <v>88609</v>
      </c>
      <c r="E568" t="s">
        <v>894</v>
      </c>
      <c r="F568" t="s">
        <v>13</v>
      </c>
      <c r="G568" t="s">
        <v>20</v>
      </c>
      <c r="H568" t="s">
        <v>15</v>
      </c>
      <c r="I568" t="s">
        <v>16</v>
      </c>
    </row>
    <row r="569" spans="1:9" x14ac:dyDescent="0.4">
      <c r="A569" t="s">
        <v>896</v>
      </c>
      <c r="B569" t="s">
        <v>138</v>
      </c>
      <c r="C569" t="s">
        <v>19</v>
      </c>
      <c r="D569">
        <v>501</v>
      </c>
      <c r="E569" t="s">
        <v>894</v>
      </c>
      <c r="F569" t="s">
        <v>13</v>
      </c>
      <c r="G569" t="s">
        <v>14</v>
      </c>
      <c r="H569" t="s">
        <v>21</v>
      </c>
      <c r="I569" t="s">
        <v>16</v>
      </c>
    </row>
    <row r="570" spans="1:9" x14ac:dyDescent="0.4">
      <c r="A570" t="s">
        <v>897</v>
      </c>
      <c r="B570" t="s">
        <v>104</v>
      </c>
      <c r="C570" t="s">
        <v>19</v>
      </c>
      <c r="D570">
        <v>1353</v>
      </c>
      <c r="E570" t="s">
        <v>898</v>
      </c>
      <c r="F570" t="s">
        <v>68</v>
      </c>
      <c r="G570" t="s">
        <v>404</v>
      </c>
      <c r="H570" t="s">
        <v>21</v>
      </c>
      <c r="I570" t="s">
        <v>16</v>
      </c>
    </row>
    <row r="571" spans="1:9" x14ac:dyDescent="0.4">
      <c r="A571" t="s">
        <v>899</v>
      </c>
      <c r="B571" t="s">
        <v>104</v>
      </c>
      <c r="C571" t="s">
        <v>19</v>
      </c>
      <c r="D571">
        <v>6195</v>
      </c>
      <c r="E571" t="s">
        <v>898</v>
      </c>
      <c r="F571" t="s">
        <v>68</v>
      </c>
      <c r="G571" t="s">
        <v>404</v>
      </c>
      <c r="H571" t="s">
        <v>21</v>
      </c>
      <c r="I571" t="s">
        <v>16</v>
      </c>
    </row>
    <row r="572" spans="1:9" x14ac:dyDescent="0.4">
      <c r="A572" t="s">
        <v>900</v>
      </c>
      <c r="B572" t="s">
        <v>104</v>
      </c>
      <c r="C572" t="s">
        <v>19</v>
      </c>
      <c r="D572">
        <v>13332</v>
      </c>
      <c r="E572" t="s">
        <v>898</v>
      </c>
      <c r="F572" t="s">
        <v>68</v>
      </c>
      <c r="G572" t="s">
        <v>404</v>
      </c>
      <c r="H572" t="s">
        <v>21</v>
      </c>
      <c r="I572" t="s">
        <v>16</v>
      </c>
    </row>
    <row r="573" spans="1:9" x14ac:dyDescent="0.4">
      <c r="A573" t="s">
        <v>901</v>
      </c>
      <c r="B573" t="s">
        <v>28</v>
      </c>
      <c r="C573" t="s">
        <v>19</v>
      </c>
      <c r="D573">
        <v>57412</v>
      </c>
      <c r="E573" t="s">
        <v>898</v>
      </c>
      <c r="F573" t="s">
        <v>13</v>
      </c>
      <c r="G573" t="s">
        <v>20</v>
      </c>
      <c r="H573" t="s">
        <v>21</v>
      </c>
      <c r="I573" t="s">
        <v>16</v>
      </c>
    </row>
    <row r="574" spans="1:9" x14ac:dyDescent="0.4">
      <c r="A574" t="s">
        <v>902</v>
      </c>
      <c r="B574" t="s">
        <v>903</v>
      </c>
      <c r="C574" t="s">
        <v>19</v>
      </c>
      <c r="D574">
        <v>21243</v>
      </c>
      <c r="E574" t="s">
        <v>904</v>
      </c>
      <c r="F574" t="s">
        <v>13</v>
      </c>
      <c r="G574" t="s">
        <v>20</v>
      </c>
      <c r="H574" t="s">
        <v>21</v>
      </c>
      <c r="I574" t="s">
        <v>16</v>
      </c>
    </row>
    <row r="575" spans="1:9" x14ac:dyDescent="0.4">
      <c r="A575" t="s">
        <v>905</v>
      </c>
      <c r="B575" t="s">
        <v>26</v>
      </c>
      <c r="C575" t="s">
        <v>19</v>
      </c>
      <c r="D575">
        <v>841</v>
      </c>
      <c r="E575" t="s">
        <v>906</v>
      </c>
      <c r="F575" t="s">
        <v>68</v>
      </c>
      <c r="G575" t="s">
        <v>20</v>
      </c>
      <c r="H575" t="s">
        <v>21</v>
      </c>
      <c r="I575" t="s">
        <v>16</v>
      </c>
    </row>
    <row r="576" spans="1:9" x14ac:dyDescent="0.4">
      <c r="A576" t="s">
        <v>907</v>
      </c>
      <c r="B576" t="s">
        <v>138</v>
      </c>
      <c r="C576" t="s">
        <v>11</v>
      </c>
      <c r="D576">
        <v>4159</v>
      </c>
      <c r="E576" t="s">
        <v>906</v>
      </c>
      <c r="F576" t="s">
        <v>13</v>
      </c>
      <c r="G576" t="s">
        <v>20</v>
      </c>
      <c r="H576" t="s">
        <v>15</v>
      </c>
      <c r="I576" t="s">
        <v>16</v>
      </c>
    </row>
    <row r="577" spans="1:9" x14ac:dyDescent="0.4">
      <c r="A577" t="s">
        <v>908</v>
      </c>
      <c r="B577" t="s">
        <v>47</v>
      </c>
      <c r="C577" t="s">
        <v>19</v>
      </c>
      <c r="D577">
        <v>23282</v>
      </c>
      <c r="E577" t="s">
        <v>906</v>
      </c>
      <c r="F577" t="s">
        <v>13</v>
      </c>
      <c r="G577" t="s">
        <v>20</v>
      </c>
      <c r="H577" t="s">
        <v>21</v>
      </c>
      <c r="I577" t="s">
        <v>16</v>
      </c>
    </row>
    <row r="578" spans="1:9" x14ac:dyDescent="0.4">
      <c r="A578" t="s">
        <v>909</v>
      </c>
      <c r="B578" t="s">
        <v>160</v>
      </c>
      <c r="C578" t="s">
        <v>19</v>
      </c>
      <c r="D578">
        <v>176149</v>
      </c>
      <c r="E578" t="s">
        <v>906</v>
      </c>
      <c r="F578" t="s">
        <v>13</v>
      </c>
      <c r="G578" t="s">
        <v>20</v>
      </c>
      <c r="H578" t="s">
        <v>15</v>
      </c>
      <c r="I578" t="s">
        <v>16</v>
      </c>
    </row>
    <row r="579" spans="1:9" x14ac:dyDescent="0.4">
      <c r="A579" t="s">
        <v>910</v>
      </c>
      <c r="B579" t="s">
        <v>167</v>
      </c>
      <c r="C579" t="s">
        <v>19</v>
      </c>
      <c r="D579">
        <v>59990</v>
      </c>
      <c r="E579" t="s">
        <v>911</v>
      </c>
      <c r="F579" t="s">
        <v>13</v>
      </c>
      <c r="G579" t="s">
        <v>20</v>
      </c>
      <c r="H579" t="s">
        <v>21</v>
      </c>
      <c r="I579" t="s">
        <v>16</v>
      </c>
    </row>
    <row r="580" spans="1:9" x14ac:dyDescent="0.4">
      <c r="A580" t="s">
        <v>912</v>
      </c>
      <c r="B580" t="s">
        <v>96</v>
      </c>
      <c r="C580" t="s">
        <v>19</v>
      </c>
      <c r="D580">
        <v>7711</v>
      </c>
      <c r="E580" t="s">
        <v>911</v>
      </c>
      <c r="F580" t="s">
        <v>13</v>
      </c>
      <c r="G580" t="s">
        <v>20</v>
      </c>
      <c r="H580" t="s">
        <v>15</v>
      </c>
      <c r="I580" t="s">
        <v>16</v>
      </c>
    </row>
    <row r="581" spans="1:9" x14ac:dyDescent="0.4">
      <c r="A581" t="s">
        <v>913</v>
      </c>
      <c r="B581" t="s">
        <v>57</v>
      </c>
      <c r="C581" t="s">
        <v>19</v>
      </c>
      <c r="D581">
        <v>28431</v>
      </c>
      <c r="E581" t="s">
        <v>911</v>
      </c>
      <c r="F581" t="s">
        <v>13</v>
      </c>
      <c r="G581" t="s">
        <v>14</v>
      </c>
      <c r="H581" t="s">
        <v>21</v>
      </c>
      <c r="I581" t="s">
        <v>16</v>
      </c>
    </row>
    <row r="582" spans="1:9" x14ac:dyDescent="0.4">
      <c r="A582" t="s">
        <v>914</v>
      </c>
      <c r="B582" t="s">
        <v>55</v>
      </c>
      <c r="C582" t="s">
        <v>19</v>
      </c>
      <c r="D582">
        <v>500</v>
      </c>
      <c r="E582" t="s">
        <v>911</v>
      </c>
      <c r="F582" t="s">
        <v>13</v>
      </c>
      <c r="G582" t="s">
        <v>20</v>
      </c>
      <c r="H582" t="s">
        <v>21</v>
      </c>
      <c r="I582" t="s">
        <v>16</v>
      </c>
    </row>
    <row r="583" spans="1:9" x14ac:dyDescent="0.4">
      <c r="A583" t="s">
        <v>915</v>
      </c>
      <c r="B583" t="s">
        <v>96</v>
      </c>
      <c r="C583" t="s">
        <v>19</v>
      </c>
      <c r="D583">
        <v>501</v>
      </c>
      <c r="E583" t="s">
        <v>916</v>
      </c>
      <c r="F583" t="s">
        <v>13</v>
      </c>
      <c r="G583" t="s">
        <v>20</v>
      </c>
      <c r="H583" t="s">
        <v>21</v>
      </c>
      <c r="I583" t="s">
        <v>16</v>
      </c>
    </row>
    <row r="584" spans="1:9" x14ac:dyDescent="0.4">
      <c r="A584" t="s">
        <v>917</v>
      </c>
      <c r="B584" t="s">
        <v>86</v>
      </c>
      <c r="C584" t="s">
        <v>11</v>
      </c>
      <c r="D584">
        <v>593</v>
      </c>
      <c r="E584" t="s">
        <v>916</v>
      </c>
      <c r="F584" t="s">
        <v>68</v>
      </c>
      <c r="G584" t="s">
        <v>69</v>
      </c>
      <c r="H584" t="s">
        <v>15</v>
      </c>
      <c r="I584" t="s">
        <v>16</v>
      </c>
    </row>
    <row r="585" spans="1:9" x14ac:dyDescent="0.4">
      <c r="A585" t="s">
        <v>918</v>
      </c>
      <c r="B585" t="s">
        <v>251</v>
      </c>
      <c r="C585" t="s">
        <v>19</v>
      </c>
      <c r="D585">
        <v>22753</v>
      </c>
      <c r="E585" t="s">
        <v>919</v>
      </c>
      <c r="F585" t="s">
        <v>13</v>
      </c>
      <c r="G585" t="s">
        <v>20</v>
      </c>
      <c r="H585" t="s">
        <v>21</v>
      </c>
      <c r="I585" t="s">
        <v>16</v>
      </c>
    </row>
    <row r="586" spans="1:9" x14ac:dyDescent="0.4">
      <c r="A586" t="s">
        <v>920</v>
      </c>
      <c r="B586" t="s">
        <v>86</v>
      </c>
      <c r="C586" t="s">
        <v>34</v>
      </c>
      <c r="D586">
        <v>5727</v>
      </c>
      <c r="E586" t="s">
        <v>921</v>
      </c>
      <c r="F586" t="s">
        <v>13</v>
      </c>
      <c r="G586" t="s">
        <v>14</v>
      </c>
      <c r="H586" t="s">
        <v>21</v>
      </c>
      <c r="I586" t="s">
        <v>16</v>
      </c>
    </row>
    <row r="587" spans="1:9" x14ac:dyDescent="0.4">
      <c r="A587" t="s">
        <v>922</v>
      </c>
      <c r="B587" t="s">
        <v>274</v>
      </c>
      <c r="C587" t="s">
        <v>19</v>
      </c>
      <c r="D587">
        <v>878</v>
      </c>
      <c r="E587" t="s">
        <v>923</v>
      </c>
      <c r="F587" t="s">
        <v>13</v>
      </c>
      <c r="G587" t="s">
        <v>20</v>
      </c>
      <c r="H587" t="s">
        <v>21</v>
      </c>
      <c r="I587" t="s">
        <v>16</v>
      </c>
    </row>
    <row r="588" spans="1:9" x14ac:dyDescent="0.4">
      <c r="A588" t="s">
        <v>924</v>
      </c>
      <c r="B588" t="s">
        <v>91</v>
      </c>
      <c r="C588" t="s">
        <v>19</v>
      </c>
      <c r="D588">
        <v>501</v>
      </c>
      <c r="E588" t="s">
        <v>925</v>
      </c>
      <c r="F588" t="s">
        <v>13</v>
      </c>
      <c r="G588" t="s">
        <v>20</v>
      </c>
      <c r="H588" t="s">
        <v>21</v>
      </c>
      <c r="I588" t="s">
        <v>16</v>
      </c>
    </row>
    <row r="589" spans="1:9" x14ac:dyDescent="0.4">
      <c r="A589" t="s">
        <v>926</v>
      </c>
      <c r="B589" t="s">
        <v>45</v>
      </c>
      <c r="C589" t="s">
        <v>19</v>
      </c>
      <c r="D589">
        <v>4895</v>
      </c>
      <c r="E589" t="s">
        <v>927</v>
      </c>
      <c r="F589" t="s">
        <v>68</v>
      </c>
      <c r="G589" t="s">
        <v>14</v>
      </c>
      <c r="H589" t="s">
        <v>21</v>
      </c>
      <c r="I589" t="s">
        <v>16</v>
      </c>
    </row>
    <row r="590" spans="1:9" x14ac:dyDescent="0.4">
      <c r="A590" t="s">
        <v>928</v>
      </c>
      <c r="B590" t="s">
        <v>37</v>
      </c>
      <c r="C590" t="s">
        <v>19</v>
      </c>
      <c r="D590">
        <v>501</v>
      </c>
      <c r="E590" t="s">
        <v>927</v>
      </c>
      <c r="F590" t="s">
        <v>13</v>
      </c>
      <c r="G590" t="s">
        <v>20</v>
      </c>
      <c r="H590" t="s">
        <v>21</v>
      </c>
      <c r="I590" t="s">
        <v>16</v>
      </c>
    </row>
    <row r="591" spans="1:9" x14ac:dyDescent="0.4">
      <c r="A591" t="s">
        <v>929</v>
      </c>
      <c r="B591" t="s">
        <v>366</v>
      </c>
      <c r="C591" t="s">
        <v>11</v>
      </c>
      <c r="D591">
        <v>1223635</v>
      </c>
      <c r="E591" t="s">
        <v>930</v>
      </c>
      <c r="F591" t="s">
        <v>13</v>
      </c>
      <c r="G591" t="s">
        <v>20</v>
      </c>
      <c r="H591" t="s">
        <v>15</v>
      </c>
      <c r="I591" t="s">
        <v>16</v>
      </c>
    </row>
    <row r="592" spans="1:9" x14ac:dyDescent="0.4">
      <c r="A592" t="s">
        <v>931</v>
      </c>
      <c r="B592" t="s">
        <v>77</v>
      </c>
      <c r="C592" t="s">
        <v>11</v>
      </c>
      <c r="D592">
        <v>1361735</v>
      </c>
      <c r="E592" t="s">
        <v>930</v>
      </c>
      <c r="F592" t="s">
        <v>13</v>
      </c>
      <c r="G592" t="s">
        <v>20</v>
      </c>
      <c r="H592" t="s">
        <v>15</v>
      </c>
      <c r="I592" t="s">
        <v>16</v>
      </c>
    </row>
    <row r="593" spans="1:9" x14ac:dyDescent="0.4">
      <c r="A593" t="s">
        <v>932</v>
      </c>
      <c r="B593" t="s">
        <v>248</v>
      </c>
      <c r="C593" t="s">
        <v>19</v>
      </c>
      <c r="D593">
        <v>549</v>
      </c>
      <c r="E593" t="s">
        <v>933</v>
      </c>
      <c r="F593" t="s">
        <v>68</v>
      </c>
      <c r="G593" t="s">
        <v>14</v>
      </c>
      <c r="H593" t="s">
        <v>21</v>
      </c>
      <c r="I593" t="s">
        <v>16</v>
      </c>
    </row>
    <row r="594" spans="1:9" x14ac:dyDescent="0.4">
      <c r="A594" t="s">
        <v>934</v>
      </c>
      <c r="B594" t="s">
        <v>71</v>
      </c>
      <c r="C594" t="s">
        <v>11</v>
      </c>
      <c r="D594">
        <v>500</v>
      </c>
      <c r="E594" t="s">
        <v>933</v>
      </c>
      <c r="F594" t="s">
        <v>13</v>
      </c>
      <c r="G594" t="s">
        <v>20</v>
      </c>
      <c r="H594" t="s">
        <v>15</v>
      </c>
      <c r="I594" t="s">
        <v>16</v>
      </c>
    </row>
    <row r="595" spans="1:9" x14ac:dyDescent="0.4">
      <c r="A595" t="s">
        <v>935</v>
      </c>
      <c r="B595" t="s">
        <v>77</v>
      </c>
      <c r="C595" t="s">
        <v>19</v>
      </c>
      <c r="D595">
        <v>3561</v>
      </c>
      <c r="E595" t="s">
        <v>936</v>
      </c>
      <c r="F595" t="s">
        <v>68</v>
      </c>
      <c r="G595" t="s">
        <v>20</v>
      </c>
      <c r="H595" t="s">
        <v>15</v>
      </c>
      <c r="I595" t="s">
        <v>16</v>
      </c>
    </row>
    <row r="596" spans="1:9" x14ac:dyDescent="0.4">
      <c r="A596" t="s">
        <v>937</v>
      </c>
      <c r="B596" t="s">
        <v>91</v>
      </c>
      <c r="C596" t="s">
        <v>19</v>
      </c>
      <c r="D596">
        <v>38401</v>
      </c>
      <c r="E596" t="s">
        <v>938</v>
      </c>
      <c r="F596" t="s">
        <v>13</v>
      </c>
      <c r="G596" t="s">
        <v>20</v>
      </c>
      <c r="H596" t="s">
        <v>21</v>
      </c>
      <c r="I596" t="s">
        <v>16</v>
      </c>
    </row>
    <row r="597" spans="1:9" x14ac:dyDescent="0.4">
      <c r="A597" t="s">
        <v>939</v>
      </c>
      <c r="B597" t="s">
        <v>182</v>
      </c>
      <c r="C597" t="s">
        <v>19</v>
      </c>
      <c r="D597">
        <v>437329</v>
      </c>
      <c r="E597" t="s">
        <v>938</v>
      </c>
      <c r="F597" t="s">
        <v>13</v>
      </c>
      <c r="G597" t="s">
        <v>20</v>
      </c>
      <c r="H597" t="s">
        <v>21</v>
      </c>
      <c r="I597" t="s">
        <v>16</v>
      </c>
    </row>
    <row r="598" spans="1:9" x14ac:dyDescent="0.4">
      <c r="A598" t="s">
        <v>940</v>
      </c>
      <c r="B598" t="s">
        <v>91</v>
      </c>
      <c r="C598" t="s">
        <v>19</v>
      </c>
      <c r="D598">
        <v>3502</v>
      </c>
      <c r="E598" t="s">
        <v>941</v>
      </c>
      <c r="F598" t="s">
        <v>13</v>
      </c>
      <c r="G598" t="s">
        <v>14</v>
      </c>
      <c r="H598" t="s">
        <v>21</v>
      </c>
      <c r="I598" t="s">
        <v>16</v>
      </c>
    </row>
    <row r="599" spans="1:9" x14ac:dyDescent="0.4">
      <c r="A599" t="s">
        <v>942</v>
      </c>
      <c r="B599" t="s">
        <v>64</v>
      </c>
      <c r="C599" t="s">
        <v>19</v>
      </c>
      <c r="D599">
        <v>1820</v>
      </c>
      <c r="E599" t="s">
        <v>943</v>
      </c>
      <c r="F599" t="s">
        <v>13</v>
      </c>
      <c r="G599" t="s">
        <v>20</v>
      </c>
      <c r="H599" t="s">
        <v>21</v>
      </c>
      <c r="I599" t="s">
        <v>16</v>
      </c>
    </row>
    <row r="600" spans="1:9" x14ac:dyDescent="0.4">
      <c r="A600" t="s">
        <v>944</v>
      </c>
      <c r="B600" t="s">
        <v>71</v>
      </c>
      <c r="C600" t="s">
        <v>19</v>
      </c>
      <c r="D600">
        <v>42962</v>
      </c>
      <c r="E600" t="s">
        <v>943</v>
      </c>
      <c r="F600" t="s">
        <v>13</v>
      </c>
      <c r="G600" t="s">
        <v>20</v>
      </c>
      <c r="H600" t="s">
        <v>21</v>
      </c>
      <c r="I600" t="s">
        <v>16</v>
      </c>
    </row>
    <row r="601" spans="1:9" x14ac:dyDescent="0.4">
      <c r="A601" t="s">
        <v>945</v>
      </c>
      <c r="B601" t="s">
        <v>138</v>
      </c>
      <c r="C601" t="s">
        <v>19</v>
      </c>
      <c r="D601">
        <v>22215</v>
      </c>
      <c r="E601" t="s">
        <v>943</v>
      </c>
      <c r="F601" t="s">
        <v>13</v>
      </c>
      <c r="G601" t="s">
        <v>20</v>
      </c>
      <c r="H601" t="s">
        <v>21</v>
      </c>
      <c r="I601" t="s">
        <v>16</v>
      </c>
    </row>
    <row r="602" spans="1:9" x14ac:dyDescent="0.4">
      <c r="A602" t="s">
        <v>946</v>
      </c>
      <c r="B602" t="s">
        <v>345</v>
      </c>
      <c r="C602" t="s">
        <v>19</v>
      </c>
      <c r="D602">
        <v>26469</v>
      </c>
      <c r="E602" t="s">
        <v>943</v>
      </c>
      <c r="F602" t="s">
        <v>13</v>
      </c>
      <c r="G602" t="s">
        <v>20</v>
      </c>
      <c r="H602" t="s">
        <v>21</v>
      </c>
      <c r="I602" t="s">
        <v>16</v>
      </c>
    </row>
    <row r="603" spans="1:9" x14ac:dyDescent="0.4">
      <c r="A603" t="s">
        <v>947</v>
      </c>
      <c r="B603" t="s">
        <v>145</v>
      </c>
      <c r="C603" t="s">
        <v>19</v>
      </c>
      <c r="D603">
        <v>22541</v>
      </c>
      <c r="E603" t="s">
        <v>948</v>
      </c>
      <c r="F603" t="s">
        <v>13</v>
      </c>
      <c r="G603" t="s">
        <v>20</v>
      </c>
      <c r="H603" t="s">
        <v>21</v>
      </c>
      <c r="I603" t="s">
        <v>16</v>
      </c>
    </row>
    <row r="604" spans="1:9" x14ac:dyDescent="0.4">
      <c r="A604" t="s">
        <v>949</v>
      </c>
      <c r="B604" t="s">
        <v>71</v>
      </c>
      <c r="C604" t="s">
        <v>19</v>
      </c>
      <c r="D604">
        <v>1800</v>
      </c>
      <c r="E604" t="s">
        <v>950</v>
      </c>
      <c r="F604" t="s">
        <v>68</v>
      </c>
      <c r="G604" t="s">
        <v>14</v>
      </c>
      <c r="H604" t="s">
        <v>21</v>
      </c>
      <c r="I604" t="s">
        <v>16</v>
      </c>
    </row>
    <row r="605" spans="1:9" x14ac:dyDescent="0.4">
      <c r="A605" t="s">
        <v>951</v>
      </c>
      <c r="B605" t="s">
        <v>10</v>
      </c>
      <c r="C605" t="s">
        <v>19</v>
      </c>
      <c r="D605">
        <v>500</v>
      </c>
      <c r="E605" t="s">
        <v>952</v>
      </c>
      <c r="F605" t="s">
        <v>68</v>
      </c>
      <c r="G605" t="s">
        <v>953</v>
      </c>
      <c r="H605" t="s">
        <v>21</v>
      </c>
      <c r="I605" t="s">
        <v>16</v>
      </c>
    </row>
    <row r="606" spans="1:9" x14ac:dyDescent="0.4">
      <c r="A606" t="s">
        <v>954</v>
      </c>
      <c r="B606" t="s">
        <v>120</v>
      </c>
      <c r="C606" t="s">
        <v>19</v>
      </c>
      <c r="D606">
        <v>237830</v>
      </c>
      <c r="E606" t="s">
        <v>955</v>
      </c>
      <c r="F606" t="s">
        <v>13</v>
      </c>
      <c r="G606" t="s">
        <v>20</v>
      </c>
      <c r="H606" t="s">
        <v>21</v>
      </c>
      <c r="I606" t="s">
        <v>16</v>
      </c>
    </row>
    <row r="607" spans="1:9" x14ac:dyDescent="0.4">
      <c r="A607" t="s">
        <v>956</v>
      </c>
      <c r="B607" t="s">
        <v>251</v>
      </c>
      <c r="C607" t="s">
        <v>19</v>
      </c>
      <c r="D607">
        <v>1861</v>
      </c>
      <c r="E607" t="s">
        <v>957</v>
      </c>
      <c r="F607" t="s">
        <v>68</v>
      </c>
      <c r="G607" t="s">
        <v>196</v>
      </c>
      <c r="H607" t="s">
        <v>21</v>
      </c>
      <c r="I607" t="s">
        <v>16</v>
      </c>
    </row>
    <row r="608" spans="1:9" x14ac:dyDescent="0.4">
      <c r="A608" t="s">
        <v>958</v>
      </c>
      <c r="B608" t="s">
        <v>71</v>
      </c>
      <c r="C608" t="s">
        <v>19</v>
      </c>
      <c r="D608">
        <v>1002</v>
      </c>
      <c r="E608" t="s">
        <v>957</v>
      </c>
      <c r="F608" t="s">
        <v>13</v>
      </c>
      <c r="G608" t="s">
        <v>14</v>
      </c>
      <c r="H608" t="s">
        <v>21</v>
      </c>
      <c r="I608" t="s">
        <v>16</v>
      </c>
    </row>
    <row r="609" spans="1:9" x14ac:dyDescent="0.4">
      <c r="A609" t="s">
        <v>959</v>
      </c>
      <c r="B609" t="s">
        <v>75</v>
      </c>
      <c r="C609" t="s">
        <v>11</v>
      </c>
      <c r="D609">
        <v>118028</v>
      </c>
      <c r="E609" t="s">
        <v>957</v>
      </c>
      <c r="F609" t="s">
        <v>13</v>
      </c>
      <c r="G609" t="s">
        <v>20</v>
      </c>
      <c r="H609" t="s">
        <v>15</v>
      </c>
      <c r="I609" t="s">
        <v>16</v>
      </c>
    </row>
    <row r="610" spans="1:9" x14ac:dyDescent="0.4">
      <c r="A610" t="s">
        <v>960</v>
      </c>
      <c r="B610" t="s">
        <v>182</v>
      </c>
      <c r="C610" t="s">
        <v>19</v>
      </c>
      <c r="D610">
        <v>31124</v>
      </c>
      <c r="E610" t="s">
        <v>957</v>
      </c>
      <c r="F610" t="s">
        <v>13</v>
      </c>
      <c r="G610" t="s">
        <v>20</v>
      </c>
      <c r="H610" t="s">
        <v>21</v>
      </c>
      <c r="I610" t="s">
        <v>16</v>
      </c>
    </row>
    <row r="611" spans="1:9" x14ac:dyDescent="0.4">
      <c r="A611" t="s">
        <v>961</v>
      </c>
      <c r="B611" t="s">
        <v>182</v>
      </c>
      <c r="C611" t="s">
        <v>19</v>
      </c>
      <c r="D611">
        <v>13954</v>
      </c>
      <c r="E611" t="s">
        <v>957</v>
      </c>
      <c r="F611" t="s">
        <v>13</v>
      </c>
      <c r="G611" t="s">
        <v>20</v>
      </c>
      <c r="H611" t="s">
        <v>21</v>
      </c>
      <c r="I611" t="s">
        <v>16</v>
      </c>
    </row>
    <row r="612" spans="1:9" x14ac:dyDescent="0.4">
      <c r="A612" t="s">
        <v>962</v>
      </c>
      <c r="B612" t="s">
        <v>55</v>
      </c>
      <c r="C612" t="s">
        <v>11</v>
      </c>
      <c r="D612">
        <v>553332</v>
      </c>
      <c r="E612" t="s">
        <v>963</v>
      </c>
      <c r="F612" t="s">
        <v>13</v>
      </c>
      <c r="G612" t="s">
        <v>20</v>
      </c>
      <c r="H612" t="s">
        <v>15</v>
      </c>
      <c r="I612" t="s">
        <v>16</v>
      </c>
    </row>
    <row r="613" spans="1:9" x14ac:dyDescent="0.4">
      <c r="A613" t="s">
        <v>964</v>
      </c>
      <c r="B613" t="s">
        <v>43</v>
      </c>
      <c r="C613" t="s">
        <v>19</v>
      </c>
      <c r="D613">
        <v>131576</v>
      </c>
      <c r="E613" t="s">
        <v>965</v>
      </c>
      <c r="F613" t="s">
        <v>13</v>
      </c>
      <c r="G613" t="s">
        <v>48</v>
      </c>
      <c r="H613" t="s">
        <v>21</v>
      </c>
      <c r="I613" t="s">
        <v>16</v>
      </c>
    </row>
    <row r="614" spans="1:9" x14ac:dyDescent="0.4">
      <c r="A614" t="s">
        <v>966</v>
      </c>
      <c r="B614" t="s">
        <v>325</v>
      </c>
      <c r="C614" t="s">
        <v>19</v>
      </c>
      <c r="D614">
        <v>501</v>
      </c>
      <c r="E614" t="s">
        <v>967</v>
      </c>
      <c r="F614" t="s">
        <v>13</v>
      </c>
      <c r="G614" t="s">
        <v>20</v>
      </c>
      <c r="H614" t="s">
        <v>21</v>
      </c>
      <c r="I614" t="s">
        <v>16</v>
      </c>
    </row>
    <row r="615" spans="1:9" x14ac:dyDescent="0.4">
      <c r="A615" t="s">
        <v>968</v>
      </c>
      <c r="B615" t="s">
        <v>86</v>
      </c>
      <c r="C615" t="s">
        <v>19</v>
      </c>
      <c r="D615">
        <v>501</v>
      </c>
      <c r="E615" t="s">
        <v>967</v>
      </c>
      <c r="F615" t="s">
        <v>13</v>
      </c>
      <c r="G615" t="s">
        <v>20</v>
      </c>
      <c r="H615" t="s">
        <v>21</v>
      </c>
      <c r="I615" t="s">
        <v>16</v>
      </c>
    </row>
    <row r="616" spans="1:9" x14ac:dyDescent="0.4">
      <c r="A616" t="s">
        <v>969</v>
      </c>
      <c r="B616" t="s">
        <v>136</v>
      </c>
      <c r="C616" t="s">
        <v>19</v>
      </c>
      <c r="D616">
        <v>700</v>
      </c>
      <c r="E616" t="s">
        <v>967</v>
      </c>
      <c r="F616" t="s">
        <v>13</v>
      </c>
      <c r="G616" t="s">
        <v>20</v>
      </c>
      <c r="H616" t="s">
        <v>21</v>
      </c>
      <c r="I616" t="s">
        <v>16</v>
      </c>
    </row>
    <row r="617" spans="1:9" x14ac:dyDescent="0.4">
      <c r="A617" t="s">
        <v>970</v>
      </c>
      <c r="B617" t="s">
        <v>71</v>
      </c>
      <c r="C617" t="s">
        <v>19</v>
      </c>
      <c r="D617">
        <v>210706</v>
      </c>
      <c r="E617" t="s">
        <v>971</v>
      </c>
      <c r="F617" t="s">
        <v>13</v>
      </c>
      <c r="G617" t="s">
        <v>20</v>
      </c>
      <c r="H617" t="s">
        <v>21</v>
      </c>
      <c r="I617" t="s">
        <v>16</v>
      </c>
    </row>
    <row r="618" spans="1:9" x14ac:dyDescent="0.4">
      <c r="A618" t="s">
        <v>972</v>
      </c>
      <c r="B618" t="s">
        <v>104</v>
      </c>
      <c r="C618" t="s">
        <v>19</v>
      </c>
      <c r="D618">
        <v>696</v>
      </c>
      <c r="E618" t="s">
        <v>971</v>
      </c>
      <c r="F618" t="s">
        <v>13</v>
      </c>
      <c r="G618" t="s">
        <v>14</v>
      </c>
      <c r="H618" t="s">
        <v>21</v>
      </c>
      <c r="I618" t="s">
        <v>16</v>
      </c>
    </row>
    <row r="619" spans="1:9" x14ac:dyDescent="0.4">
      <c r="A619" t="s">
        <v>973</v>
      </c>
      <c r="B619" t="s">
        <v>64</v>
      </c>
      <c r="C619" t="s">
        <v>19</v>
      </c>
      <c r="D619">
        <v>75906</v>
      </c>
      <c r="E619" t="s">
        <v>974</v>
      </c>
      <c r="F619" t="s">
        <v>13</v>
      </c>
      <c r="G619" t="s">
        <v>20</v>
      </c>
      <c r="H619" t="s">
        <v>21</v>
      </c>
      <c r="I619" t="s">
        <v>16</v>
      </c>
    </row>
    <row r="620" spans="1:9" x14ac:dyDescent="0.4">
      <c r="A620" t="s">
        <v>975</v>
      </c>
      <c r="B620" t="s">
        <v>325</v>
      </c>
      <c r="C620" t="s">
        <v>19</v>
      </c>
      <c r="D620">
        <v>58519</v>
      </c>
      <c r="E620" t="s">
        <v>974</v>
      </c>
      <c r="F620" t="s">
        <v>13</v>
      </c>
      <c r="G620" t="s">
        <v>20</v>
      </c>
      <c r="H620" t="s">
        <v>21</v>
      </c>
      <c r="I620" t="s">
        <v>16</v>
      </c>
    </row>
    <row r="621" spans="1:9" x14ac:dyDescent="0.4">
      <c r="A621" t="s">
        <v>976</v>
      </c>
      <c r="B621" t="s">
        <v>248</v>
      </c>
      <c r="C621" t="s">
        <v>19</v>
      </c>
      <c r="D621">
        <v>3899</v>
      </c>
      <c r="E621" t="s">
        <v>977</v>
      </c>
      <c r="F621" t="s">
        <v>13</v>
      </c>
      <c r="G621" t="s">
        <v>14</v>
      </c>
      <c r="H621" t="s">
        <v>21</v>
      </c>
      <c r="I621" t="s">
        <v>16</v>
      </c>
    </row>
    <row r="622" spans="1:9" x14ac:dyDescent="0.4">
      <c r="A622" t="s">
        <v>978</v>
      </c>
      <c r="B622" t="s">
        <v>91</v>
      </c>
      <c r="C622" t="s">
        <v>19</v>
      </c>
      <c r="D622">
        <v>134903</v>
      </c>
      <c r="E622" t="s">
        <v>979</v>
      </c>
      <c r="F622" t="s">
        <v>13</v>
      </c>
      <c r="G622" t="s">
        <v>20</v>
      </c>
      <c r="H622" t="s">
        <v>21</v>
      </c>
      <c r="I622" t="s">
        <v>16</v>
      </c>
    </row>
    <row r="623" spans="1:9" x14ac:dyDescent="0.4">
      <c r="A623" t="s">
        <v>980</v>
      </c>
      <c r="B623" t="s">
        <v>10</v>
      </c>
      <c r="C623" t="s">
        <v>19</v>
      </c>
      <c r="D623">
        <v>501</v>
      </c>
      <c r="E623" t="s">
        <v>979</v>
      </c>
      <c r="F623" t="s">
        <v>13</v>
      </c>
      <c r="G623" t="s">
        <v>20</v>
      </c>
      <c r="H623" t="s">
        <v>21</v>
      </c>
      <c r="I623" t="s">
        <v>16</v>
      </c>
    </row>
    <row r="624" spans="1:9" x14ac:dyDescent="0.4">
      <c r="A624" t="s">
        <v>981</v>
      </c>
      <c r="B624" t="s">
        <v>55</v>
      </c>
      <c r="C624" t="s">
        <v>19</v>
      </c>
      <c r="D624">
        <v>934326</v>
      </c>
      <c r="E624" t="s">
        <v>979</v>
      </c>
      <c r="F624" t="s">
        <v>13</v>
      </c>
      <c r="G624" t="s">
        <v>20</v>
      </c>
      <c r="H624" t="s">
        <v>21</v>
      </c>
      <c r="I624" t="s">
        <v>16</v>
      </c>
    </row>
    <row r="625" spans="1:9" x14ac:dyDescent="0.4">
      <c r="A625" t="s">
        <v>982</v>
      </c>
      <c r="B625" t="s">
        <v>366</v>
      </c>
      <c r="C625" t="s">
        <v>19</v>
      </c>
      <c r="D625">
        <v>13430</v>
      </c>
      <c r="E625" t="s">
        <v>983</v>
      </c>
      <c r="F625" t="s">
        <v>13</v>
      </c>
      <c r="G625" t="s">
        <v>20</v>
      </c>
      <c r="H625" t="s">
        <v>21</v>
      </c>
      <c r="I625" t="s">
        <v>16</v>
      </c>
    </row>
    <row r="626" spans="1:9" x14ac:dyDescent="0.4">
      <c r="A626" t="s">
        <v>984</v>
      </c>
      <c r="B626" t="s">
        <v>91</v>
      </c>
      <c r="C626" t="s">
        <v>19</v>
      </c>
      <c r="D626">
        <v>8496</v>
      </c>
      <c r="E626" t="s">
        <v>983</v>
      </c>
      <c r="F626" t="s">
        <v>13</v>
      </c>
      <c r="G626" t="s">
        <v>14</v>
      </c>
      <c r="H626" t="s">
        <v>21</v>
      </c>
      <c r="I626" t="s">
        <v>16</v>
      </c>
    </row>
    <row r="627" spans="1:9" x14ac:dyDescent="0.4">
      <c r="A627" t="s">
        <v>985</v>
      </c>
      <c r="B627" t="s">
        <v>96</v>
      </c>
      <c r="C627" t="s">
        <v>11</v>
      </c>
      <c r="D627">
        <v>5782</v>
      </c>
      <c r="E627" t="s">
        <v>986</v>
      </c>
      <c r="F627" t="s">
        <v>13</v>
      </c>
      <c r="G627" t="s">
        <v>14</v>
      </c>
      <c r="H627" t="s">
        <v>15</v>
      </c>
      <c r="I627" t="s">
        <v>16</v>
      </c>
    </row>
    <row r="628" spans="1:9" x14ac:dyDescent="0.4">
      <c r="A628" t="s">
        <v>987</v>
      </c>
      <c r="B628" t="s">
        <v>71</v>
      </c>
      <c r="C628" t="s">
        <v>11</v>
      </c>
      <c r="D628">
        <v>17775</v>
      </c>
      <c r="E628" t="s">
        <v>986</v>
      </c>
      <c r="F628" t="s">
        <v>13</v>
      </c>
      <c r="G628" t="s">
        <v>20</v>
      </c>
      <c r="H628" t="s">
        <v>15</v>
      </c>
      <c r="I628" t="s">
        <v>16</v>
      </c>
    </row>
    <row r="629" spans="1:9" x14ac:dyDescent="0.4">
      <c r="A629" t="s">
        <v>988</v>
      </c>
      <c r="B629" t="s">
        <v>77</v>
      </c>
      <c r="C629" t="s">
        <v>19</v>
      </c>
      <c r="D629">
        <v>16435</v>
      </c>
      <c r="E629" t="s">
        <v>986</v>
      </c>
      <c r="F629" t="s">
        <v>13</v>
      </c>
      <c r="G629" t="s">
        <v>20</v>
      </c>
      <c r="H629" t="s">
        <v>21</v>
      </c>
      <c r="I629" t="s">
        <v>16</v>
      </c>
    </row>
    <row r="630" spans="1:9" x14ac:dyDescent="0.4">
      <c r="A630" t="s">
        <v>989</v>
      </c>
      <c r="B630" t="s">
        <v>274</v>
      </c>
      <c r="C630" t="s">
        <v>34</v>
      </c>
      <c r="D630">
        <v>1552</v>
      </c>
      <c r="E630" t="s">
        <v>986</v>
      </c>
      <c r="F630" t="s">
        <v>68</v>
      </c>
      <c r="G630" t="s">
        <v>364</v>
      </c>
      <c r="H630" t="s">
        <v>21</v>
      </c>
      <c r="I630" t="s">
        <v>16</v>
      </c>
    </row>
    <row r="631" spans="1:9" x14ac:dyDescent="0.4">
      <c r="A631" t="s">
        <v>990</v>
      </c>
      <c r="B631" t="s">
        <v>77</v>
      </c>
      <c r="C631" t="s">
        <v>11</v>
      </c>
      <c r="D631">
        <v>43045</v>
      </c>
      <c r="E631" t="s">
        <v>986</v>
      </c>
      <c r="F631" t="s">
        <v>13</v>
      </c>
      <c r="G631" t="s">
        <v>14</v>
      </c>
      <c r="H631" t="s">
        <v>15</v>
      </c>
      <c r="I631" t="s">
        <v>16</v>
      </c>
    </row>
    <row r="632" spans="1:9" x14ac:dyDescent="0.4">
      <c r="A632" t="s">
        <v>991</v>
      </c>
      <c r="B632" t="s">
        <v>37</v>
      </c>
      <c r="C632" t="s">
        <v>19</v>
      </c>
      <c r="D632">
        <v>4743</v>
      </c>
      <c r="E632" t="s">
        <v>992</v>
      </c>
      <c r="F632" t="s">
        <v>13</v>
      </c>
      <c r="G632" t="s">
        <v>20</v>
      </c>
      <c r="H632" t="s">
        <v>21</v>
      </c>
      <c r="I632" t="s">
        <v>16</v>
      </c>
    </row>
    <row r="633" spans="1:9" x14ac:dyDescent="0.4">
      <c r="A633" t="s">
        <v>993</v>
      </c>
      <c r="B633" t="s">
        <v>627</v>
      </c>
      <c r="C633" t="s">
        <v>34</v>
      </c>
      <c r="D633">
        <v>7100</v>
      </c>
      <c r="E633" t="s">
        <v>994</v>
      </c>
      <c r="F633" t="s">
        <v>13</v>
      </c>
      <c r="G633" t="s">
        <v>14</v>
      </c>
      <c r="H633" t="s">
        <v>21</v>
      </c>
      <c r="I633" t="s">
        <v>16</v>
      </c>
    </row>
    <row r="634" spans="1:9" x14ac:dyDescent="0.4">
      <c r="A634" t="s">
        <v>995</v>
      </c>
      <c r="B634" t="s">
        <v>10</v>
      </c>
      <c r="C634" t="s">
        <v>19</v>
      </c>
      <c r="D634">
        <v>3194</v>
      </c>
      <c r="E634" t="s">
        <v>996</v>
      </c>
      <c r="F634" t="s">
        <v>13</v>
      </c>
      <c r="G634" t="s">
        <v>14</v>
      </c>
      <c r="H634" t="s">
        <v>21</v>
      </c>
      <c r="I634" t="s">
        <v>16</v>
      </c>
    </row>
    <row r="635" spans="1:9" x14ac:dyDescent="0.4">
      <c r="A635" t="s">
        <v>997</v>
      </c>
      <c r="B635" t="s">
        <v>66</v>
      </c>
      <c r="C635" t="s">
        <v>19</v>
      </c>
      <c r="D635">
        <v>173430</v>
      </c>
      <c r="E635" t="s">
        <v>998</v>
      </c>
      <c r="F635" t="s">
        <v>13</v>
      </c>
      <c r="G635" t="s">
        <v>14</v>
      </c>
      <c r="H635" t="s">
        <v>21</v>
      </c>
      <c r="I635" t="s">
        <v>16</v>
      </c>
    </row>
    <row r="636" spans="1:9" x14ac:dyDescent="0.4">
      <c r="A636" t="s">
        <v>999</v>
      </c>
      <c r="B636" t="s">
        <v>10</v>
      </c>
      <c r="C636" t="s">
        <v>19</v>
      </c>
      <c r="D636">
        <v>1640</v>
      </c>
      <c r="E636" t="s">
        <v>998</v>
      </c>
      <c r="F636" t="s">
        <v>13</v>
      </c>
      <c r="G636" t="s">
        <v>14</v>
      </c>
      <c r="H636" t="s">
        <v>21</v>
      </c>
      <c r="I636" t="s">
        <v>16</v>
      </c>
    </row>
    <row r="637" spans="1:9" x14ac:dyDescent="0.4">
      <c r="A637" t="s">
        <v>1000</v>
      </c>
      <c r="B637" t="s">
        <v>116</v>
      </c>
      <c r="C637" t="s">
        <v>19</v>
      </c>
      <c r="D637">
        <v>500</v>
      </c>
      <c r="E637" t="s">
        <v>998</v>
      </c>
      <c r="F637" t="s">
        <v>13</v>
      </c>
      <c r="G637" t="s">
        <v>20</v>
      </c>
      <c r="H637" t="s">
        <v>21</v>
      </c>
      <c r="I637" t="s">
        <v>16</v>
      </c>
    </row>
    <row r="638" spans="1:9" x14ac:dyDescent="0.4">
      <c r="A638" t="s">
        <v>1001</v>
      </c>
      <c r="B638" t="s">
        <v>91</v>
      </c>
      <c r="C638" t="s">
        <v>19</v>
      </c>
      <c r="D638">
        <v>10000</v>
      </c>
      <c r="E638" t="s">
        <v>1002</v>
      </c>
      <c r="F638" t="s">
        <v>13</v>
      </c>
      <c r="G638" t="s">
        <v>20</v>
      </c>
      <c r="H638" t="s">
        <v>15</v>
      </c>
      <c r="I638" t="s">
        <v>16</v>
      </c>
    </row>
    <row r="639" spans="1:9" x14ac:dyDescent="0.4">
      <c r="A639" t="s">
        <v>1003</v>
      </c>
      <c r="B639" t="s">
        <v>71</v>
      </c>
      <c r="C639" t="s">
        <v>11</v>
      </c>
      <c r="D639">
        <v>722</v>
      </c>
      <c r="E639" t="s">
        <v>1004</v>
      </c>
      <c r="F639" t="s">
        <v>400</v>
      </c>
      <c r="G639" t="s">
        <v>1005</v>
      </c>
      <c r="H639" t="s">
        <v>15</v>
      </c>
      <c r="I639" t="s">
        <v>16</v>
      </c>
    </row>
    <row r="640" spans="1:9" x14ac:dyDescent="0.4">
      <c r="A640" t="s">
        <v>1006</v>
      </c>
      <c r="B640" t="s">
        <v>136</v>
      </c>
      <c r="C640" t="s">
        <v>19</v>
      </c>
      <c r="D640">
        <v>28502</v>
      </c>
      <c r="E640" t="s">
        <v>1004</v>
      </c>
      <c r="F640" t="s">
        <v>13</v>
      </c>
      <c r="G640" t="s">
        <v>20</v>
      </c>
      <c r="H640" t="s">
        <v>21</v>
      </c>
      <c r="I640" t="s">
        <v>16</v>
      </c>
    </row>
    <row r="641" spans="1:9" x14ac:dyDescent="0.4">
      <c r="A641" t="s">
        <v>1007</v>
      </c>
      <c r="B641" t="s">
        <v>82</v>
      </c>
      <c r="C641" t="s">
        <v>34</v>
      </c>
      <c r="D641">
        <v>6082</v>
      </c>
      <c r="E641" t="s">
        <v>1008</v>
      </c>
      <c r="F641" t="s">
        <v>13</v>
      </c>
      <c r="G641" t="s">
        <v>14</v>
      </c>
      <c r="H641" t="s">
        <v>21</v>
      </c>
      <c r="I641" t="s">
        <v>16</v>
      </c>
    </row>
    <row r="642" spans="1:9" x14ac:dyDescent="0.4">
      <c r="A642" t="s">
        <v>1009</v>
      </c>
      <c r="B642" t="s">
        <v>145</v>
      </c>
      <c r="C642" t="s">
        <v>19</v>
      </c>
      <c r="D642">
        <v>5415</v>
      </c>
      <c r="E642" t="s">
        <v>1010</v>
      </c>
      <c r="F642" t="s">
        <v>13</v>
      </c>
      <c r="G642" t="s">
        <v>20</v>
      </c>
      <c r="H642" t="s">
        <v>21</v>
      </c>
      <c r="I642" t="s">
        <v>16</v>
      </c>
    </row>
    <row r="643" spans="1:9" x14ac:dyDescent="0.4">
      <c r="A643" t="s">
        <v>1011</v>
      </c>
      <c r="B643" t="s">
        <v>356</v>
      </c>
      <c r="C643" t="s">
        <v>19</v>
      </c>
      <c r="D643">
        <v>114975</v>
      </c>
      <c r="E643" t="s">
        <v>1012</v>
      </c>
      <c r="F643" t="s">
        <v>13</v>
      </c>
      <c r="G643" t="s">
        <v>20</v>
      </c>
      <c r="H643" t="s">
        <v>21</v>
      </c>
      <c r="I643" t="s">
        <v>16</v>
      </c>
    </row>
    <row r="644" spans="1:9" x14ac:dyDescent="0.4">
      <c r="A644" t="s">
        <v>1013</v>
      </c>
      <c r="B644" t="s">
        <v>77</v>
      </c>
      <c r="C644" t="s">
        <v>19</v>
      </c>
      <c r="D644">
        <v>27000</v>
      </c>
      <c r="E644" t="s">
        <v>1014</v>
      </c>
      <c r="F644" t="s">
        <v>68</v>
      </c>
      <c r="G644" t="s">
        <v>20</v>
      </c>
      <c r="H644" t="s">
        <v>15</v>
      </c>
      <c r="I644" t="s">
        <v>16</v>
      </c>
    </row>
    <row r="645" spans="1:9" x14ac:dyDescent="0.4">
      <c r="A645" t="s">
        <v>1015</v>
      </c>
      <c r="B645" t="s">
        <v>145</v>
      </c>
      <c r="C645" t="s">
        <v>19</v>
      </c>
      <c r="D645">
        <v>62232</v>
      </c>
      <c r="E645" t="s">
        <v>1014</v>
      </c>
      <c r="F645" t="s">
        <v>13</v>
      </c>
      <c r="G645" t="s">
        <v>20</v>
      </c>
      <c r="H645" t="s">
        <v>21</v>
      </c>
      <c r="I645" t="s">
        <v>16</v>
      </c>
    </row>
    <row r="646" spans="1:9" x14ac:dyDescent="0.4">
      <c r="A646" t="s">
        <v>1016</v>
      </c>
      <c r="B646" t="s">
        <v>160</v>
      </c>
      <c r="C646" t="s">
        <v>11</v>
      </c>
      <c r="D646">
        <v>1124727</v>
      </c>
      <c r="E646" t="s">
        <v>1014</v>
      </c>
      <c r="F646" t="s">
        <v>13</v>
      </c>
      <c r="G646" t="s">
        <v>20</v>
      </c>
      <c r="H646" t="s">
        <v>15</v>
      </c>
      <c r="I646" t="s">
        <v>16</v>
      </c>
    </row>
    <row r="647" spans="1:9" x14ac:dyDescent="0.4">
      <c r="A647" t="s">
        <v>1017</v>
      </c>
      <c r="B647" t="s">
        <v>71</v>
      </c>
      <c r="C647" t="s">
        <v>11</v>
      </c>
      <c r="D647">
        <v>2511</v>
      </c>
      <c r="E647" t="s">
        <v>1014</v>
      </c>
      <c r="F647" t="s">
        <v>13</v>
      </c>
      <c r="G647" t="s">
        <v>20</v>
      </c>
      <c r="H647" t="s">
        <v>15</v>
      </c>
      <c r="I647" t="s">
        <v>16</v>
      </c>
    </row>
    <row r="648" spans="1:9" x14ac:dyDescent="0.4">
      <c r="A648" t="s">
        <v>1018</v>
      </c>
      <c r="B648" t="s">
        <v>182</v>
      </c>
      <c r="C648" t="s">
        <v>11</v>
      </c>
      <c r="D648">
        <v>10841</v>
      </c>
      <c r="E648" t="s">
        <v>1014</v>
      </c>
      <c r="F648" t="s">
        <v>13</v>
      </c>
      <c r="G648" t="s">
        <v>20</v>
      </c>
      <c r="H648" t="s">
        <v>15</v>
      </c>
      <c r="I648" t="s">
        <v>16</v>
      </c>
    </row>
    <row r="649" spans="1:9" x14ac:dyDescent="0.4">
      <c r="A649" t="s">
        <v>1019</v>
      </c>
      <c r="B649" t="s">
        <v>33</v>
      </c>
      <c r="C649" t="s">
        <v>19</v>
      </c>
      <c r="D649">
        <v>8472</v>
      </c>
      <c r="E649" t="s">
        <v>1014</v>
      </c>
      <c r="F649" t="s">
        <v>400</v>
      </c>
      <c r="G649" t="s">
        <v>1020</v>
      </c>
      <c r="H649" t="s">
        <v>21</v>
      </c>
      <c r="I649" t="s">
        <v>16</v>
      </c>
    </row>
    <row r="650" spans="1:9" x14ac:dyDescent="0.4">
      <c r="A650" t="s">
        <v>1021</v>
      </c>
      <c r="B650" t="s">
        <v>96</v>
      </c>
      <c r="C650" t="s">
        <v>19</v>
      </c>
      <c r="D650">
        <v>21534</v>
      </c>
      <c r="E650" t="s">
        <v>1022</v>
      </c>
      <c r="F650" t="s">
        <v>13</v>
      </c>
      <c r="G650" t="s">
        <v>20</v>
      </c>
      <c r="H650" t="s">
        <v>21</v>
      </c>
      <c r="I650" t="s">
        <v>16</v>
      </c>
    </row>
    <row r="651" spans="1:9" x14ac:dyDescent="0.4">
      <c r="A651" t="s">
        <v>1023</v>
      </c>
      <c r="B651" t="s">
        <v>10</v>
      </c>
      <c r="C651" t="s">
        <v>19</v>
      </c>
      <c r="D651">
        <v>1124</v>
      </c>
      <c r="E651" t="s">
        <v>1024</v>
      </c>
      <c r="F651" t="s">
        <v>13</v>
      </c>
      <c r="G651" t="s">
        <v>20</v>
      </c>
      <c r="H651" t="s">
        <v>21</v>
      </c>
      <c r="I651" t="s">
        <v>16</v>
      </c>
    </row>
    <row r="652" spans="1:9" x14ac:dyDescent="0.4">
      <c r="A652" t="s">
        <v>1025</v>
      </c>
      <c r="B652" t="s">
        <v>37</v>
      </c>
      <c r="C652" t="s">
        <v>11</v>
      </c>
      <c r="D652">
        <v>2494</v>
      </c>
      <c r="E652" t="s">
        <v>1026</v>
      </c>
      <c r="F652" t="s">
        <v>13</v>
      </c>
      <c r="G652" t="s">
        <v>20</v>
      </c>
      <c r="H652" t="s">
        <v>15</v>
      </c>
      <c r="I652" t="s">
        <v>16</v>
      </c>
    </row>
    <row r="653" spans="1:9" x14ac:dyDescent="0.4">
      <c r="A653" t="s">
        <v>1027</v>
      </c>
      <c r="B653" t="s">
        <v>274</v>
      </c>
      <c r="C653" t="s">
        <v>11</v>
      </c>
      <c r="D653">
        <v>38553</v>
      </c>
      <c r="E653" t="s">
        <v>1026</v>
      </c>
      <c r="F653" t="s">
        <v>68</v>
      </c>
      <c r="G653" t="s">
        <v>14</v>
      </c>
      <c r="H653" t="s">
        <v>15</v>
      </c>
      <c r="I653" t="s">
        <v>16</v>
      </c>
    </row>
    <row r="654" spans="1:9" x14ac:dyDescent="0.4">
      <c r="A654" t="s">
        <v>1028</v>
      </c>
      <c r="B654" t="s">
        <v>182</v>
      </c>
      <c r="C654" t="s">
        <v>19</v>
      </c>
      <c r="D654">
        <v>2771</v>
      </c>
      <c r="E654" t="s">
        <v>1026</v>
      </c>
      <c r="F654" t="s">
        <v>13</v>
      </c>
      <c r="G654" t="s">
        <v>14</v>
      </c>
      <c r="H654" t="s">
        <v>21</v>
      </c>
      <c r="I654" t="s">
        <v>16</v>
      </c>
    </row>
    <row r="655" spans="1:9" x14ac:dyDescent="0.4">
      <c r="A655" t="s">
        <v>1029</v>
      </c>
      <c r="B655" t="s">
        <v>96</v>
      </c>
      <c r="C655" t="s">
        <v>19</v>
      </c>
      <c r="D655">
        <v>18900</v>
      </c>
      <c r="E655" t="s">
        <v>1030</v>
      </c>
      <c r="F655" t="s">
        <v>13</v>
      </c>
      <c r="G655" t="s">
        <v>20</v>
      </c>
      <c r="H655" t="s">
        <v>21</v>
      </c>
      <c r="I655" t="s">
        <v>16</v>
      </c>
    </row>
    <row r="656" spans="1:9" x14ac:dyDescent="0.4">
      <c r="A656" t="s">
        <v>1031</v>
      </c>
      <c r="B656" t="s">
        <v>64</v>
      </c>
      <c r="C656" t="s">
        <v>19</v>
      </c>
      <c r="D656">
        <v>736</v>
      </c>
      <c r="E656" t="s">
        <v>1032</v>
      </c>
      <c r="F656" t="s">
        <v>13</v>
      </c>
      <c r="G656" t="s">
        <v>20</v>
      </c>
      <c r="H656" t="s">
        <v>21</v>
      </c>
      <c r="I656" t="s">
        <v>16</v>
      </c>
    </row>
    <row r="657" spans="1:9" x14ac:dyDescent="0.4">
      <c r="A657" t="s">
        <v>1033</v>
      </c>
      <c r="B657" t="s">
        <v>64</v>
      </c>
      <c r="C657" t="s">
        <v>11</v>
      </c>
      <c r="D657">
        <v>500</v>
      </c>
      <c r="E657" t="s">
        <v>1032</v>
      </c>
      <c r="F657" t="s">
        <v>13</v>
      </c>
      <c r="G657" t="s">
        <v>14</v>
      </c>
      <c r="H657" t="s">
        <v>15</v>
      </c>
      <c r="I657" t="s">
        <v>16</v>
      </c>
    </row>
    <row r="658" spans="1:9" x14ac:dyDescent="0.4">
      <c r="A658" t="s">
        <v>1034</v>
      </c>
      <c r="B658" t="s">
        <v>77</v>
      </c>
      <c r="C658" t="s">
        <v>19</v>
      </c>
      <c r="D658">
        <v>143969</v>
      </c>
      <c r="E658" t="s">
        <v>1035</v>
      </c>
      <c r="F658" t="s">
        <v>13</v>
      </c>
      <c r="G658" t="s">
        <v>20</v>
      </c>
      <c r="H658" t="s">
        <v>21</v>
      </c>
      <c r="I658" t="s">
        <v>16</v>
      </c>
    </row>
    <row r="659" spans="1:9" x14ac:dyDescent="0.4">
      <c r="A659" t="s">
        <v>1036</v>
      </c>
      <c r="B659" t="s">
        <v>120</v>
      </c>
      <c r="C659" t="s">
        <v>19</v>
      </c>
      <c r="D659">
        <v>501</v>
      </c>
      <c r="E659" t="s">
        <v>1037</v>
      </c>
      <c r="F659" t="s">
        <v>13</v>
      </c>
      <c r="G659" t="s">
        <v>20</v>
      </c>
      <c r="H659" t="s">
        <v>21</v>
      </c>
      <c r="I659" t="s">
        <v>16</v>
      </c>
    </row>
    <row r="660" spans="1:9" x14ac:dyDescent="0.4">
      <c r="A660" t="s">
        <v>1038</v>
      </c>
      <c r="B660" t="s">
        <v>71</v>
      </c>
      <c r="C660" t="s">
        <v>19</v>
      </c>
      <c r="D660">
        <v>2947264</v>
      </c>
      <c r="E660" t="s">
        <v>1039</v>
      </c>
      <c r="F660" t="s">
        <v>13</v>
      </c>
      <c r="G660" t="s">
        <v>20</v>
      </c>
      <c r="H660" t="s">
        <v>21</v>
      </c>
      <c r="I660" t="s">
        <v>16</v>
      </c>
    </row>
    <row r="661" spans="1:9" x14ac:dyDescent="0.4">
      <c r="A661" t="s">
        <v>1040</v>
      </c>
      <c r="B661" t="s">
        <v>26</v>
      </c>
      <c r="C661" t="s">
        <v>19</v>
      </c>
      <c r="D661">
        <v>12633</v>
      </c>
      <c r="E661" t="s">
        <v>1039</v>
      </c>
      <c r="F661" t="s">
        <v>68</v>
      </c>
      <c r="G661" t="s">
        <v>20</v>
      </c>
      <c r="H661" t="s">
        <v>21</v>
      </c>
      <c r="I661" t="s">
        <v>16</v>
      </c>
    </row>
    <row r="662" spans="1:9" x14ac:dyDescent="0.4">
      <c r="A662" t="s">
        <v>1041</v>
      </c>
      <c r="B662" t="s">
        <v>145</v>
      </c>
      <c r="C662" t="s">
        <v>19</v>
      </c>
      <c r="D662">
        <v>1060936</v>
      </c>
      <c r="E662" t="s">
        <v>1042</v>
      </c>
      <c r="F662" t="s">
        <v>13</v>
      </c>
      <c r="G662" t="s">
        <v>51</v>
      </c>
      <c r="H662" t="s">
        <v>21</v>
      </c>
      <c r="I662" t="s">
        <v>16</v>
      </c>
    </row>
    <row r="663" spans="1:9" x14ac:dyDescent="0.4">
      <c r="A663" t="s">
        <v>1043</v>
      </c>
      <c r="B663" t="s">
        <v>57</v>
      </c>
      <c r="C663" t="s">
        <v>19</v>
      </c>
      <c r="D663">
        <v>3250</v>
      </c>
      <c r="E663" t="s">
        <v>1044</v>
      </c>
      <c r="F663" t="s">
        <v>13</v>
      </c>
      <c r="G663" t="s">
        <v>20</v>
      </c>
      <c r="H663" t="s">
        <v>21</v>
      </c>
      <c r="I663" t="s">
        <v>16</v>
      </c>
    </row>
    <row r="664" spans="1:9" x14ac:dyDescent="0.4">
      <c r="A664" t="s">
        <v>1045</v>
      </c>
      <c r="B664" t="s">
        <v>176</v>
      </c>
      <c r="C664" t="s">
        <v>19</v>
      </c>
      <c r="D664">
        <v>3771</v>
      </c>
      <c r="E664" t="s">
        <v>1046</v>
      </c>
      <c r="F664" t="s">
        <v>13</v>
      </c>
      <c r="G664" t="s">
        <v>20</v>
      </c>
      <c r="H664" t="s">
        <v>21</v>
      </c>
      <c r="I664" t="s">
        <v>16</v>
      </c>
    </row>
    <row r="665" spans="1:9" x14ac:dyDescent="0.4">
      <c r="A665" t="s">
        <v>1047</v>
      </c>
      <c r="B665" t="s">
        <v>325</v>
      </c>
      <c r="C665" t="s">
        <v>19</v>
      </c>
      <c r="D665">
        <v>1446</v>
      </c>
      <c r="E665" t="s">
        <v>1048</v>
      </c>
      <c r="F665" t="s">
        <v>13</v>
      </c>
      <c r="G665" t="s">
        <v>20</v>
      </c>
      <c r="H665" t="s">
        <v>21</v>
      </c>
      <c r="I665" t="s">
        <v>16</v>
      </c>
    </row>
    <row r="666" spans="1:9" x14ac:dyDescent="0.4">
      <c r="A666" t="s">
        <v>1049</v>
      </c>
      <c r="B666" t="s">
        <v>96</v>
      </c>
      <c r="C666" t="s">
        <v>19</v>
      </c>
      <c r="D666">
        <v>49213</v>
      </c>
      <c r="E666" t="s">
        <v>1050</v>
      </c>
      <c r="F666" t="s">
        <v>13</v>
      </c>
      <c r="G666" t="s">
        <v>20</v>
      </c>
      <c r="H666" t="s">
        <v>21</v>
      </c>
      <c r="I666" t="s">
        <v>16</v>
      </c>
    </row>
    <row r="667" spans="1:9" x14ac:dyDescent="0.4">
      <c r="A667" t="s">
        <v>1051</v>
      </c>
      <c r="B667" t="s">
        <v>18</v>
      </c>
      <c r="C667" t="s">
        <v>19</v>
      </c>
      <c r="D667">
        <v>65648</v>
      </c>
      <c r="E667" t="s">
        <v>1050</v>
      </c>
      <c r="F667" t="s">
        <v>68</v>
      </c>
      <c r="G667" t="s">
        <v>20</v>
      </c>
      <c r="H667" t="s">
        <v>21</v>
      </c>
      <c r="I667" t="s">
        <v>16</v>
      </c>
    </row>
    <row r="668" spans="1:9" x14ac:dyDescent="0.4">
      <c r="A668" t="s">
        <v>1052</v>
      </c>
      <c r="B668" t="s">
        <v>28</v>
      </c>
      <c r="C668" t="s">
        <v>19</v>
      </c>
      <c r="D668">
        <v>950</v>
      </c>
      <c r="E668" t="s">
        <v>1053</v>
      </c>
      <c r="F668" t="s">
        <v>13</v>
      </c>
      <c r="G668" t="s">
        <v>20</v>
      </c>
      <c r="H668" t="s">
        <v>21</v>
      </c>
      <c r="I668" t="s">
        <v>16</v>
      </c>
    </row>
    <row r="669" spans="1:9" x14ac:dyDescent="0.4">
      <c r="A669" t="s">
        <v>1054</v>
      </c>
      <c r="B669" t="s">
        <v>57</v>
      </c>
      <c r="C669" t="s">
        <v>19</v>
      </c>
      <c r="D669">
        <v>104513</v>
      </c>
      <c r="E669" t="s">
        <v>1055</v>
      </c>
      <c r="F669" t="s">
        <v>13</v>
      </c>
      <c r="G669" t="s">
        <v>20</v>
      </c>
      <c r="H669" t="s">
        <v>21</v>
      </c>
      <c r="I669" t="s">
        <v>16</v>
      </c>
    </row>
    <row r="670" spans="1:9" x14ac:dyDescent="0.4">
      <c r="A670" t="s">
        <v>1056</v>
      </c>
      <c r="B670" t="s">
        <v>120</v>
      </c>
      <c r="C670" t="s">
        <v>19</v>
      </c>
      <c r="D670">
        <v>956</v>
      </c>
      <c r="E670" t="s">
        <v>1057</v>
      </c>
      <c r="F670" t="s">
        <v>13</v>
      </c>
      <c r="G670" t="s">
        <v>14</v>
      </c>
      <c r="H670" t="s">
        <v>21</v>
      </c>
      <c r="I670" t="s">
        <v>16</v>
      </c>
    </row>
    <row r="671" spans="1:9" x14ac:dyDescent="0.4">
      <c r="A671" t="s">
        <v>1058</v>
      </c>
      <c r="B671" t="s">
        <v>77</v>
      </c>
      <c r="C671" t="s">
        <v>11</v>
      </c>
      <c r="D671">
        <v>701475</v>
      </c>
      <c r="E671" t="s">
        <v>1059</v>
      </c>
      <c r="F671" t="s">
        <v>13</v>
      </c>
      <c r="G671" t="s">
        <v>20</v>
      </c>
      <c r="H671" t="s">
        <v>15</v>
      </c>
      <c r="I671" t="s">
        <v>16</v>
      </c>
    </row>
    <row r="672" spans="1:9" x14ac:dyDescent="0.4">
      <c r="A672" t="s">
        <v>1060</v>
      </c>
      <c r="B672" t="s">
        <v>104</v>
      </c>
      <c r="C672" t="s">
        <v>19</v>
      </c>
      <c r="D672">
        <v>64000</v>
      </c>
      <c r="E672" t="s">
        <v>1061</v>
      </c>
      <c r="F672" t="s">
        <v>13</v>
      </c>
      <c r="G672" t="s">
        <v>20</v>
      </c>
      <c r="H672" t="s">
        <v>21</v>
      </c>
      <c r="I672" t="s">
        <v>16</v>
      </c>
    </row>
    <row r="673" spans="1:9" x14ac:dyDescent="0.4">
      <c r="A673" t="s">
        <v>1062</v>
      </c>
      <c r="B673" t="s">
        <v>28</v>
      </c>
      <c r="C673" t="s">
        <v>19</v>
      </c>
      <c r="D673">
        <v>64813</v>
      </c>
      <c r="E673" t="s">
        <v>1063</v>
      </c>
      <c r="F673" t="s">
        <v>13</v>
      </c>
      <c r="G673" t="s">
        <v>20</v>
      </c>
      <c r="H673" t="s">
        <v>21</v>
      </c>
      <c r="I673" t="s">
        <v>16</v>
      </c>
    </row>
    <row r="674" spans="1:9" x14ac:dyDescent="0.4">
      <c r="A674" t="s">
        <v>1064</v>
      </c>
      <c r="B674" t="s">
        <v>71</v>
      </c>
      <c r="C674" t="s">
        <v>19</v>
      </c>
      <c r="D674">
        <v>30312</v>
      </c>
      <c r="E674" t="s">
        <v>1065</v>
      </c>
      <c r="F674" t="s">
        <v>13</v>
      </c>
      <c r="G674" t="s">
        <v>20</v>
      </c>
      <c r="H674" t="s">
        <v>21</v>
      </c>
      <c r="I674" t="s">
        <v>16</v>
      </c>
    </row>
    <row r="675" spans="1:9" x14ac:dyDescent="0.4">
      <c r="A675" t="s">
        <v>1066</v>
      </c>
      <c r="B675" t="s">
        <v>28</v>
      </c>
      <c r="C675" t="s">
        <v>19</v>
      </c>
      <c r="D675">
        <v>29898</v>
      </c>
      <c r="E675" t="s">
        <v>1065</v>
      </c>
      <c r="F675" t="s">
        <v>13</v>
      </c>
      <c r="G675" t="s">
        <v>20</v>
      </c>
      <c r="H675" t="s">
        <v>21</v>
      </c>
      <c r="I675" t="s">
        <v>16</v>
      </c>
    </row>
    <row r="676" spans="1:9" x14ac:dyDescent="0.4">
      <c r="A676" t="s">
        <v>1067</v>
      </c>
      <c r="B676" t="s">
        <v>325</v>
      </c>
      <c r="C676" t="s">
        <v>19</v>
      </c>
      <c r="D676">
        <v>1110</v>
      </c>
      <c r="E676" t="s">
        <v>1068</v>
      </c>
      <c r="F676" t="s">
        <v>13</v>
      </c>
      <c r="G676" t="s">
        <v>14</v>
      </c>
      <c r="H676" t="s">
        <v>21</v>
      </c>
      <c r="I676" t="s">
        <v>16</v>
      </c>
    </row>
    <row r="677" spans="1:9" x14ac:dyDescent="0.4">
      <c r="A677" t="s">
        <v>1069</v>
      </c>
      <c r="B677" t="s">
        <v>251</v>
      </c>
      <c r="C677" t="s">
        <v>11</v>
      </c>
      <c r="D677">
        <v>501</v>
      </c>
      <c r="E677" t="s">
        <v>1070</v>
      </c>
      <c r="F677" t="s">
        <v>13</v>
      </c>
      <c r="G677" t="s">
        <v>14</v>
      </c>
      <c r="H677" t="s">
        <v>15</v>
      </c>
      <c r="I677" t="s">
        <v>16</v>
      </c>
    </row>
    <row r="678" spans="1:9" x14ac:dyDescent="0.4">
      <c r="A678" t="s">
        <v>1071</v>
      </c>
      <c r="B678" t="s">
        <v>77</v>
      </c>
      <c r="C678" t="s">
        <v>19</v>
      </c>
      <c r="D678">
        <v>4552</v>
      </c>
      <c r="E678" t="s">
        <v>1072</v>
      </c>
      <c r="F678" t="s">
        <v>13</v>
      </c>
      <c r="G678" t="s">
        <v>20</v>
      </c>
      <c r="H678" t="s">
        <v>21</v>
      </c>
      <c r="I678" t="s">
        <v>16</v>
      </c>
    </row>
    <row r="679" spans="1:9" x14ac:dyDescent="0.4">
      <c r="A679" t="s">
        <v>1073</v>
      </c>
      <c r="B679" t="s">
        <v>86</v>
      </c>
      <c r="C679" t="s">
        <v>19</v>
      </c>
      <c r="D679">
        <v>1153</v>
      </c>
      <c r="E679" t="s">
        <v>1074</v>
      </c>
      <c r="F679" t="s">
        <v>68</v>
      </c>
      <c r="G679" t="s">
        <v>20</v>
      </c>
      <c r="H679" t="s">
        <v>21</v>
      </c>
      <c r="I679" t="s">
        <v>16</v>
      </c>
    </row>
    <row r="680" spans="1:9" x14ac:dyDescent="0.4">
      <c r="A680" t="s">
        <v>1075</v>
      </c>
      <c r="B680" t="s">
        <v>366</v>
      </c>
      <c r="C680" t="s">
        <v>11</v>
      </c>
      <c r="D680">
        <v>3112</v>
      </c>
      <c r="E680" t="s">
        <v>1076</v>
      </c>
      <c r="F680" t="s">
        <v>13</v>
      </c>
      <c r="G680" t="s">
        <v>20</v>
      </c>
      <c r="H680" t="s">
        <v>15</v>
      </c>
      <c r="I680" t="s">
        <v>16</v>
      </c>
    </row>
    <row r="681" spans="1:9" x14ac:dyDescent="0.4">
      <c r="A681" t="s">
        <v>1077</v>
      </c>
      <c r="B681" t="s">
        <v>345</v>
      </c>
      <c r="C681" t="s">
        <v>11</v>
      </c>
      <c r="D681">
        <v>1549</v>
      </c>
      <c r="E681" t="s">
        <v>1076</v>
      </c>
      <c r="F681" t="s">
        <v>13</v>
      </c>
      <c r="G681" t="s">
        <v>20</v>
      </c>
      <c r="H681" t="s">
        <v>15</v>
      </c>
      <c r="I681" t="s">
        <v>16</v>
      </c>
    </row>
    <row r="682" spans="1:9" x14ac:dyDescent="0.4">
      <c r="A682" t="s">
        <v>1078</v>
      </c>
      <c r="B682" t="s">
        <v>77</v>
      </c>
      <c r="C682" t="s">
        <v>11</v>
      </c>
      <c r="D682">
        <v>13000</v>
      </c>
      <c r="E682" t="s">
        <v>1079</v>
      </c>
      <c r="F682" t="s">
        <v>13</v>
      </c>
      <c r="G682" t="s">
        <v>20</v>
      </c>
      <c r="H682" t="s">
        <v>15</v>
      </c>
      <c r="I682" t="s">
        <v>16</v>
      </c>
    </row>
    <row r="683" spans="1:9" x14ac:dyDescent="0.4">
      <c r="A683" t="s">
        <v>1080</v>
      </c>
      <c r="B683" t="s">
        <v>258</v>
      </c>
      <c r="C683" t="s">
        <v>19</v>
      </c>
      <c r="D683">
        <v>18949</v>
      </c>
      <c r="E683" t="s">
        <v>1081</v>
      </c>
      <c r="F683" t="s">
        <v>13</v>
      </c>
      <c r="G683" t="s">
        <v>20</v>
      </c>
      <c r="H683" t="s">
        <v>21</v>
      </c>
      <c r="I683" t="s">
        <v>16</v>
      </c>
    </row>
    <row r="684" spans="1:9" x14ac:dyDescent="0.4">
      <c r="A684" t="s">
        <v>1082</v>
      </c>
      <c r="B684" t="s">
        <v>43</v>
      </c>
      <c r="C684" t="s">
        <v>19</v>
      </c>
      <c r="D684">
        <v>48600</v>
      </c>
      <c r="E684" t="s">
        <v>1081</v>
      </c>
      <c r="F684" t="s">
        <v>13</v>
      </c>
      <c r="G684" t="s">
        <v>20</v>
      </c>
      <c r="H684" t="s">
        <v>21</v>
      </c>
      <c r="I684" t="s">
        <v>16</v>
      </c>
    </row>
    <row r="685" spans="1:9" x14ac:dyDescent="0.4">
      <c r="A685" t="s">
        <v>1083</v>
      </c>
      <c r="B685" t="s">
        <v>10</v>
      </c>
      <c r="C685" t="s">
        <v>19</v>
      </c>
      <c r="D685">
        <v>815000</v>
      </c>
      <c r="E685" t="s">
        <v>1084</v>
      </c>
      <c r="F685" t="s">
        <v>13</v>
      </c>
      <c r="G685" t="s">
        <v>20</v>
      </c>
      <c r="H685" t="s">
        <v>21</v>
      </c>
      <c r="I685" t="s">
        <v>16</v>
      </c>
    </row>
    <row r="686" spans="1:9" x14ac:dyDescent="0.4">
      <c r="A686" t="s">
        <v>1085</v>
      </c>
      <c r="B686" t="s">
        <v>10</v>
      </c>
      <c r="C686" t="s">
        <v>19</v>
      </c>
      <c r="D686">
        <v>650000</v>
      </c>
      <c r="E686" t="s">
        <v>1084</v>
      </c>
      <c r="F686" t="s">
        <v>13</v>
      </c>
      <c r="G686" t="s">
        <v>20</v>
      </c>
      <c r="H686" t="s">
        <v>21</v>
      </c>
      <c r="I686" t="s">
        <v>16</v>
      </c>
    </row>
    <row r="687" spans="1:9" x14ac:dyDescent="0.4">
      <c r="A687" t="s">
        <v>1086</v>
      </c>
      <c r="B687" t="s">
        <v>86</v>
      </c>
      <c r="C687" t="s">
        <v>19</v>
      </c>
      <c r="D687">
        <v>2155</v>
      </c>
      <c r="E687" t="s">
        <v>1084</v>
      </c>
      <c r="F687" t="s">
        <v>13</v>
      </c>
      <c r="G687" t="s">
        <v>51</v>
      </c>
      <c r="H687" t="s">
        <v>15</v>
      </c>
      <c r="I687" t="s">
        <v>16</v>
      </c>
    </row>
    <row r="688" spans="1:9" x14ac:dyDescent="0.4">
      <c r="A688" t="s">
        <v>1087</v>
      </c>
      <c r="B688" t="s">
        <v>18</v>
      </c>
      <c r="C688" t="s">
        <v>19</v>
      </c>
      <c r="D688">
        <v>80000</v>
      </c>
      <c r="E688" t="s">
        <v>1084</v>
      </c>
      <c r="F688" t="s">
        <v>13</v>
      </c>
      <c r="G688" t="s">
        <v>20</v>
      </c>
      <c r="H688" t="s">
        <v>21</v>
      </c>
      <c r="I688" t="s">
        <v>16</v>
      </c>
    </row>
    <row r="689" spans="1:9" x14ac:dyDescent="0.4">
      <c r="A689" t="s">
        <v>1088</v>
      </c>
      <c r="B689" t="s">
        <v>182</v>
      </c>
      <c r="C689" t="s">
        <v>19</v>
      </c>
      <c r="D689">
        <v>20000</v>
      </c>
      <c r="E689" t="s">
        <v>1089</v>
      </c>
      <c r="F689" t="s">
        <v>13</v>
      </c>
      <c r="G689" t="s">
        <v>20</v>
      </c>
      <c r="H689" t="s">
        <v>21</v>
      </c>
      <c r="I689" t="s">
        <v>16</v>
      </c>
    </row>
    <row r="690" spans="1:9" x14ac:dyDescent="0.4">
      <c r="A690" t="s">
        <v>1090</v>
      </c>
      <c r="B690" t="s">
        <v>96</v>
      </c>
      <c r="C690" t="s">
        <v>19</v>
      </c>
      <c r="D690">
        <v>501</v>
      </c>
      <c r="E690" t="s">
        <v>1091</v>
      </c>
      <c r="F690" t="s">
        <v>13</v>
      </c>
      <c r="G690" t="s">
        <v>20</v>
      </c>
      <c r="H690" t="s">
        <v>21</v>
      </c>
      <c r="I690" t="s">
        <v>16</v>
      </c>
    </row>
    <row r="691" spans="1:9" x14ac:dyDescent="0.4">
      <c r="A691" t="s">
        <v>1092</v>
      </c>
      <c r="B691" t="s">
        <v>77</v>
      </c>
      <c r="C691" t="s">
        <v>19</v>
      </c>
      <c r="D691">
        <v>1177</v>
      </c>
      <c r="E691" t="s">
        <v>1093</v>
      </c>
      <c r="F691" t="s">
        <v>13</v>
      </c>
      <c r="G691" t="s">
        <v>20</v>
      </c>
      <c r="H691" t="s">
        <v>15</v>
      </c>
      <c r="I691" t="s">
        <v>16</v>
      </c>
    </row>
    <row r="692" spans="1:9" x14ac:dyDescent="0.4">
      <c r="A692" t="s">
        <v>1094</v>
      </c>
      <c r="B692" t="s">
        <v>86</v>
      </c>
      <c r="C692" t="s">
        <v>19</v>
      </c>
      <c r="D692">
        <v>1559</v>
      </c>
      <c r="E692" t="s">
        <v>1093</v>
      </c>
      <c r="F692" t="s">
        <v>13</v>
      </c>
      <c r="G692" t="s">
        <v>51</v>
      </c>
      <c r="H692" t="s">
        <v>15</v>
      </c>
      <c r="I692" t="s">
        <v>16</v>
      </c>
    </row>
    <row r="693" spans="1:9" x14ac:dyDescent="0.4">
      <c r="A693" t="s">
        <v>1095</v>
      </c>
      <c r="B693" t="s">
        <v>10</v>
      </c>
      <c r="C693" t="s">
        <v>11</v>
      </c>
      <c r="D693">
        <v>76922</v>
      </c>
      <c r="E693" t="s">
        <v>1096</v>
      </c>
      <c r="F693" t="s">
        <v>13</v>
      </c>
      <c r="G693" t="s">
        <v>20</v>
      </c>
      <c r="H693" t="s">
        <v>15</v>
      </c>
      <c r="I693" t="s">
        <v>16</v>
      </c>
    </row>
    <row r="694" spans="1:9" x14ac:dyDescent="0.4">
      <c r="A694" t="s">
        <v>1097</v>
      </c>
      <c r="B694" t="s">
        <v>10</v>
      </c>
      <c r="C694" t="s">
        <v>19</v>
      </c>
      <c r="D694">
        <v>7195</v>
      </c>
      <c r="E694" t="s">
        <v>1096</v>
      </c>
      <c r="F694" t="s">
        <v>13</v>
      </c>
      <c r="G694" t="s">
        <v>196</v>
      </c>
      <c r="H694" t="s">
        <v>21</v>
      </c>
      <c r="I694" t="s">
        <v>16</v>
      </c>
    </row>
    <row r="695" spans="1:9" x14ac:dyDescent="0.4">
      <c r="A695" t="s">
        <v>1098</v>
      </c>
      <c r="B695" t="s">
        <v>18</v>
      </c>
      <c r="C695" t="s">
        <v>19</v>
      </c>
      <c r="D695">
        <v>366491</v>
      </c>
      <c r="E695" t="s">
        <v>1099</v>
      </c>
      <c r="F695" t="s">
        <v>13</v>
      </c>
      <c r="G695" t="s">
        <v>20</v>
      </c>
      <c r="H695" t="s">
        <v>21</v>
      </c>
      <c r="I695" t="s">
        <v>16</v>
      </c>
    </row>
    <row r="696" spans="1:9" x14ac:dyDescent="0.4">
      <c r="A696" t="s">
        <v>1100</v>
      </c>
      <c r="B696" t="s">
        <v>41</v>
      </c>
      <c r="C696" t="s">
        <v>19</v>
      </c>
      <c r="D696">
        <v>56902</v>
      </c>
      <c r="E696" t="s">
        <v>1101</v>
      </c>
      <c r="F696" t="s">
        <v>13</v>
      </c>
      <c r="G696" t="s">
        <v>14</v>
      </c>
      <c r="H696" t="s">
        <v>21</v>
      </c>
      <c r="I696" t="s">
        <v>16</v>
      </c>
    </row>
    <row r="697" spans="1:9" x14ac:dyDescent="0.4">
      <c r="A697" t="s">
        <v>1102</v>
      </c>
      <c r="B697" t="s">
        <v>71</v>
      </c>
      <c r="C697" t="s">
        <v>19</v>
      </c>
      <c r="D697">
        <v>26353</v>
      </c>
      <c r="E697" t="s">
        <v>1103</v>
      </c>
      <c r="F697" t="s">
        <v>13</v>
      </c>
      <c r="G697" t="s">
        <v>14</v>
      </c>
      <c r="H697" t="s">
        <v>21</v>
      </c>
      <c r="I697" t="s">
        <v>16</v>
      </c>
    </row>
    <row r="698" spans="1:9" x14ac:dyDescent="0.4">
      <c r="A698" t="s">
        <v>1104</v>
      </c>
      <c r="B698" t="s">
        <v>60</v>
      </c>
      <c r="C698" t="s">
        <v>34</v>
      </c>
      <c r="D698">
        <v>750</v>
      </c>
      <c r="E698" t="s">
        <v>1105</v>
      </c>
      <c r="F698" t="s">
        <v>68</v>
      </c>
      <c r="G698" t="s">
        <v>20</v>
      </c>
      <c r="H698" t="s">
        <v>21</v>
      </c>
      <c r="I698" t="s">
        <v>16</v>
      </c>
    </row>
    <row r="699" spans="1:9" x14ac:dyDescent="0.4">
      <c r="A699" t="s">
        <v>1106</v>
      </c>
      <c r="B699" t="s">
        <v>37</v>
      </c>
      <c r="C699" t="s">
        <v>19</v>
      </c>
      <c r="D699">
        <v>133149</v>
      </c>
      <c r="E699" t="s">
        <v>1107</v>
      </c>
      <c r="F699" t="s">
        <v>13</v>
      </c>
      <c r="G699" t="s">
        <v>20</v>
      </c>
      <c r="H699" t="s">
        <v>21</v>
      </c>
      <c r="I699" t="s">
        <v>16</v>
      </c>
    </row>
    <row r="700" spans="1:9" x14ac:dyDescent="0.4">
      <c r="A700" t="s">
        <v>1108</v>
      </c>
      <c r="B700" t="s">
        <v>104</v>
      </c>
      <c r="C700" t="s">
        <v>19</v>
      </c>
      <c r="D700">
        <v>4973</v>
      </c>
      <c r="E700" t="s">
        <v>1109</v>
      </c>
      <c r="F700" t="s">
        <v>68</v>
      </c>
      <c r="G700" t="s">
        <v>404</v>
      </c>
      <c r="H700" t="s">
        <v>21</v>
      </c>
      <c r="I700" t="s">
        <v>16</v>
      </c>
    </row>
    <row r="701" spans="1:9" x14ac:dyDescent="0.4">
      <c r="A701" t="s">
        <v>1110</v>
      </c>
      <c r="B701" t="s">
        <v>64</v>
      </c>
      <c r="C701" t="s">
        <v>19</v>
      </c>
      <c r="D701">
        <v>648</v>
      </c>
      <c r="E701" t="s">
        <v>1111</v>
      </c>
      <c r="F701" t="s">
        <v>13</v>
      </c>
      <c r="G701" t="s">
        <v>14</v>
      </c>
      <c r="H701" t="s">
        <v>21</v>
      </c>
      <c r="I701" t="s">
        <v>16</v>
      </c>
    </row>
    <row r="702" spans="1:9" x14ac:dyDescent="0.4">
      <c r="A702" t="s">
        <v>1112</v>
      </c>
      <c r="B702" t="s">
        <v>37</v>
      </c>
      <c r="C702" t="s">
        <v>19</v>
      </c>
      <c r="D702">
        <v>2207</v>
      </c>
      <c r="E702" t="s">
        <v>1111</v>
      </c>
      <c r="F702" t="s">
        <v>13</v>
      </c>
      <c r="G702" t="s">
        <v>20</v>
      </c>
      <c r="H702" t="s">
        <v>21</v>
      </c>
      <c r="I702" t="s">
        <v>16</v>
      </c>
    </row>
    <row r="703" spans="1:9" x14ac:dyDescent="0.4">
      <c r="A703" t="s">
        <v>1113</v>
      </c>
      <c r="B703" t="s">
        <v>26</v>
      </c>
      <c r="C703" t="s">
        <v>19</v>
      </c>
      <c r="D703">
        <v>20024</v>
      </c>
      <c r="E703" t="s">
        <v>1114</v>
      </c>
      <c r="F703" t="s">
        <v>13</v>
      </c>
      <c r="G703" t="s">
        <v>20</v>
      </c>
      <c r="H703" t="s">
        <v>21</v>
      </c>
      <c r="I703" t="s">
        <v>16</v>
      </c>
    </row>
    <row r="704" spans="1:9" x14ac:dyDescent="0.4">
      <c r="A704" t="s">
        <v>1115</v>
      </c>
      <c r="B704" t="s">
        <v>26</v>
      </c>
      <c r="C704" t="s">
        <v>11</v>
      </c>
      <c r="D704">
        <v>2402</v>
      </c>
      <c r="E704" t="s">
        <v>1116</v>
      </c>
      <c r="F704" t="s">
        <v>13</v>
      </c>
      <c r="G704" t="s">
        <v>20</v>
      </c>
      <c r="H704" t="s">
        <v>15</v>
      </c>
      <c r="I704" t="s">
        <v>16</v>
      </c>
    </row>
    <row r="705" spans="1:9" x14ac:dyDescent="0.4">
      <c r="A705" t="s">
        <v>1117</v>
      </c>
      <c r="B705" t="s">
        <v>182</v>
      </c>
      <c r="C705" t="s">
        <v>19</v>
      </c>
      <c r="D705">
        <v>53916</v>
      </c>
      <c r="E705" t="s">
        <v>1118</v>
      </c>
      <c r="F705" t="s">
        <v>13</v>
      </c>
      <c r="G705" t="s">
        <v>20</v>
      </c>
      <c r="H705" t="s">
        <v>21</v>
      </c>
      <c r="I705" t="s">
        <v>16</v>
      </c>
    </row>
    <row r="706" spans="1:9" x14ac:dyDescent="0.4">
      <c r="A706" t="s">
        <v>1119</v>
      </c>
      <c r="B706" t="s">
        <v>104</v>
      </c>
      <c r="C706" t="s">
        <v>19</v>
      </c>
      <c r="D706">
        <v>56000</v>
      </c>
      <c r="E706" t="s">
        <v>1118</v>
      </c>
      <c r="F706" t="s">
        <v>13</v>
      </c>
      <c r="G706" t="s">
        <v>20</v>
      </c>
      <c r="H706" t="s">
        <v>21</v>
      </c>
      <c r="I706" t="s">
        <v>16</v>
      </c>
    </row>
    <row r="707" spans="1:9" x14ac:dyDescent="0.4">
      <c r="A707" t="s">
        <v>1120</v>
      </c>
      <c r="B707" t="s">
        <v>60</v>
      </c>
      <c r="C707" t="s">
        <v>19</v>
      </c>
      <c r="D707">
        <v>3347</v>
      </c>
      <c r="E707" t="s">
        <v>1118</v>
      </c>
      <c r="F707" t="s">
        <v>13</v>
      </c>
      <c r="G707" t="s">
        <v>150</v>
      </c>
      <c r="H707" t="s">
        <v>21</v>
      </c>
      <c r="I707" t="s">
        <v>16</v>
      </c>
    </row>
    <row r="708" spans="1:9" x14ac:dyDescent="0.4">
      <c r="A708" t="s">
        <v>1121</v>
      </c>
      <c r="B708" t="s">
        <v>86</v>
      </c>
      <c r="C708" t="s">
        <v>11</v>
      </c>
      <c r="D708">
        <v>115837</v>
      </c>
      <c r="E708" t="s">
        <v>1118</v>
      </c>
      <c r="F708" t="s">
        <v>13</v>
      </c>
      <c r="G708" t="s">
        <v>48</v>
      </c>
      <c r="H708" t="s">
        <v>15</v>
      </c>
      <c r="I708" t="s">
        <v>16</v>
      </c>
    </row>
    <row r="709" spans="1:9" x14ac:dyDescent="0.4">
      <c r="A709" t="s">
        <v>1122</v>
      </c>
      <c r="B709" t="s">
        <v>18</v>
      </c>
      <c r="C709" t="s">
        <v>19</v>
      </c>
      <c r="D709">
        <v>1813538</v>
      </c>
      <c r="E709" t="s">
        <v>1118</v>
      </c>
      <c r="F709" t="s">
        <v>13</v>
      </c>
      <c r="G709" t="s">
        <v>20</v>
      </c>
      <c r="H709" t="s">
        <v>21</v>
      </c>
      <c r="I709" t="s">
        <v>16</v>
      </c>
    </row>
    <row r="710" spans="1:9" x14ac:dyDescent="0.4">
      <c r="A710" t="s">
        <v>1123</v>
      </c>
      <c r="B710" t="s">
        <v>66</v>
      </c>
      <c r="C710" t="s">
        <v>11</v>
      </c>
      <c r="D710">
        <v>590</v>
      </c>
      <c r="E710" t="s">
        <v>1124</v>
      </c>
      <c r="F710" t="s">
        <v>68</v>
      </c>
      <c r="G710" t="s">
        <v>69</v>
      </c>
      <c r="H710" t="s">
        <v>15</v>
      </c>
      <c r="I710" t="s">
        <v>16</v>
      </c>
    </row>
    <row r="711" spans="1:9" x14ac:dyDescent="0.4">
      <c r="A711" t="s">
        <v>1125</v>
      </c>
      <c r="B711" t="s">
        <v>71</v>
      </c>
      <c r="C711" t="s">
        <v>19</v>
      </c>
      <c r="D711">
        <v>11601</v>
      </c>
      <c r="E711" t="s">
        <v>1124</v>
      </c>
      <c r="F711" t="s">
        <v>13</v>
      </c>
      <c r="G711" t="s">
        <v>20</v>
      </c>
      <c r="H711" t="s">
        <v>21</v>
      </c>
      <c r="I711" t="s">
        <v>16</v>
      </c>
    </row>
    <row r="712" spans="1:9" x14ac:dyDescent="0.4">
      <c r="A712" t="s">
        <v>1126</v>
      </c>
      <c r="B712" t="s">
        <v>138</v>
      </c>
      <c r="C712" t="s">
        <v>19</v>
      </c>
      <c r="D712">
        <v>9271</v>
      </c>
      <c r="E712" t="s">
        <v>1127</v>
      </c>
      <c r="F712" t="s">
        <v>13</v>
      </c>
      <c r="G712" t="s">
        <v>20</v>
      </c>
      <c r="H712" t="s">
        <v>21</v>
      </c>
      <c r="I712" t="s">
        <v>16</v>
      </c>
    </row>
    <row r="713" spans="1:9" x14ac:dyDescent="0.4">
      <c r="A713" t="s">
        <v>1128</v>
      </c>
      <c r="B713" t="s">
        <v>16</v>
      </c>
      <c r="C713" t="s">
        <v>19</v>
      </c>
      <c r="D713">
        <v>1570</v>
      </c>
      <c r="E713" t="s">
        <v>1129</v>
      </c>
      <c r="F713" t="s">
        <v>13</v>
      </c>
      <c r="G713" t="s">
        <v>20</v>
      </c>
      <c r="H713" t="s">
        <v>21</v>
      </c>
      <c r="I713" t="s">
        <v>16</v>
      </c>
    </row>
    <row r="714" spans="1:9" x14ac:dyDescent="0.4">
      <c r="A714" t="s">
        <v>1130</v>
      </c>
      <c r="B714" t="s">
        <v>251</v>
      </c>
      <c r="C714" t="s">
        <v>11</v>
      </c>
      <c r="D714">
        <v>320702</v>
      </c>
      <c r="E714" t="s">
        <v>1129</v>
      </c>
      <c r="F714" t="s">
        <v>13</v>
      </c>
      <c r="G714" t="s">
        <v>14</v>
      </c>
      <c r="H714" t="s">
        <v>15</v>
      </c>
      <c r="I714" t="s">
        <v>16</v>
      </c>
    </row>
    <row r="715" spans="1:9" x14ac:dyDescent="0.4">
      <c r="A715" t="s">
        <v>1131</v>
      </c>
      <c r="B715" t="s">
        <v>104</v>
      </c>
      <c r="C715" t="s">
        <v>11</v>
      </c>
      <c r="D715">
        <v>909469</v>
      </c>
      <c r="E715" t="s">
        <v>1132</v>
      </c>
      <c r="F715" t="s">
        <v>13</v>
      </c>
      <c r="G715" t="s">
        <v>20</v>
      </c>
      <c r="H715" t="s">
        <v>15</v>
      </c>
      <c r="I715" t="s">
        <v>16</v>
      </c>
    </row>
    <row r="716" spans="1:9" x14ac:dyDescent="0.4">
      <c r="A716" t="s">
        <v>1133</v>
      </c>
      <c r="B716" t="s">
        <v>37</v>
      </c>
      <c r="C716" t="s">
        <v>11</v>
      </c>
      <c r="D716">
        <v>180000</v>
      </c>
      <c r="E716" t="s">
        <v>1134</v>
      </c>
      <c r="F716" t="s">
        <v>13</v>
      </c>
      <c r="G716" t="s">
        <v>20</v>
      </c>
      <c r="H716" t="s">
        <v>15</v>
      </c>
      <c r="I716" t="s">
        <v>16</v>
      </c>
    </row>
    <row r="717" spans="1:9" x14ac:dyDescent="0.4">
      <c r="A717" t="s">
        <v>1135</v>
      </c>
      <c r="B717" t="s">
        <v>345</v>
      </c>
      <c r="C717" t="s">
        <v>34</v>
      </c>
      <c r="D717">
        <v>2127</v>
      </c>
      <c r="E717" t="s">
        <v>1134</v>
      </c>
      <c r="F717" t="s">
        <v>13</v>
      </c>
      <c r="G717" t="s">
        <v>20</v>
      </c>
      <c r="H717" t="s">
        <v>21</v>
      </c>
      <c r="I717" t="s">
        <v>16</v>
      </c>
    </row>
    <row r="718" spans="1:9" x14ac:dyDescent="0.4">
      <c r="A718" t="s">
        <v>1136</v>
      </c>
      <c r="B718" t="s">
        <v>82</v>
      </c>
      <c r="C718" t="s">
        <v>19</v>
      </c>
      <c r="D718">
        <v>7162</v>
      </c>
      <c r="E718" t="s">
        <v>1137</v>
      </c>
      <c r="F718" t="s">
        <v>13</v>
      </c>
      <c r="G718" t="s">
        <v>14</v>
      </c>
      <c r="H718" t="s">
        <v>21</v>
      </c>
      <c r="I718" t="s">
        <v>16</v>
      </c>
    </row>
    <row r="719" spans="1:9" x14ac:dyDescent="0.4">
      <c r="A719" t="s">
        <v>1138</v>
      </c>
      <c r="B719" t="s">
        <v>86</v>
      </c>
      <c r="C719" t="s">
        <v>19</v>
      </c>
      <c r="D719">
        <v>500</v>
      </c>
      <c r="E719" t="s">
        <v>1139</v>
      </c>
      <c r="F719" t="s">
        <v>13</v>
      </c>
      <c r="G719" t="s">
        <v>20</v>
      </c>
      <c r="H719" t="s">
        <v>21</v>
      </c>
      <c r="I719" t="s">
        <v>16</v>
      </c>
    </row>
    <row r="720" spans="1:9" x14ac:dyDescent="0.4">
      <c r="A720" t="s">
        <v>1140</v>
      </c>
      <c r="B720" t="s">
        <v>160</v>
      </c>
      <c r="C720" t="s">
        <v>11</v>
      </c>
      <c r="D720">
        <v>501</v>
      </c>
      <c r="E720" t="s">
        <v>1141</v>
      </c>
      <c r="F720" t="s">
        <v>13</v>
      </c>
      <c r="G720" t="s">
        <v>20</v>
      </c>
      <c r="H720" t="s">
        <v>15</v>
      </c>
      <c r="I720" t="s">
        <v>16</v>
      </c>
    </row>
    <row r="721" spans="1:9" x14ac:dyDescent="0.4">
      <c r="A721" t="s">
        <v>1142</v>
      </c>
      <c r="B721" t="s">
        <v>71</v>
      </c>
      <c r="C721" t="s">
        <v>19</v>
      </c>
      <c r="D721">
        <v>597</v>
      </c>
      <c r="E721" t="s">
        <v>1143</v>
      </c>
      <c r="F721" t="s">
        <v>13</v>
      </c>
      <c r="G721" t="s">
        <v>14</v>
      </c>
      <c r="H721" t="s">
        <v>21</v>
      </c>
      <c r="I721" t="s">
        <v>16</v>
      </c>
    </row>
    <row r="722" spans="1:9" x14ac:dyDescent="0.4">
      <c r="A722" t="s">
        <v>1144</v>
      </c>
      <c r="B722" t="s">
        <v>356</v>
      </c>
      <c r="C722" t="s">
        <v>19</v>
      </c>
      <c r="D722">
        <v>9592</v>
      </c>
      <c r="E722" t="s">
        <v>1145</v>
      </c>
      <c r="F722" t="s">
        <v>13</v>
      </c>
      <c r="G722" t="s">
        <v>20</v>
      </c>
      <c r="H722" t="s">
        <v>21</v>
      </c>
      <c r="I722" t="s">
        <v>16</v>
      </c>
    </row>
    <row r="723" spans="1:9" x14ac:dyDescent="0.4">
      <c r="A723" t="s">
        <v>1146</v>
      </c>
      <c r="B723" t="s">
        <v>104</v>
      </c>
      <c r="C723" t="s">
        <v>19</v>
      </c>
      <c r="D723">
        <v>292913</v>
      </c>
      <c r="E723" t="s">
        <v>1147</v>
      </c>
      <c r="F723" t="s">
        <v>13</v>
      </c>
      <c r="G723" t="s">
        <v>20</v>
      </c>
      <c r="H723" t="s">
        <v>21</v>
      </c>
      <c r="I723" t="s">
        <v>16</v>
      </c>
    </row>
    <row r="724" spans="1:9" x14ac:dyDescent="0.4">
      <c r="A724" t="s">
        <v>1148</v>
      </c>
      <c r="B724" t="s">
        <v>26</v>
      </c>
      <c r="C724" t="s">
        <v>19</v>
      </c>
      <c r="D724">
        <v>44991</v>
      </c>
      <c r="E724" t="s">
        <v>1149</v>
      </c>
      <c r="F724" t="s">
        <v>13</v>
      </c>
      <c r="G724" t="s">
        <v>20</v>
      </c>
      <c r="H724" t="s">
        <v>21</v>
      </c>
      <c r="I724" t="s">
        <v>16</v>
      </c>
    </row>
    <row r="725" spans="1:9" x14ac:dyDescent="0.4">
      <c r="A725" t="s">
        <v>1150</v>
      </c>
      <c r="B725" t="s">
        <v>66</v>
      </c>
      <c r="C725" t="s">
        <v>19</v>
      </c>
      <c r="D725">
        <v>25650</v>
      </c>
      <c r="E725" t="s">
        <v>1151</v>
      </c>
      <c r="F725" t="s">
        <v>13</v>
      </c>
      <c r="G725" t="s">
        <v>20</v>
      </c>
      <c r="H725" t="s">
        <v>21</v>
      </c>
      <c r="I725" t="s">
        <v>16</v>
      </c>
    </row>
    <row r="726" spans="1:9" x14ac:dyDescent="0.4">
      <c r="A726" t="s">
        <v>1152</v>
      </c>
      <c r="B726" t="s">
        <v>160</v>
      </c>
      <c r="C726" t="s">
        <v>19</v>
      </c>
      <c r="D726">
        <v>9940</v>
      </c>
      <c r="E726" t="s">
        <v>1153</v>
      </c>
      <c r="F726" t="s">
        <v>400</v>
      </c>
      <c r="G726" t="s">
        <v>404</v>
      </c>
      <c r="H726" t="s">
        <v>21</v>
      </c>
      <c r="I726" t="s">
        <v>16</v>
      </c>
    </row>
    <row r="727" spans="1:9" x14ac:dyDescent="0.4">
      <c r="A727" t="s">
        <v>1154</v>
      </c>
      <c r="B727" t="s">
        <v>86</v>
      </c>
      <c r="C727" t="s">
        <v>19</v>
      </c>
      <c r="D727">
        <v>121190</v>
      </c>
      <c r="E727" t="s">
        <v>1155</v>
      </c>
      <c r="F727" t="s">
        <v>13</v>
      </c>
      <c r="G727" t="s">
        <v>20</v>
      </c>
      <c r="H727" t="s">
        <v>21</v>
      </c>
      <c r="I727" t="s">
        <v>16</v>
      </c>
    </row>
    <row r="728" spans="1:9" x14ac:dyDescent="0.4">
      <c r="A728" t="s">
        <v>1156</v>
      </c>
      <c r="B728" t="s">
        <v>66</v>
      </c>
      <c r="C728" t="s">
        <v>19</v>
      </c>
      <c r="D728">
        <v>5078</v>
      </c>
      <c r="E728" t="s">
        <v>1157</v>
      </c>
      <c r="F728" t="s">
        <v>13</v>
      </c>
      <c r="G728" t="s">
        <v>14</v>
      </c>
      <c r="H728" t="s">
        <v>21</v>
      </c>
      <c r="I728" t="s">
        <v>16</v>
      </c>
    </row>
    <row r="729" spans="1:9" x14ac:dyDescent="0.4">
      <c r="A729" t="s">
        <v>1158</v>
      </c>
      <c r="B729" t="s">
        <v>43</v>
      </c>
      <c r="C729" t="s">
        <v>19</v>
      </c>
      <c r="D729">
        <v>28543</v>
      </c>
      <c r="E729" t="s">
        <v>1159</v>
      </c>
      <c r="F729" t="s">
        <v>13</v>
      </c>
      <c r="G729" t="s">
        <v>20</v>
      </c>
      <c r="H729" t="s">
        <v>21</v>
      </c>
      <c r="I729" t="s">
        <v>16</v>
      </c>
    </row>
    <row r="730" spans="1:9" x14ac:dyDescent="0.4">
      <c r="A730" t="s">
        <v>1160</v>
      </c>
      <c r="B730" t="s">
        <v>104</v>
      </c>
      <c r="C730" t="s">
        <v>19</v>
      </c>
      <c r="D730">
        <v>757</v>
      </c>
      <c r="E730" t="s">
        <v>1161</v>
      </c>
      <c r="F730" t="s">
        <v>13</v>
      </c>
      <c r="G730" t="s">
        <v>20</v>
      </c>
      <c r="H730" t="s">
        <v>21</v>
      </c>
      <c r="I730" t="s">
        <v>16</v>
      </c>
    </row>
    <row r="731" spans="1:9" x14ac:dyDescent="0.4">
      <c r="A731" t="s">
        <v>1162</v>
      </c>
      <c r="B731" t="s">
        <v>64</v>
      </c>
      <c r="C731" t="s">
        <v>19</v>
      </c>
      <c r="D731">
        <v>10833</v>
      </c>
      <c r="E731" t="s">
        <v>1163</v>
      </c>
      <c r="F731" t="s">
        <v>13</v>
      </c>
      <c r="G731" t="s">
        <v>20</v>
      </c>
      <c r="H731" t="s">
        <v>21</v>
      </c>
      <c r="I731" t="s">
        <v>16</v>
      </c>
    </row>
    <row r="732" spans="1:9" x14ac:dyDescent="0.4">
      <c r="A732" t="s">
        <v>17</v>
      </c>
      <c r="B732" t="s">
        <v>18</v>
      </c>
      <c r="C732" t="s">
        <v>19</v>
      </c>
      <c r="D732">
        <v>5378</v>
      </c>
      <c r="E732" t="s">
        <v>12</v>
      </c>
      <c r="F732" t="s">
        <v>13</v>
      </c>
      <c r="G732" t="s">
        <v>20</v>
      </c>
      <c r="H732" t="s">
        <v>21</v>
      </c>
      <c r="I732" t="s">
        <v>16</v>
      </c>
    </row>
    <row r="733" spans="1:9" x14ac:dyDescent="0.4">
      <c r="A733" t="s">
        <v>22</v>
      </c>
      <c r="B733" t="s">
        <v>10</v>
      </c>
      <c r="C733" t="s">
        <v>19</v>
      </c>
      <c r="D733">
        <v>2810878</v>
      </c>
      <c r="E733" t="s">
        <v>12</v>
      </c>
      <c r="F733" t="s">
        <v>13</v>
      </c>
      <c r="G733" t="s">
        <v>20</v>
      </c>
      <c r="H733" t="s">
        <v>21</v>
      </c>
      <c r="I733" t="s">
        <v>16</v>
      </c>
    </row>
    <row r="734" spans="1:9" x14ac:dyDescent="0.4">
      <c r="A734" t="s">
        <v>25</v>
      </c>
      <c r="B734" t="s">
        <v>26</v>
      </c>
      <c r="C734" t="s">
        <v>11</v>
      </c>
      <c r="D734">
        <v>4840</v>
      </c>
      <c r="E734" t="s">
        <v>24</v>
      </c>
      <c r="F734" t="s">
        <v>13</v>
      </c>
      <c r="G734" t="s">
        <v>20</v>
      </c>
      <c r="H734" t="s">
        <v>15</v>
      </c>
      <c r="I734" t="s">
        <v>16</v>
      </c>
    </row>
    <row r="735" spans="1:9" x14ac:dyDescent="0.4">
      <c r="A735" t="s">
        <v>27</v>
      </c>
      <c r="B735" t="s">
        <v>28</v>
      </c>
      <c r="C735" t="s">
        <v>19</v>
      </c>
      <c r="D735">
        <v>501</v>
      </c>
      <c r="E735" t="s">
        <v>24</v>
      </c>
      <c r="F735" t="s">
        <v>13</v>
      </c>
      <c r="G735" t="s">
        <v>20</v>
      </c>
      <c r="H735" t="s">
        <v>21</v>
      </c>
      <c r="I735" t="s">
        <v>16</v>
      </c>
    </row>
    <row r="736" spans="1:9" x14ac:dyDescent="0.4">
      <c r="A736" t="s">
        <v>29</v>
      </c>
      <c r="B736" t="s">
        <v>30</v>
      </c>
      <c r="C736" t="s">
        <v>19</v>
      </c>
      <c r="D736">
        <v>49540</v>
      </c>
      <c r="E736" t="s">
        <v>31</v>
      </c>
      <c r="F736" t="s">
        <v>13</v>
      </c>
      <c r="G736" t="s">
        <v>20</v>
      </c>
      <c r="H736" t="s">
        <v>21</v>
      </c>
      <c r="I736" t="s">
        <v>16</v>
      </c>
    </row>
    <row r="737" spans="1:9" x14ac:dyDescent="0.4">
      <c r="A737" t="s">
        <v>36</v>
      </c>
      <c r="B737" t="s">
        <v>37</v>
      </c>
      <c r="C737" t="s">
        <v>19</v>
      </c>
      <c r="D737">
        <v>500</v>
      </c>
      <c r="E737" t="s">
        <v>38</v>
      </c>
      <c r="F737" t="s">
        <v>13</v>
      </c>
      <c r="G737" t="s">
        <v>39</v>
      </c>
      <c r="H737" t="s">
        <v>21</v>
      </c>
      <c r="I737" t="s">
        <v>16</v>
      </c>
    </row>
    <row r="738" spans="1:9" x14ac:dyDescent="0.4">
      <c r="A738" t="s">
        <v>42</v>
      </c>
      <c r="B738" t="s">
        <v>43</v>
      </c>
      <c r="C738" t="s">
        <v>11</v>
      </c>
      <c r="D738">
        <v>9540683</v>
      </c>
      <c r="E738" t="s">
        <v>38</v>
      </c>
      <c r="F738" t="s">
        <v>13</v>
      </c>
      <c r="G738" t="s">
        <v>20</v>
      </c>
      <c r="H738" t="s">
        <v>15</v>
      </c>
      <c r="I738" t="s">
        <v>16</v>
      </c>
    </row>
    <row r="739" spans="1:9" x14ac:dyDescent="0.4">
      <c r="A739" t="s">
        <v>46</v>
      </c>
      <c r="B739" t="s">
        <v>47</v>
      </c>
      <c r="C739" t="s">
        <v>19</v>
      </c>
      <c r="D739">
        <v>1045</v>
      </c>
      <c r="E739" t="s">
        <v>38</v>
      </c>
      <c r="F739" t="s">
        <v>13</v>
      </c>
      <c r="G739" t="s">
        <v>48</v>
      </c>
      <c r="H739" t="s">
        <v>15</v>
      </c>
      <c r="I739" t="s">
        <v>16</v>
      </c>
    </row>
    <row r="740" spans="1:9" x14ac:dyDescent="0.4">
      <c r="A740" t="s">
        <v>49</v>
      </c>
      <c r="B740" t="s">
        <v>47</v>
      </c>
      <c r="C740" t="s">
        <v>19</v>
      </c>
      <c r="D740">
        <v>1551</v>
      </c>
      <c r="E740" t="s">
        <v>38</v>
      </c>
      <c r="F740" t="s">
        <v>13</v>
      </c>
      <c r="G740" t="s">
        <v>48</v>
      </c>
      <c r="H740" t="s">
        <v>15</v>
      </c>
      <c r="I740" t="s">
        <v>16</v>
      </c>
    </row>
    <row r="741" spans="1:9" x14ac:dyDescent="0.4">
      <c r="A741" t="s">
        <v>50</v>
      </c>
      <c r="B741" t="s">
        <v>47</v>
      </c>
      <c r="C741" t="s">
        <v>19</v>
      </c>
      <c r="D741">
        <v>1397</v>
      </c>
      <c r="E741" t="s">
        <v>38</v>
      </c>
      <c r="F741" t="s">
        <v>13</v>
      </c>
      <c r="G741" t="s">
        <v>51</v>
      </c>
      <c r="H741" t="s">
        <v>15</v>
      </c>
      <c r="I741" t="s">
        <v>16</v>
      </c>
    </row>
    <row r="742" spans="1:9" x14ac:dyDescent="0.4">
      <c r="A742" t="s">
        <v>52</v>
      </c>
      <c r="B742" t="s">
        <v>10</v>
      </c>
      <c r="C742" t="s">
        <v>34</v>
      </c>
      <c r="D742">
        <v>675</v>
      </c>
      <c r="E742" t="s">
        <v>53</v>
      </c>
      <c r="F742" t="s">
        <v>13</v>
      </c>
      <c r="G742" t="s">
        <v>20</v>
      </c>
      <c r="H742" t="s">
        <v>21</v>
      </c>
      <c r="I742" t="s">
        <v>16</v>
      </c>
    </row>
    <row r="743" spans="1:9" x14ac:dyDescent="0.4">
      <c r="A743" t="s">
        <v>54</v>
      </c>
      <c r="B743" t="s">
        <v>55</v>
      </c>
      <c r="C743" t="s">
        <v>19</v>
      </c>
      <c r="D743">
        <v>500</v>
      </c>
      <c r="E743" t="s">
        <v>53</v>
      </c>
      <c r="F743" t="s">
        <v>13</v>
      </c>
      <c r="G743" t="s">
        <v>20</v>
      </c>
      <c r="H743" t="s">
        <v>21</v>
      </c>
      <c r="I743" t="s">
        <v>16</v>
      </c>
    </row>
    <row r="744" spans="1:9" x14ac:dyDescent="0.4">
      <c r="A744" t="s">
        <v>56</v>
      </c>
      <c r="B744" t="s">
        <v>57</v>
      </c>
      <c r="C744" t="s">
        <v>19</v>
      </c>
      <c r="D744">
        <v>24088</v>
      </c>
      <c r="E744" t="s">
        <v>58</v>
      </c>
      <c r="F744" t="s">
        <v>13</v>
      </c>
      <c r="G744" t="s">
        <v>20</v>
      </c>
      <c r="H744" t="s">
        <v>21</v>
      </c>
      <c r="I744" t="s">
        <v>16</v>
      </c>
    </row>
    <row r="745" spans="1:9" x14ac:dyDescent="0.4">
      <c r="A745" t="s">
        <v>59</v>
      </c>
      <c r="B745" t="s">
        <v>60</v>
      </c>
      <c r="C745" t="s">
        <v>19</v>
      </c>
      <c r="D745">
        <v>4979</v>
      </c>
      <c r="E745" t="s">
        <v>58</v>
      </c>
      <c r="F745" t="s">
        <v>13</v>
      </c>
      <c r="G745" t="s">
        <v>20</v>
      </c>
      <c r="H745" t="s">
        <v>21</v>
      </c>
      <c r="I745" t="s">
        <v>16</v>
      </c>
    </row>
    <row r="746" spans="1:9" x14ac:dyDescent="0.4">
      <c r="A746" t="s">
        <v>63</v>
      </c>
      <c r="B746" t="s">
        <v>64</v>
      </c>
      <c r="C746" t="s">
        <v>11</v>
      </c>
      <c r="D746">
        <v>2104</v>
      </c>
      <c r="E746" t="s">
        <v>58</v>
      </c>
      <c r="F746" t="s">
        <v>13</v>
      </c>
      <c r="G746" t="s">
        <v>20</v>
      </c>
      <c r="H746" t="s">
        <v>15</v>
      </c>
      <c r="I746" t="s">
        <v>16</v>
      </c>
    </row>
    <row r="747" spans="1:9" x14ac:dyDescent="0.4">
      <c r="A747" t="s">
        <v>73</v>
      </c>
      <c r="B747" t="s">
        <v>10</v>
      </c>
      <c r="C747" t="s">
        <v>19</v>
      </c>
      <c r="D747">
        <v>17017</v>
      </c>
      <c r="E747" t="s">
        <v>67</v>
      </c>
      <c r="F747" t="s">
        <v>13</v>
      </c>
      <c r="G747" t="s">
        <v>20</v>
      </c>
      <c r="H747" t="s">
        <v>21</v>
      </c>
      <c r="I747" t="s">
        <v>16</v>
      </c>
    </row>
    <row r="748" spans="1:9" x14ac:dyDescent="0.4">
      <c r="A748" t="s">
        <v>74</v>
      </c>
      <c r="B748" t="s">
        <v>75</v>
      </c>
      <c r="C748" t="s">
        <v>19</v>
      </c>
      <c r="D748">
        <v>14830</v>
      </c>
      <c r="E748" t="s">
        <v>67</v>
      </c>
      <c r="F748" t="s">
        <v>13</v>
      </c>
      <c r="G748" t="s">
        <v>20</v>
      </c>
      <c r="H748" t="s">
        <v>21</v>
      </c>
      <c r="I748" t="s">
        <v>16</v>
      </c>
    </row>
    <row r="749" spans="1:9" x14ac:dyDescent="0.4">
      <c r="A749" t="s">
        <v>79</v>
      </c>
      <c r="B749" t="s">
        <v>28</v>
      </c>
      <c r="C749" t="s">
        <v>11</v>
      </c>
      <c r="D749">
        <v>3756469</v>
      </c>
      <c r="E749" t="s">
        <v>78</v>
      </c>
      <c r="F749" t="s">
        <v>13</v>
      </c>
      <c r="G749" t="s">
        <v>20</v>
      </c>
      <c r="H749" t="s">
        <v>15</v>
      </c>
      <c r="I749" t="s">
        <v>16</v>
      </c>
    </row>
    <row r="750" spans="1:9" x14ac:dyDescent="0.4">
      <c r="A750" t="s">
        <v>81</v>
      </c>
      <c r="B750" t="s">
        <v>82</v>
      </c>
      <c r="C750" t="s">
        <v>19</v>
      </c>
      <c r="D750">
        <v>30403</v>
      </c>
      <c r="E750" t="s">
        <v>78</v>
      </c>
      <c r="F750" t="s">
        <v>13</v>
      </c>
      <c r="G750" t="s">
        <v>51</v>
      </c>
      <c r="H750" t="s">
        <v>15</v>
      </c>
      <c r="I750" t="s">
        <v>16</v>
      </c>
    </row>
    <row r="751" spans="1:9" x14ac:dyDescent="0.4">
      <c r="A751" t="s">
        <v>88</v>
      </c>
      <c r="B751" t="s">
        <v>64</v>
      </c>
      <c r="C751" t="s">
        <v>11</v>
      </c>
      <c r="D751">
        <v>3803750</v>
      </c>
      <c r="E751" t="s">
        <v>89</v>
      </c>
      <c r="F751" t="s">
        <v>13</v>
      </c>
      <c r="G751" t="s">
        <v>20</v>
      </c>
      <c r="H751" t="s">
        <v>15</v>
      </c>
      <c r="I751" t="s">
        <v>16</v>
      </c>
    </row>
    <row r="752" spans="1:9" x14ac:dyDescent="0.4">
      <c r="A752" t="s">
        <v>93</v>
      </c>
      <c r="B752" t="s">
        <v>91</v>
      </c>
      <c r="C752" t="s">
        <v>11</v>
      </c>
      <c r="D752">
        <v>3656</v>
      </c>
      <c r="E752" t="s">
        <v>94</v>
      </c>
      <c r="F752" t="s">
        <v>13</v>
      </c>
      <c r="G752" t="s">
        <v>20</v>
      </c>
      <c r="H752" t="s">
        <v>15</v>
      </c>
      <c r="I752" t="s">
        <v>16</v>
      </c>
    </row>
    <row r="753" spans="1:9" x14ac:dyDescent="0.4">
      <c r="A753" t="s">
        <v>95</v>
      </c>
      <c r="B753" t="s">
        <v>96</v>
      </c>
      <c r="C753" t="s">
        <v>19</v>
      </c>
      <c r="D753">
        <v>501</v>
      </c>
      <c r="E753" t="s">
        <v>97</v>
      </c>
      <c r="F753" t="s">
        <v>13</v>
      </c>
      <c r="G753" t="s">
        <v>20</v>
      </c>
      <c r="H753" t="s">
        <v>21</v>
      </c>
      <c r="I753" t="s">
        <v>16</v>
      </c>
    </row>
    <row r="754" spans="1:9" x14ac:dyDescent="0.4">
      <c r="A754" t="s">
        <v>98</v>
      </c>
      <c r="B754" t="s">
        <v>77</v>
      </c>
      <c r="C754" t="s">
        <v>34</v>
      </c>
      <c r="D754">
        <v>8151</v>
      </c>
      <c r="E754" t="s">
        <v>99</v>
      </c>
      <c r="F754" t="s">
        <v>13</v>
      </c>
      <c r="G754" t="s">
        <v>20</v>
      </c>
      <c r="H754" t="s">
        <v>21</v>
      </c>
      <c r="I754" t="s">
        <v>16</v>
      </c>
    </row>
    <row r="755" spans="1:9" x14ac:dyDescent="0.4">
      <c r="A755" t="s">
        <v>100</v>
      </c>
      <c r="B755" t="s">
        <v>71</v>
      </c>
      <c r="C755" t="s">
        <v>19</v>
      </c>
      <c r="D755">
        <v>15749</v>
      </c>
      <c r="E755" t="s">
        <v>99</v>
      </c>
      <c r="F755" t="s">
        <v>13</v>
      </c>
      <c r="G755" t="s">
        <v>20</v>
      </c>
      <c r="H755" t="s">
        <v>21</v>
      </c>
      <c r="I755" t="s">
        <v>16</v>
      </c>
    </row>
    <row r="756" spans="1:9" x14ac:dyDescent="0.4">
      <c r="A756" t="s">
        <v>101</v>
      </c>
      <c r="B756" t="s">
        <v>71</v>
      </c>
      <c r="C756" t="s">
        <v>19</v>
      </c>
      <c r="D756">
        <v>6658</v>
      </c>
      <c r="E756" t="s">
        <v>99</v>
      </c>
      <c r="F756" t="s">
        <v>13</v>
      </c>
      <c r="G756" t="s">
        <v>20</v>
      </c>
      <c r="H756" t="s">
        <v>15</v>
      </c>
      <c r="I756" t="s">
        <v>16</v>
      </c>
    </row>
    <row r="757" spans="1:9" x14ac:dyDescent="0.4">
      <c r="A757" t="s">
        <v>102</v>
      </c>
      <c r="B757" t="s">
        <v>71</v>
      </c>
      <c r="C757" t="s">
        <v>19</v>
      </c>
      <c r="D757">
        <v>153174</v>
      </c>
      <c r="E757" t="s">
        <v>99</v>
      </c>
      <c r="F757" t="s">
        <v>13</v>
      </c>
      <c r="G757" t="s">
        <v>20</v>
      </c>
      <c r="H757" t="s">
        <v>21</v>
      </c>
      <c r="I757" t="s">
        <v>16</v>
      </c>
    </row>
    <row r="758" spans="1:9" x14ac:dyDescent="0.4">
      <c r="A758" t="s">
        <v>103</v>
      </c>
      <c r="B758" t="s">
        <v>104</v>
      </c>
      <c r="C758" t="s">
        <v>19</v>
      </c>
      <c r="D758">
        <v>1918</v>
      </c>
      <c r="E758" t="s">
        <v>99</v>
      </c>
      <c r="F758" t="s">
        <v>13</v>
      </c>
      <c r="G758" t="s">
        <v>20</v>
      </c>
      <c r="H758" t="s">
        <v>21</v>
      </c>
      <c r="I758" t="s">
        <v>16</v>
      </c>
    </row>
    <row r="759" spans="1:9" x14ac:dyDescent="0.4">
      <c r="A759" t="s">
        <v>105</v>
      </c>
      <c r="B759" t="s">
        <v>26</v>
      </c>
      <c r="C759" t="s">
        <v>19</v>
      </c>
      <c r="D759">
        <v>311760</v>
      </c>
      <c r="E759" t="s">
        <v>106</v>
      </c>
      <c r="F759" t="s">
        <v>13</v>
      </c>
      <c r="G759" t="s">
        <v>20</v>
      </c>
      <c r="H759" t="s">
        <v>21</v>
      </c>
      <c r="I759" t="s">
        <v>16</v>
      </c>
    </row>
    <row r="760" spans="1:9" x14ac:dyDescent="0.4">
      <c r="A760" t="s">
        <v>107</v>
      </c>
      <c r="B760" t="s">
        <v>26</v>
      </c>
      <c r="C760" t="s">
        <v>34</v>
      </c>
      <c r="D760">
        <v>15000000</v>
      </c>
      <c r="E760" t="s">
        <v>106</v>
      </c>
      <c r="F760" t="s">
        <v>13</v>
      </c>
      <c r="G760" t="s">
        <v>20</v>
      </c>
      <c r="H760" t="s">
        <v>21</v>
      </c>
      <c r="I760" t="s">
        <v>16</v>
      </c>
    </row>
    <row r="761" spans="1:9" x14ac:dyDescent="0.4">
      <c r="A761" t="s">
        <v>108</v>
      </c>
      <c r="B761" t="s">
        <v>10</v>
      </c>
      <c r="C761" t="s">
        <v>19</v>
      </c>
      <c r="D761">
        <v>12490</v>
      </c>
      <c r="E761" t="s">
        <v>109</v>
      </c>
      <c r="F761" t="s">
        <v>13</v>
      </c>
      <c r="G761" t="s">
        <v>20</v>
      </c>
      <c r="H761" t="s">
        <v>21</v>
      </c>
      <c r="I761" t="s">
        <v>16</v>
      </c>
    </row>
    <row r="762" spans="1:9" x14ac:dyDescent="0.4">
      <c r="A762" t="s">
        <v>113</v>
      </c>
      <c r="B762" t="s">
        <v>71</v>
      </c>
      <c r="C762" t="s">
        <v>19</v>
      </c>
      <c r="D762">
        <v>150810</v>
      </c>
      <c r="E762" t="s">
        <v>114</v>
      </c>
      <c r="F762" t="s">
        <v>13</v>
      </c>
      <c r="G762" t="s">
        <v>20</v>
      </c>
      <c r="H762" t="s">
        <v>21</v>
      </c>
      <c r="I762" t="s">
        <v>16</v>
      </c>
    </row>
    <row r="763" spans="1:9" x14ac:dyDescent="0.4">
      <c r="A763" t="s">
        <v>122</v>
      </c>
      <c r="B763" t="s">
        <v>77</v>
      </c>
      <c r="C763" t="s">
        <v>34</v>
      </c>
      <c r="D763">
        <v>41569</v>
      </c>
      <c r="E763" t="s">
        <v>121</v>
      </c>
      <c r="F763" t="s">
        <v>13</v>
      </c>
      <c r="G763" t="s">
        <v>123</v>
      </c>
      <c r="H763" t="s">
        <v>21</v>
      </c>
      <c r="I763" t="s">
        <v>16</v>
      </c>
    </row>
    <row r="764" spans="1:9" x14ac:dyDescent="0.4">
      <c r="A764" t="s">
        <v>129</v>
      </c>
      <c r="B764" t="s">
        <v>71</v>
      </c>
      <c r="C764" t="s">
        <v>19</v>
      </c>
      <c r="D764">
        <v>3809</v>
      </c>
      <c r="E764" t="s">
        <v>128</v>
      </c>
      <c r="F764" t="s">
        <v>13</v>
      </c>
      <c r="G764" t="s">
        <v>20</v>
      </c>
      <c r="H764" t="s">
        <v>21</v>
      </c>
      <c r="I764" t="s">
        <v>16</v>
      </c>
    </row>
    <row r="765" spans="1:9" x14ac:dyDescent="0.4">
      <c r="A765" t="s">
        <v>130</v>
      </c>
      <c r="B765" t="s">
        <v>104</v>
      </c>
      <c r="C765" t="s">
        <v>11</v>
      </c>
      <c r="D765">
        <v>5459</v>
      </c>
      <c r="E765" t="s">
        <v>128</v>
      </c>
      <c r="F765" t="s">
        <v>13</v>
      </c>
      <c r="G765" t="s">
        <v>48</v>
      </c>
      <c r="H765" t="s">
        <v>15</v>
      </c>
      <c r="I765" t="s">
        <v>16</v>
      </c>
    </row>
    <row r="766" spans="1:9" x14ac:dyDescent="0.4">
      <c r="A766" t="s">
        <v>131</v>
      </c>
      <c r="B766" t="s">
        <v>86</v>
      </c>
      <c r="C766" t="s">
        <v>19</v>
      </c>
      <c r="D766">
        <v>501</v>
      </c>
      <c r="E766" t="s">
        <v>132</v>
      </c>
      <c r="F766" t="s">
        <v>13</v>
      </c>
      <c r="G766" t="s">
        <v>20</v>
      </c>
      <c r="H766" t="s">
        <v>21</v>
      </c>
      <c r="I766" t="s">
        <v>16</v>
      </c>
    </row>
    <row r="767" spans="1:9" x14ac:dyDescent="0.4">
      <c r="A767" t="s">
        <v>134</v>
      </c>
      <c r="B767" t="s">
        <v>77</v>
      </c>
      <c r="C767" t="s">
        <v>19</v>
      </c>
      <c r="D767">
        <v>501</v>
      </c>
      <c r="E767" t="s">
        <v>132</v>
      </c>
      <c r="F767" t="s">
        <v>13</v>
      </c>
      <c r="G767" t="s">
        <v>20</v>
      </c>
      <c r="H767" t="s">
        <v>21</v>
      </c>
      <c r="I767" t="s">
        <v>16</v>
      </c>
    </row>
    <row r="768" spans="1:9" x14ac:dyDescent="0.4">
      <c r="A768" t="s">
        <v>137</v>
      </c>
      <c r="B768" t="s">
        <v>138</v>
      </c>
      <c r="C768" t="s">
        <v>19</v>
      </c>
      <c r="D768">
        <v>24496</v>
      </c>
      <c r="E768" t="s">
        <v>139</v>
      </c>
      <c r="F768" t="s">
        <v>13</v>
      </c>
      <c r="G768" t="s">
        <v>20</v>
      </c>
      <c r="H768" t="s">
        <v>21</v>
      </c>
      <c r="I768" t="s">
        <v>16</v>
      </c>
    </row>
    <row r="769" spans="1:9" x14ac:dyDescent="0.4">
      <c r="A769" t="s">
        <v>143</v>
      </c>
      <c r="B769" t="s">
        <v>47</v>
      </c>
      <c r="C769" t="s">
        <v>19</v>
      </c>
      <c r="D769">
        <v>500</v>
      </c>
      <c r="E769" t="s">
        <v>142</v>
      </c>
      <c r="F769" t="s">
        <v>13</v>
      </c>
      <c r="G769" t="s">
        <v>20</v>
      </c>
      <c r="H769" t="s">
        <v>21</v>
      </c>
      <c r="I769" t="s">
        <v>16</v>
      </c>
    </row>
    <row r="770" spans="1:9" x14ac:dyDescent="0.4">
      <c r="A770" t="s">
        <v>144</v>
      </c>
      <c r="B770" t="s">
        <v>145</v>
      </c>
      <c r="C770" t="s">
        <v>19</v>
      </c>
      <c r="D770">
        <v>1556</v>
      </c>
      <c r="E770" t="s">
        <v>146</v>
      </c>
      <c r="F770" t="s">
        <v>13</v>
      </c>
      <c r="G770" t="s">
        <v>20</v>
      </c>
      <c r="H770" t="s">
        <v>21</v>
      </c>
      <c r="I770" t="s">
        <v>16</v>
      </c>
    </row>
    <row r="771" spans="1:9" x14ac:dyDescent="0.4">
      <c r="A771" t="s">
        <v>147</v>
      </c>
      <c r="B771" t="s">
        <v>10</v>
      </c>
      <c r="C771" t="s">
        <v>34</v>
      </c>
      <c r="D771">
        <v>5891</v>
      </c>
      <c r="E771" t="s">
        <v>148</v>
      </c>
      <c r="F771" t="s">
        <v>13</v>
      </c>
      <c r="G771" t="s">
        <v>20</v>
      </c>
      <c r="H771" t="s">
        <v>21</v>
      </c>
      <c r="I771" t="s">
        <v>16</v>
      </c>
    </row>
    <row r="772" spans="1:9" x14ac:dyDescent="0.4">
      <c r="A772" t="s">
        <v>151</v>
      </c>
      <c r="B772" t="s">
        <v>18</v>
      </c>
      <c r="C772" t="s">
        <v>11</v>
      </c>
      <c r="D772">
        <v>602</v>
      </c>
      <c r="E772" t="s">
        <v>148</v>
      </c>
      <c r="F772" t="s">
        <v>13</v>
      </c>
      <c r="G772" t="s">
        <v>20</v>
      </c>
      <c r="H772" t="s">
        <v>15</v>
      </c>
      <c r="I772" t="s">
        <v>16</v>
      </c>
    </row>
    <row r="773" spans="1:9" x14ac:dyDescent="0.4">
      <c r="A773" t="s">
        <v>152</v>
      </c>
      <c r="B773" t="s">
        <v>60</v>
      </c>
      <c r="C773" t="s">
        <v>19</v>
      </c>
      <c r="D773">
        <v>13723</v>
      </c>
      <c r="E773" t="s">
        <v>153</v>
      </c>
      <c r="F773" t="s">
        <v>13</v>
      </c>
      <c r="G773" t="s">
        <v>20</v>
      </c>
      <c r="H773" t="s">
        <v>21</v>
      </c>
      <c r="I773" t="s">
        <v>16</v>
      </c>
    </row>
    <row r="774" spans="1:9" x14ac:dyDescent="0.4">
      <c r="A774" t="s">
        <v>155</v>
      </c>
      <c r="B774" t="s">
        <v>10</v>
      </c>
      <c r="C774" t="s">
        <v>19</v>
      </c>
      <c r="D774">
        <v>29774</v>
      </c>
      <c r="E774" t="s">
        <v>153</v>
      </c>
      <c r="F774" t="s">
        <v>13</v>
      </c>
      <c r="G774" t="s">
        <v>20</v>
      </c>
      <c r="H774" t="s">
        <v>21</v>
      </c>
      <c r="I774" t="s">
        <v>16</v>
      </c>
    </row>
    <row r="775" spans="1:9" x14ac:dyDescent="0.4">
      <c r="A775" t="s">
        <v>156</v>
      </c>
      <c r="B775" t="s">
        <v>91</v>
      </c>
      <c r="C775" t="s">
        <v>11</v>
      </c>
      <c r="D775">
        <v>1718</v>
      </c>
      <c r="E775" t="s">
        <v>157</v>
      </c>
      <c r="F775" t="s">
        <v>13</v>
      </c>
      <c r="G775" t="s">
        <v>20</v>
      </c>
      <c r="H775" t="s">
        <v>15</v>
      </c>
      <c r="I775" t="s">
        <v>16</v>
      </c>
    </row>
    <row r="776" spans="1:9" x14ac:dyDescent="0.4">
      <c r="A776" t="s">
        <v>158</v>
      </c>
      <c r="B776" t="s">
        <v>77</v>
      </c>
      <c r="C776" t="s">
        <v>19</v>
      </c>
      <c r="D776">
        <v>66422</v>
      </c>
      <c r="E776" t="s">
        <v>157</v>
      </c>
      <c r="F776" t="s">
        <v>13</v>
      </c>
      <c r="G776" t="s">
        <v>20</v>
      </c>
      <c r="H776" t="s">
        <v>21</v>
      </c>
      <c r="I776" t="s">
        <v>16</v>
      </c>
    </row>
    <row r="777" spans="1:9" x14ac:dyDescent="0.4">
      <c r="A777" t="s">
        <v>159</v>
      </c>
      <c r="B777" t="s">
        <v>160</v>
      </c>
      <c r="C777" t="s">
        <v>11</v>
      </c>
      <c r="D777">
        <v>1261464</v>
      </c>
      <c r="E777" t="s">
        <v>157</v>
      </c>
      <c r="F777" t="s">
        <v>13</v>
      </c>
      <c r="G777" t="s">
        <v>20</v>
      </c>
      <c r="H777" t="s">
        <v>15</v>
      </c>
      <c r="I777" t="s">
        <v>16</v>
      </c>
    </row>
    <row r="778" spans="1:9" x14ac:dyDescent="0.4">
      <c r="A778" t="s">
        <v>161</v>
      </c>
      <c r="B778" t="s">
        <v>77</v>
      </c>
      <c r="C778" t="s">
        <v>11</v>
      </c>
      <c r="D778">
        <v>145714</v>
      </c>
      <c r="E778" t="s">
        <v>162</v>
      </c>
      <c r="F778" t="s">
        <v>13</v>
      </c>
      <c r="G778" t="s">
        <v>20</v>
      </c>
      <c r="H778" t="s">
        <v>15</v>
      </c>
      <c r="I778" t="s">
        <v>16</v>
      </c>
    </row>
    <row r="779" spans="1:9" x14ac:dyDescent="0.4">
      <c r="A779" t="s">
        <v>163</v>
      </c>
      <c r="B779" t="s">
        <v>10</v>
      </c>
      <c r="C779" t="s">
        <v>19</v>
      </c>
      <c r="D779">
        <v>878</v>
      </c>
      <c r="E779" t="s">
        <v>164</v>
      </c>
      <c r="F779" t="s">
        <v>13</v>
      </c>
      <c r="G779" t="s">
        <v>20</v>
      </c>
      <c r="H779" t="s">
        <v>21</v>
      </c>
      <c r="I779" t="s">
        <v>16</v>
      </c>
    </row>
    <row r="780" spans="1:9" x14ac:dyDescent="0.4">
      <c r="A780" t="s">
        <v>168</v>
      </c>
      <c r="B780" t="s">
        <v>66</v>
      </c>
      <c r="C780" t="s">
        <v>19</v>
      </c>
      <c r="D780">
        <v>169626</v>
      </c>
      <c r="E780" t="s">
        <v>164</v>
      </c>
      <c r="F780" t="s">
        <v>13</v>
      </c>
      <c r="G780" t="s">
        <v>20</v>
      </c>
      <c r="H780" t="s">
        <v>21</v>
      </c>
      <c r="I780" t="s">
        <v>16</v>
      </c>
    </row>
    <row r="781" spans="1:9" x14ac:dyDescent="0.4">
      <c r="A781" t="s">
        <v>172</v>
      </c>
      <c r="B781" t="s">
        <v>86</v>
      </c>
      <c r="C781" t="s">
        <v>19</v>
      </c>
      <c r="D781">
        <v>90000</v>
      </c>
      <c r="E781" t="s">
        <v>170</v>
      </c>
      <c r="F781" t="s">
        <v>13</v>
      </c>
      <c r="G781" t="s">
        <v>20</v>
      </c>
      <c r="H781" t="s">
        <v>21</v>
      </c>
      <c r="I781" t="s">
        <v>16</v>
      </c>
    </row>
    <row r="782" spans="1:9" x14ac:dyDescent="0.4">
      <c r="A782" t="s">
        <v>173</v>
      </c>
      <c r="B782" t="s">
        <v>18</v>
      </c>
      <c r="C782" t="s">
        <v>19</v>
      </c>
      <c r="D782">
        <v>68212</v>
      </c>
      <c r="E782" t="s">
        <v>174</v>
      </c>
      <c r="F782" t="s">
        <v>13</v>
      </c>
      <c r="G782" t="s">
        <v>20</v>
      </c>
      <c r="H782" t="s">
        <v>21</v>
      </c>
      <c r="I782" t="s">
        <v>16</v>
      </c>
    </row>
    <row r="783" spans="1:9" x14ac:dyDescent="0.4">
      <c r="A783" t="s">
        <v>175</v>
      </c>
      <c r="B783" t="s">
        <v>176</v>
      </c>
      <c r="C783" t="s">
        <v>19</v>
      </c>
      <c r="D783">
        <v>30830</v>
      </c>
      <c r="E783" t="s">
        <v>174</v>
      </c>
      <c r="F783" t="s">
        <v>13</v>
      </c>
      <c r="G783" t="s">
        <v>20</v>
      </c>
      <c r="H783" t="s">
        <v>21</v>
      </c>
      <c r="I783" t="s">
        <v>16</v>
      </c>
    </row>
    <row r="784" spans="1:9" x14ac:dyDescent="0.4">
      <c r="A784" t="s">
        <v>177</v>
      </c>
      <c r="B784" t="s">
        <v>104</v>
      </c>
      <c r="C784" t="s">
        <v>19</v>
      </c>
      <c r="D784">
        <v>501</v>
      </c>
      <c r="E784" t="s">
        <v>174</v>
      </c>
      <c r="F784" t="s">
        <v>13</v>
      </c>
      <c r="G784" t="s">
        <v>20</v>
      </c>
      <c r="H784" t="s">
        <v>21</v>
      </c>
      <c r="I784" t="s">
        <v>16</v>
      </c>
    </row>
    <row r="785" spans="1:9" x14ac:dyDescent="0.4">
      <c r="A785" t="s">
        <v>178</v>
      </c>
      <c r="B785" t="s">
        <v>10</v>
      </c>
      <c r="C785" t="s">
        <v>11</v>
      </c>
      <c r="D785">
        <v>2045</v>
      </c>
      <c r="E785" t="s">
        <v>174</v>
      </c>
      <c r="F785" t="s">
        <v>13</v>
      </c>
      <c r="G785" t="s">
        <v>20</v>
      </c>
      <c r="H785" t="s">
        <v>15</v>
      </c>
      <c r="I785" t="s">
        <v>16</v>
      </c>
    </row>
    <row r="786" spans="1:9" x14ac:dyDescent="0.4">
      <c r="A786" t="s">
        <v>179</v>
      </c>
      <c r="B786" t="s">
        <v>60</v>
      </c>
      <c r="C786" t="s">
        <v>19</v>
      </c>
      <c r="D786">
        <v>501</v>
      </c>
      <c r="E786" t="s">
        <v>180</v>
      </c>
      <c r="F786" t="s">
        <v>13</v>
      </c>
      <c r="G786" t="s">
        <v>20</v>
      </c>
      <c r="H786" t="s">
        <v>21</v>
      </c>
      <c r="I786" t="s">
        <v>16</v>
      </c>
    </row>
    <row r="787" spans="1:9" x14ac:dyDescent="0.4">
      <c r="A787" t="s">
        <v>181</v>
      </c>
      <c r="B787" t="s">
        <v>182</v>
      </c>
      <c r="C787" t="s">
        <v>19</v>
      </c>
      <c r="D787">
        <v>500</v>
      </c>
      <c r="E787" t="s">
        <v>180</v>
      </c>
      <c r="F787" t="s">
        <v>13</v>
      </c>
      <c r="G787" t="s">
        <v>20</v>
      </c>
      <c r="H787" t="s">
        <v>21</v>
      </c>
      <c r="I787" t="s">
        <v>16</v>
      </c>
    </row>
    <row r="788" spans="1:9" x14ac:dyDescent="0.4">
      <c r="A788" t="s">
        <v>183</v>
      </c>
      <c r="B788" t="s">
        <v>28</v>
      </c>
      <c r="C788" t="s">
        <v>19</v>
      </c>
      <c r="D788">
        <v>542377</v>
      </c>
      <c r="E788" t="s">
        <v>180</v>
      </c>
      <c r="F788" t="s">
        <v>13</v>
      </c>
      <c r="G788" t="s">
        <v>20</v>
      </c>
      <c r="H788" t="s">
        <v>21</v>
      </c>
      <c r="I788" t="s">
        <v>16</v>
      </c>
    </row>
    <row r="789" spans="1:9" x14ac:dyDescent="0.4">
      <c r="A789" t="s">
        <v>184</v>
      </c>
      <c r="B789" t="s">
        <v>86</v>
      </c>
      <c r="C789" t="s">
        <v>19</v>
      </c>
      <c r="D789">
        <v>7117</v>
      </c>
      <c r="E789" t="s">
        <v>180</v>
      </c>
      <c r="F789" t="s">
        <v>13</v>
      </c>
      <c r="G789" t="s">
        <v>20</v>
      </c>
      <c r="H789" t="s">
        <v>21</v>
      </c>
      <c r="I789" t="s">
        <v>16</v>
      </c>
    </row>
    <row r="790" spans="1:9" x14ac:dyDescent="0.4">
      <c r="A790" t="s">
        <v>185</v>
      </c>
      <c r="B790" t="s">
        <v>77</v>
      </c>
      <c r="C790" t="s">
        <v>19</v>
      </c>
      <c r="D790">
        <v>9810</v>
      </c>
      <c r="E790" t="s">
        <v>180</v>
      </c>
      <c r="F790" t="s">
        <v>13</v>
      </c>
      <c r="G790" t="s">
        <v>20</v>
      </c>
      <c r="H790" t="s">
        <v>21</v>
      </c>
      <c r="I790" t="s">
        <v>16</v>
      </c>
    </row>
    <row r="791" spans="1:9" x14ac:dyDescent="0.4">
      <c r="A791" t="s">
        <v>186</v>
      </c>
      <c r="B791" t="s">
        <v>10</v>
      </c>
      <c r="C791" t="s">
        <v>19</v>
      </c>
      <c r="D791">
        <v>62150</v>
      </c>
      <c r="E791" t="s">
        <v>187</v>
      </c>
      <c r="F791" t="s">
        <v>13</v>
      </c>
      <c r="G791" t="s">
        <v>20</v>
      </c>
      <c r="H791" t="s">
        <v>21</v>
      </c>
      <c r="I791" t="s">
        <v>16</v>
      </c>
    </row>
    <row r="792" spans="1:9" x14ac:dyDescent="0.4">
      <c r="A792" t="s">
        <v>189</v>
      </c>
      <c r="B792" t="s">
        <v>43</v>
      </c>
      <c r="C792" t="s">
        <v>19</v>
      </c>
      <c r="D792">
        <v>500</v>
      </c>
      <c r="E792" t="s">
        <v>190</v>
      </c>
      <c r="F792" t="s">
        <v>13</v>
      </c>
      <c r="G792" t="s">
        <v>20</v>
      </c>
      <c r="H792" t="s">
        <v>21</v>
      </c>
      <c r="I792" t="s">
        <v>16</v>
      </c>
    </row>
    <row r="793" spans="1:9" x14ac:dyDescent="0.4">
      <c r="A793" t="s">
        <v>191</v>
      </c>
      <c r="B793" t="s">
        <v>64</v>
      </c>
      <c r="C793" t="s">
        <v>19</v>
      </c>
      <c r="D793">
        <v>500</v>
      </c>
      <c r="E793" t="s">
        <v>192</v>
      </c>
      <c r="F793" t="s">
        <v>13</v>
      </c>
      <c r="G793" t="s">
        <v>20</v>
      </c>
      <c r="H793" t="s">
        <v>21</v>
      </c>
      <c r="I793" t="s">
        <v>16</v>
      </c>
    </row>
    <row r="794" spans="1:9" x14ac:dyDescent="0.4">
      <c r="A794" t="s">
        <v>193</v>
      </c>
      <c r="B794" t="s">
        <v>104</v>
      </c>
      <c r="C794" t="s">
        <v>11</v>
      </c>
      <c r="D794">
        <v>8545</v>
      </c>
      <c r="E794" t="s">
        <v>192</v>
      </c>
      <c r="F794" t="s">
        <v>13</v>
      </c>
      <c r="G794" t="s">
        <v>20</v>
      </c>
      <c r="H794" t="s">
        <v>15</v>
      </c>
      <c r="I794" t="s">
        <v>16</v>
      </c>
    </row>
    <row r="795" spans="1:9" x14ac:dyDescent="0.4">
      <c r="A795" t="s">
        <v>198</v>
      </c>
      <c r="B795" t="s">
        <v>60</v>
      </c>
      <c r="C795" t="s">
        <v>19</v>
      </c>
      <c r="D795">
        <v>7692</v>
      </c>
      <c r="E795" t="s">
        <v>199</v>
      </c>
      <c r="F795" t="s">
        <v>13</v>
      </c>
      <c r="G795" t="s">
        <v>20</v>
      </c>
      <c r="H795" t="s">
        <v>21</v>
      </c>
      <c r="I795" t="s">
        <v>16</v>
      </c>
    </row>
    <row r="796" spans="1:9" x14ac:dyDescent="0.4">
      <c r="A796" t="s">
        <v>200</v>
      </c>
      <c r="B796" t="s">
        <v>57</v>
      </c>
      <c r="C796" t="s">
        <v>19</v>
      </c>
      <c r="D796">
        <v>534</v>
      </c>
      <c r="E796" t="s">
        <v>201</v>
      </c>
      <c r="F796" t="s">
        <v>13</v>
      </c>
      <c r="G796" t="s">
        <v>20</v>
      </c>
      <c r="H796" t="s">
        <v>21</v>
      </c>
      <c r="I796" t="s">
        <v>16</v>
      </c>
    </row>
    <row r="797" spans="1:9" x14ac:dyDescent="0.4">
      <c r="A797" t="s">
        <v>202</v>
      </c>
      <c r="B797" t="s">
        <v>182</v>
      </c>
      <c r="C797" t="s">
        <v>19</v>
      </c>
      <c r="D797">
        <v>2311</v>
      </c>
      <c r="E797" t="s">
        <v>203</v>
      </c>
      <c r="F797" t="s">
        <v>13</v>
      </c>
      <c r="G797" t="s">
        <v>20</v>
      </c>
      <c r="H797" t="s">
        <v>21</v>
      </c>
      <c r="I797" t="s">
        <v>16</v>
      </c>
    </row>
    <row r="798" spans="1:9" x14ac:dyDescent="0.4">
      <c r="A798" t="s">
        <v>204</v>
      </c>
      <c r="B798" t="s">
        <v>71</v>
      </c>
      <c r="C798" t="s">
        <v>11</v>
      </c>
      <c r="D798">
        <v>1279</v>
      </c>
      <c r="E798" t="s">
        <v>205</v>
      </c>
      <c r="F798" t="s">
        <v>13</v>
      </c>
      <c r="G798" t="s">
        <v>20</v>
      </c>
      <c r="H798" t="s">
        <v>15</v>
      </c>
      <c r="I798" t="s">
        <v>16</v>
      </c>
    </row>
    <row r="799" spans="1:9" x14ac:dyDescent="0.4">
      <c r="A799" t="s">
        <v>208</v>
      </c>
      <c r="B799" t="s">
        <v>145</v>
      </c>
      <c r="C799" t="s">
        <v>34</v>
      </c>
      <c r="D799">
        <v>34574</v>
      </c>
      <c r="E799" t="s">
        <v>207</v>
      </c>
      <c r="F799" t="s">
        <v>13</v>
      </c>
      <c r="G799" t="s">
        <v>20</v>
      </c>
      <c r="H799" t="s">
        <v>21</v>
      </c>
      <c r="I799" t="s">
        <v>16</v>
      </c>
    </row>
    <row r="800" spans="1:9" x14ac:dyDescent="0.4">
      <c r="A800" t="s">
        <v>209</v>
      </c>
      <c r="B800" t="s">
        <v>26</v>
      </c>
      <c r="C800" t="s">
        <v>19</v>
      </c>
      <c r="D800">
        <v>500</v>
      </c>
      <c r="E800" t="s">
        <v>207</v>
      </c>
      <c r="F800" t="s">
        <v>13</v>
      </c>
      <c r="G800" t="s">
        <v>20</v>
      </c>
      <c r="H800" t="s">
        <v>21</v>
      </c>
      <c r="I800" t="s">
        <v>16</v>
      </c>
    </row>
    <row r="801" spans="1:9" x14ac:dyDescent="0.4">
      <c r="A801" t="s">
        <v>210</v>
      </c>
      <c r="B801" t="s">
        <v>91</v>
      </c>
      <c r="C801" t="s">
        <v>19</v>
      </c>
      <c r="D801">
        <v>80061</v>
      </c>
      <c r="E801" t="s">
        <v>207</v>
      </c>
      <c r="F801" t="s">
        <v>13</v>
      </c>
      <c r="G801" t="s">
        <v>20</v>
      </c>
      <c r="H801" t="s">
        <v>21</v>
      </c>
      <c r="I801" t="s">
        <v>16</v>
      </c>
    </row>
    <row r="802" spans="1:9" x14ac:dyDescent="0.4">
      <c r="A802" t="s">
        <v>211</v>
      </c>
      <c r="B802" t="s">
        <v>66</v>
      </c>
      <c r="C802" t="s">
        <v>11</v>
      </c>
      <c r="D802">
        <v>1396519</v>
      </c>
      <c r="E802" t="s">
        <v>207</v>
      </c>
      <c r="F802" t="s">
        <v>13</v>
      </c>
      <c r="G802" t="s">
        <v>20</v>
      </c>
      <c r="H802" t="s">
        <v>15</v>
      </c>
      <c r="I802" t="s">
        <v>16</v>
      </c>
    </row>
    <row r="803" spans="1:9" x14ac:dyDescent="0.4">
      <c r="A803" t="s">
        <v>212</v>
      </c>
      <c r="B803" t="s">
        <v>182</v>
      </c>
      <c r="C803" t="s">
        <v>19</v>
      </c>
      <c r="D803">
        <v>500</v>
      </c>
      <c r="E803" t="s">
        <v>207</v>
      </c>
      <c r="F803" t="s">
        <v>13</v>
      </c>
      <c r="G803" t="s">
        <v>20</v>
      </c>
      <c r="H803" t="s">
        <v>21</v>
      </c>
      <c r="I803" t="s">
        <v>16</v>
      </c>
    </row>
    <row r="804" spans="1:9" x14ac:dyDescent="0.4">
      <c r="A804" t="s">
        <v>213</v>
      </c>
      <c r="B804" t="s">
        <v>71</v>
      </c>
      <c r="C804" t="s">
        <v>19</v>
      </c>
      <c r="D804">
        <v>75532</v>
      </c>
      <c r="E804" t="s">
        <v>207</v>
      </c>
      <c r="F804" t="s">
        <v>13</v>
      </c>
      <c r="G804" t="s">
        <v>20</v>
      </c>
      <c r="H804" t="s">
        <v>21</v>
      </c>
      <c r="I804" t="s">
        <v>16</v>
      </c>
    </row>
    <row r="805" spans="1:9" x14ac:dyDescent="0.4">
      <c r="A805" t="s">
        <v>214</v>
      </c>
      <c r="B805" t="s">
        <v>116</v>
      </c>
      <c r="C805" t="s">
        <v>19</v>
      </c>
      <c r="D805">
        <v>19553</v>
      </c>
      <c r="E805" t="s">
        <v>215</v>
      </c>
      <c r="F805" t="s">
        <v>13</v>
      </c>
      <c r="G805" t="s">
        <v>20</v>
      </c>
      <c r="H805" t="s">
        <v>21</v>
      </c>
      <c r="I805" t="s">
        <v>16</v>
      </c>
    </row>
    <row r="806" spans="1:9" x14ac:dyDescent="0.4">
      <c r="A806" t="s">
        <v>216</v>
      </c>
      <c r="B806" t="s">
        <v>167</v>
      </c>
      <c r="C806" t="s">
        <v>19</v>
      </c>
      <c r="D806">
        <v>22000</v>
      </c>
      <c r="E806" t="s">
        <v>215</v>
      </c>
      <c r="F806" t="s">
        <v>13</v>
      </c>
      <c r="G806" t="s">
        <v>51</v>
      </c>
      <c r="H806" t="s">
        <v>21</v>
      </c>
      <c r="I806" t="s">
        <v>16</v>
      </c>
    </row>
    <row r="807" spans="1:9" x14ac:dyDescent="0.4">
      <c r="A807" t="s">
        <v>217</v>
      </c>
      <c r="B807" t="s">
        <v>64</v>
      </c>
      <c r="C807" t="s">
        <v>19</v>
      </c>
      <c r="D807">
        <v>20608</v>
      </c>
      <c r="E807" t="s">
        <v>218</v>
      </c>
      <c r="F807" t="s">
        <v>13</v>
      </c>
      <c r="G807" t="s">
        <v>20</v>
      </c>
      <c r="H807" t="s">
        <v>21</v>
      </c>
      <c r="I807" t="s">
        <v>16</v>
      </c>
    </row>
    <row r="808" spans="1:9" x14ac:dyDescent="0.4">
      <c r="A808" t="s">
        <v>219</v>
      </c>
      <c r="B808" t="s">
        <v>116</v>
      </c>
      <c r="C808" t="s">
        <v>11</v>
      </c>
      <c r="D808">
        <v>1137</v>
      </c>
      <c r="E808" t="s">
        <v>218</v>
      </c>
      <c r="F808" t="s">
        <v>13</v>
      </c>
      <c r="G808" t="s">
        <v>51</v>
      </c>
      <c r="H808" t="s">
        <v>15</v>
      </c>
      <c r="I808" t="s">
        <v>16</v>
      </c>
    </row>
    <row r="809" spans="1:9" x14ac:dyDescent="0.4">
      <c r="A809" t="s">
        <v>220</v>
      </c>
      <c r="B809" t="s">
        <v>18</v>
      </c>
      <c r="C809" t="s">
        <v>19</v>
      </c>
      <c r="D809">
        <v>12000</v>
      </c>
      <c r="E809" t="s">
        <v>218</v>
      </c>
      <c r="F809" t="s">
        <v>13</v>
      </c>
      <c r="G809" t="s">
        <v>20</v>
      </c>
      <c r="H809" t="s">
        <v>21</v>
      </c>
      <c r="I809" t="s">
        <v>16</v>
      </c>
    </row>
    <row r="810" spans="1:9" x14ac:dyDescent="0.4">
      <c r="A810" t="s">
        <v>221</v>
      </c>
      <c r="B810" t="s">
        <v>138</v>
      </c>
      <c r="C810" t="s">
        <v>11</v>
      </c>
      <c r="D810">
        <v>2720</v>
      </c>
      <c r="E810" t="s">
        <v>222</v>
      </c>
      <c r="F810" t="s">
        <v>13</v>
      </c>
      <c r="G810" t="s">
        <v>20</v>
      </c>
      <c r="H810" t="s">
        <v>15</v>
      </c>
      <c r="I810" t="s">
        <v>16</v>
      </c>
    </row>
    <row r="811" spans="1:9" x14ac:dyDescent="0.4">
      <c r="A811" t="s">
        <v>223</v>
      </c>
      <c r="B811" t="s">
        <v>145</v>
      </c>
      <c r="C811" t="s">
        <v>19</v>
      </c>
      <c r="D811">
        <v>27113</v>
      </c>
      <c r="E811" t="s">
        <v>222</v>
      </c>
      <c r="F811" t="s">
        <v>13</v>
      </c>
      <c r="G811" t="s">
        <v>20</v>
      </c>
      <c r="H811" t="s">
        <v>21</v>
      </c>
      <c r="I811" t="s">
        <v>16</v>
      </c>
    </row>
    <row r="812" spans="1:9" x14ac:dyDescent="0.4">
      <c r="A812" t="s">
        <v>224</v>
      </c>
      <c r="B812" t="s">
        <v>77</v>
      </c>
      <c r="C812" t="s">
        <v>11</v>
      </c>
      <c r="D812">
        <v>1387</v>
      </c>
      <c r="E812" t="s">
        <v>225</v>
      </c>
      <c r="F812" t="s">
        <v>13</v>
      </c>
      <c r="G812" t="s">
        <v>20</v>
      </c>
      <c r="H812" t="s">
        <v>15</v>
      </c>
      <c r="I812" t="s">
        <v>16</v>
      </c>
    </row>
    <row r="813" spans="1:9" x14ac:dyDescent="0.4">
      <c r="A813" t="s">
        <v>226</v>
      </c>
      <c r="B813" t="s">
        <v>71</v>
      </c>
      <c r="C813" t="s">
        <v>19</v>
      </c>
      <c r="D813">
        <v>501</v>
      </c>
      <c r="E813" t="s">
        <v>227</v>
      </c>
      <c r="F813" t="s">
        <v>13</v>
      </c>
      <c r="G813" t="s">
        <v>20</v>
      </c>
      <c r="H813" t="s">
        <v>21</v>
      </c>
      <c r="I813" t="s">
        <v>16</v>
      </c>
    </row>
    <row r="814" spans="1:9" x14ac:dyDescent="0.4">
      <c r="A814" t="s">
        <v>228</v>
      </c>
      <c r="B814" t="s">
        <v>47</v>
      </c>
      <c r="C814" t="s">
        <v>19</v>
      </c>
      <c r="D814">
        <v>500</v>
      </c>
      <c r="E814" t="s">
        <v>227</v>
      </c>
      <c r="F814" t="s">
        <v>13</v>
      </c>
      <c r="G814" t="s">
        <v>20</v>
      </c>
      <c r="H814" t="s">
        <v>21</v>
      </c>
      <c r="I814" t="s">
        <v>16</v>
      </c>
    </row>
    <row r="815" spans="1:9" x14ac:dyDescent="0.4">
      <c r="A815" t="s">
        <v>229</v>
      </c>
      <c r="B815" t="s">
        <v>47</v>
      </c>
      <c r="C815" t="s">
        <v>11</v>
      </c>
      <c r="D815">
        <v>353844</v>
      </c>
      <c r="E815" t="s">
        <v>227</v>
      </c>
      <c r="F815" t="s">
        <v>13</v>
      </c>
      <c r="G815" t="s">
        <v>20</v>
      </c>
      <c r="H815" t="s">
        <v>15</v>
      </c>
      <c r="I815" t="s">
        <v>16</v>
      </c>
    </row>
    <row r="816" spans="1:9" x14ac:dyDescent="0.4">
      <c r="A816" t="s">
        <v>230</v>
      </c>
      <c r="B816" t="s">
        <v>116</v>
      </c>
      <c r="C816" t="s">
        <v>11</v>
      </c>
      <c r="D816">
        <v>4060</v>
      </c>
      <c r="E816" t="s">
        <v>231</v>
      </c>
      <c r="F816" t="s">
        <v>13</v>
      </c>
      <c r="G816" t="s">
        <v>20</v>
      </c>
      <c r="H816" t="s">
        <v>15</v>
      </c>
      <c r="I816" t="s">
        <v>16</v>
      </c>
    </row>
    <row r="817" spans="1:9" x14ac:dyDescent="0.4">
      <c r="A817" t="s">
        <v>234</v>
      </c>
      <c r="B817" t="s">
        <v>18</v>
      </c>
      <c r="C817" t="s">
        <v>19</v>
      </c>
      <c r="D817">
        <v>14636</v>
      </c>
      <c r="E817" t="s">
        <v>235</v>
      </c>
      <c r="F817" t="s">
        <v>13</v>
      </c>
      <c r="G817" t="s">
        <v>20</v>
      </c>
      <c r="H817" t="s">
        <v>21</v>
      </c>
      <c r="I817" t="s">
        <v>16</v>
      </c>
    </row>
    <row r="818" spans="1:9" x14ac:dyDescent="0.4">
      <c r="A818" t="s">
        <v>236</v>
      </c>
      <c r="B818" t="s">
        <v>138</v>
      </c>
      <c r="C818" t="s">
        <v>19</v>
      </c>
      <c r="D818">
        <v>5240</v>
      </c>
      <c r="E818" t="s">
        <v>237</v>
      </c>
      <c r="F818" t="s">
        <v>13</v>
      </c>
      <c r="G818" t="s">
        <v>20</v>
      </c>
      <c r="H818" t="s">
        <v>21</v>
      </c>
      <c r="I818" t="s">
        <v>16</v>
      </c>
    </row>
    <row r="819" spans="1:9" x14ac:dyDescent="0.4">
      <c r="A819" t="s">
        <v>239</v>
      </c>
      <c r="B819" t="s">
        <v>86</v>
      </c>
      <c r="C819" t="s">
        <v>19</v>
      </c>
      <c r="D819">
        <v>38700</v>
      </c>
      <c r="E819" t="s">
        <v>237</v>
      </c>
      <c r="F819" t="s">
        <v>13</v>
      </c>
      <c r="G819" t="s">
        <v>20</v>
      </c>
      <c r="H819" t="s">
        <v>21</v>
      </c>
      <c r="I819" t="s">
        <v>16</v>
      </c>
    </row>
    <row r="820" spans="1:9" x14ac:dyDescent="0.4">
      <c r="A820" t="s">
        <v>241</v>
      </c>
      <c r="B820" t="s">
        <v>77</v>
      </c>
      <c r="C820" t="s">
        <v>19</v>
      </c>
      <c r="D820">
        <v>1525</v>
      </c>
      <c r="E820" t="s">
        <v>237</v>
      </c>
      <c r="F820" t="s">
        <v>13</v>
      </c>
      <c r="G820" t="s">
        <v>20</v>
      </c>
      <c r="H820" t="s">
        <v>21</v>
      </c>
      <c r="I820" t="s">
        <v>16</v>
      </c>
    </row>
    <row r="821" spans="1:9" x14ac:dyDescent="0.4">
      <c r="A821" t="s">
        <v>243</v>
      </c>
      <c r="B821" t="s">
        <v>71</v>
      </c>
      <c r="C821" t="s">
        <v>11</v>
      </c>
      <c r="D821">
        <v>1591</v>
      </c>
      <c r="E821" t="s">
        <v>237</v>
      </c>
      <c r="F821" t="s">
        <v>13</v>
      </c>
      <c r="G821" t="s">
        <v>20</v>
      </c>
      <c r="H821" t="s">
        <v>15</v>
      </c>
      <c r="I821" t="s">
        <v>16</v>
      </c>
    </row>
    <row r="822" spans="1:9" x14ac:dyDescent="0.4">
      <c r="A822" t="s">
        <v>246</v>
      </c>
      <c r="B822" t="s">
        <v>116</v>
      </c>
      <c r="C822" t="s">
        <v>19</v>
      </c>
      <c r="D822">
        <v>2886</v>
      </c>
      <c r="E822" t="s">
        <v>245</v>
      </c>
      <c r="F822" t="s">
        <v>13</v>
      </c>
      <c r="G822" t="s">
        <v>20</v>
      </c>
      <c r="H822" t="s">
        <v>21</v>
      </c>
      <c r="I822" t="s">
        <v>16</v>
      </c>
    </row>
    <row r="823" spans="1:9" x14ac:dyDescent="0.4">
      <c r="A823" t="s">
        <v>247</v>
      </c>
      <c r="B823" t="s">
        <v>248</v>
      </c>
      <c r="C823" t="s">
        <v>34</v>
      </c>
      <c r="D823">
        <v>2856</v>
      </c>
      <c r="E823" t="s">
        <v>245</v>
      </c>
      <c r="F823" t="s">
        <v>13</v>
      </c>
      <c r="G823" t="s">
        <v>20</v>
      </c>
      <c r="H823" t="s">
        <v>21</v>
      </c>
      <c r="I823" t="s">
        <v>16</v>
      </c>
    </row>
    <row r="824" spans="1:9" x14ac:dyDescent="0.4">
      <c r="A824" t="s">
        <v>249</v>
      </c>
      <c r="B824" t="s">
        <v>141</v>
      </c>
      <c r="C824" t="s">
        <v>19</v>
      </c>
      <c r="D824">
        <v>266183</v>
      </c>
      <c r="E824" t="s">
        <v>245</v>
      </c>
      <c r="F824" t="s">
        <v>13</v>
      </c>
      <c r="G824" t="s">
        <v>20</v>
      </c>
      <c r="H824" t="s">
        <v>21</v>
      </c>
      <c r="I824" t="s">
        <v>16</v>
      </c>
    </row>
    <row r="825" spans="1:9" x14ac:dyDescent="0.4">
      <c r="A825" t="s">
        <v>253</v>
      </c>
      <c r="B825" t="s">
        <v>82</v>
      </c>
      <c r="C825" t="s">
        <v>19</v>
      </c>
      <c r="D825">
        <v>53888</v>
      </c>
      <c r="E825" t="s">
        <v>254</v>
      </c>
      <c r="F825" t="s">
        <v>13</v>
      </c>
      <c r="G825" t="s">
        <v>20</v>
      </c>
      <c r="H825" t="s">
        <v>21</v>
      </c>
      <c r="I825" t="s">
        <v>16</v>
      </c>
    </row>
    <row r="826" spans="1:9" x14ac:dyDescent="0.4">
      <c r="A826" t="s">
        <v>255</v>
      </c>
      <c r="B826" t="s">
        <v>10</v>
      </c>
      <c r="C826" t="s">
        <v>19</v>
      </c>
      <c r="D826">
        <v>25000</v>
      </c>
      <c r="E826" t="s">
        <v>256</v>
      </c>
      <c r="F826" t="s">
        <v>13</v>
      </c>
      <c r="G826" t="s">
        <v>20</v>
      </c>
      <c r="H826" t="s">
        <v>21</v>
      </c>
      <c r="I826" t="s">
        <v>16</v>
      </c>
    </row>
    <row r="827" spans="1:9" x14ac:dyDescent="0.4">
      <c r="A827" t="s">
        <v>257</v>
      </c>
      <c r="B827" t="s">
        <v>258</v>
      </c>
      <c r="C827" t="s">
        <v>19</v>
      </c>
      <c r="D827">
        <v>18943</v>
      </c>
      <c r="E827" t="s">
        <v>256</v>
      </c>
      <c r="F827" t="s">
        <v>13</v>
      </c>
      <c r="G827" t="s">
        <v>20</v>
      </c>
      <c r="H827" t="s">
        <v>21</v>
      </c>
      <c r="I827" t="s">
        <v>16</v>
      </c>
    </row>
    <row r="828" spans="1:9" x14ac:dyDescent="0.4">
      <c r="A828" t="s">
        <v>259</v>
      </c>
      <c r="B828" t="s">
        <v>28</v>
      </c>
      <c r="C828" t="s">
        <v>11</v>
      </c>
      <c r="D828">
        <v>12801</v>
      </c>
      <c r="E828" t="s">
        <v>256</v>
      </c>
      <c r="F828" t="s">
        <v>13</v>
      </c>
      <c r="G828" t="s">
        <v>20</v>
      </c>
      <c r="H828" t="s">
        <v>15</v>
      </c>
      <c r="I828" t="s">
        <v>16</v>
      </c>
    </row>
    <row r="829" spans="1:9" x14ac:dyDescent="0.4">
      <c r="A829" t="s">
        <v>260</v>
      </c>
      <c r="B829" t="s">
        <v>64</v>
      </c>
      <c r="C829" t="s">
        <v>19</v>
      </c>
      <c r="D829">
        <v>8000</v>
      </c>
      <c r="E829" t="s">
        <v>261</v>
      </c>
      <c r="F829" t="s">
        <v>13</v>
      </c>
      <c r="G829" t="s">
        <v>20</v>
      </c>
      <c r="H829" t="s">
        <v>21</v>
      </c>
      <c r="I829" t="s">
        <v>16</v>
      </c>
    </row>
    <row r="830" spans="1:9" x14ac:dyDescent="0.4">
      <c r="A830" t="s">
        <v>264</v>
      </c>
      <c r="B830" t="s">
        <v>28</v>
      </c>
      <c r="C830" t="s">
        <v>19</v>
      </c>
      <c r="D830">
        <v>501</v>
      </c>
      <c r="E830" t="s">
        <v>265</v>
      </c>
      <c r="F830" t="s">
        <v>13</v>
      </c>
      <c r="G830" t="s">
        <v>20</v>
      </c>
      <c r="H830" t="s">
        <v>21</v>
      </c>
      <c r="I830" t="s">
        <v>16</v>
      </c>
    </row>
    <row r="831" spans="1:9" x14ac:dyDescent="0.4">
      <c r="A831" t="s">
        <v>267</v>
      </c>
      <c r="B831" t="s">
        <v>77</v>
      </c>
      <c r="C831" t="s">
        <v>11</v>
      </c>
      <c r="D831">
        <v>5864</v>
      </c>
      <c r="E831" t="s">
        <v>268</v>
      </c>
      <c r="F831" t="s">
        <v>13</v>
      </c>
      <c r="G831" t="s">
        <v>20</v>
      </c>
      <c r="H831" t="s">
        <v>15</v>
      </c>
      <c r="I831" t="s">
        <v>16</v>
      </c>
    </row>
    <row r="832" spans="1:9" x14ac:dyDescent="0.4">
      <c r="A832" t="s">
        <v>269</v>
      </c>
      <c r="B832" t="s">
        <v>64</v>
      </c>
      <c r="C832" t="s">
        <v>11</v>
      </c>
      <c r="D832">
        <v>2275</v>
      </c>
      <c r="E832" t="s">
        <v>270</v>
      </c>
      <c r="F832" t="s">
        <v>13</v>
      </c>
      <c r="G832" t="s">
        <v>20</v>
      </c>
      <c r="H832" t="s">
        <v>15</v>
      </c>
      <c r="I832" t="s">
        <v>16</v>
      </c>
    </row>
    <row r="833" spans="1:9" x14ac:dyDescent="0.4">
      <c r="A833" t="s">
        <v>273</v>
      </c>
      <c r="B833" t="s">
        <v>274</v>
      </c>
      <c r="C833" t="s">
        <v>19</v>
      </c>
      <c r="D833">
        <v>13652</v>
      </c>
      <c r="E833" t="s">
        <v>272</v>
      </c>
      <c r="F833" t="s">
        <v>13</v>
      </c>
      <c r="G833" t="s">
        <v>20</v>
      </c>
      <c r="H833" t="s">
        <v>21</v>
      </c>
      <c r="I833" t="s">
        <v>16</v>
      </c>
    </row>
    <row r="834" spans="1:9" x14ac:dyDescent="0.4">
      <c r="A834" t="s">
        <v>275</v>
      </c>
      <c r="B834" t="s">
        <v>64</v>
      </c>
      <c r="C834" t="s">
        <v>19</v>
      </c>
      <c r="D834">
        <v>6420</v>
      </c>
      <c r="E834" t="s">
        <v>276</v>
      </c>
      <c r="F834" t="s">
        <v>13</v>
      </c>
      <c r="G834" t="s">
        <v>20</v>
      </c>
      <c r="H834" t="s">
        <v>21</v>
      </c>
      <c r="I834" t="s">
        <v>16</v>
      </c>
    </row>
    <row r="835" spans="1:9" x14ac:dyDescent="0.4">
      <c r="A835" t="s">
        <v>277</v>
      </c>
      <c r="B835" t="s">
        <v>71</v>
      </c>
      <c r="C835" t="s">
        <v>19</v>
      </c>
      <c r="D835">
        <v>501</v>
      </c>
      <c r="E835" t="s">
        <v>276</v>
      </c>
      <c r="F835" t="s">
        <v>13</v>
      </c>
      <c r="G835" t="s">
        <v>20</v>
      </c>
      <c r="H835" t="s">
        <v>15</v>
      </c>
      <c r="I835" t="s">
        <v>16</v>
      </c>
    </row>
    <row r="836" spans="1:9" x14ac:dyDescent="0.4">
      <c r="A836" t="s">
        <v>279</v>
      </c>
      <c r="B836" t="s">
        <v>104</v>
      </c>
      <c r="C836" t="s">
        <v>19</v>
      </c>
      <c r="D836">
        <v>8598</v>
      </c>
      <c r="E836" t="s">
        <v>276</v>
      </c>
      <c r="F836" t="s">
        <v>13</v>
      </c>
      <c r="G836" t="s">
        <v>20</v>
      </c>
      <c r="H836" t="s">
        <v>21</v>
      </c>
      <c r="I836" t="s">
        <v>16</v>
      </c>
    </row>
    <row r="837" spans="1:9" x14ac:dyDescent="0.4">
      <c r="A837" t="s">
        <v>280</v>
      </c>
      <c r="B837" t="s">
        <v>71</v>
      </c>
      <c r="C837" t="s">
        <v>19</v>
      </c>
      <c r="D837">
        <v>1510</v>
      </c>
      <c r="E837" t="s">
        <v>281</v>
      </c>
      <c r="F837" t="s">
        <v>13</v>
      </c>
      <c r="G837" t="s">
        <v>51</v>
      </c>
      <c r="H837" t="s">
        <v>21</v>
      </c>
      <c r="I837" t="s">
        <v>16</v>
      </c>
    </row>
    <row r="838" spans="1:9" x14ac:dyDescent="0.4">
      <c r="A838" t="s">
        <v>282</v>
      </c>
      <c r="B838" t="s">
        <v>57</v>
      </c>
      <c r="C838" t="s">
        <v>19</v>
      </c>
      <c r="D838">
        <v>4457</v>
      </c>
      <c r="E838" t="s">
        <v>283</v>
      </c>
      <c r="F838" t="s">
        <v>13</v>
      </c>
      <c r="G838" t="s">
        <v>20</v>
      </c>
      <c r="H838" t="s">
        <v>21</v>
      </c>
      <c r="I838" t="s">
        <v>16</v>
      </c>
    </row>
    <row r="839" spans="1:9" x14ac:dyDescent="0.4">
      <c r="A839" t="s">
        <v>284</v>
      </c>
      <c r="B839" t="s">
        <v>28</v>
      </c>
      <c r="C839" t="s">
        <v>11</v>
      </c>
      <c r="D839">
        <v>1109</v>
      </c>
      <c r="E839" t="s">
        <v>285</v>
      </c>
      <c r="F839" t="s">
        <v>13</v>
      </c>
      <c r="G839" t="s">
        <v>20</v>
      </c>
      <c r="H839" t="s">
        <v>15</v>
      </c>
      <c r="I839" t="s">
        <v>16</v>
      </c>
    </row>
    <row r="840" spans="1:9" x14ac:dyDescent="0.4">
      <c r="A840" t="s">
        <v>286</v>
      </c>
      <c r="B840" t="s">
        <v>75</v>
      </c>
      <c r="C840" t="s">
        <v>19</v>
      </c>
      <c r="D840">
        <v>501</v>
      </c>
      <c r="E840" t="s">
        <v>285</v>
      </c>
      <c r="F840" t="s">
        <v>13</v>
      </c>
      <c r="G840" t="s">
        <v>20</v>
      </c>
      <c r="H840" t="s">
        <v>21</v>
      </c>
      <c r="I840" t="s">
        <v>16</v>
      </c>
    </row>
    <row r="841" spans="1:9" x14ac:dyDescent="0.4">
      <c r="A841" t="s">
        <v>287</v>
      </c>
      <c r="B841" t="s">
        <v>64</v>
      </c>
      <c r="C841" t="s">
        <v>19</v>
      </c>
      <c r="D841">
        <v>11845</v>
      </c>
      <c r="E841" t="s">
        <v>288</v>
      </c>
      <c r="F841" t="s">
        <v>13</v>
      </c>
      <c r="G841" t="s">
        <v>51</v>
      </c>
      <c r="H841" t="s">
        <v>21</v>
      </c>
      <c r="I841" t="s">
        <v>16</v>
      </c>
    </row>
    <row r="842" spans="1:9" x14ac:dyDescent="0.4">
      <c r="A842" t="s">
        <v>289</v>
      </c>
      <c r="B842" t="s">
        <v>28</v>
      </c>
      <c r="C842" t="s">
        <v>19</v>
      </c>
      <c r="D842">
        <v>500</v>
      </c>
      <c r="E842" t="s">
        <v>288</v>
      </c>
      <c r="F842" t="s">
        <v>13</v>
      </c>
      <c r="G842" t="s">
        <v>20</v>
      </c>
      <c r="H842" t="s">
        <v>21</v>
      </c>
      <c r="I842" t="s">
        <v>16</v>
      </c>
    </row>
    <row r="843" spans="1:9" x14ac:dyDescent="0.4">
      <c r="A843" t="s">
        <v>290</v>
      </c>
      <c r="B843" t="s">
        <v>18</v>
      </c>
      <c r="C843" t="s">
        <v>19</v>
      </c>
      <c r="D843">
        <v>113330</v>
      </c>
      <c r="E843" t="s">
        <v>291</v>
      </c>
      <c r="F843" t="s">
        <v>13</v>
      </c>
      <c r="G843" t="s">
        <v>20</v>
      </c>
      <c r="H843" t="s">
        <v>21</v>
      </c>
      <c r="I843" t="s">
        <v>16</v>
      </c>
    </row>
    <row r="844" spans="1:9" x14ac:dyDescent="0.4">
      <c r="A844" t="s">
        <v>292</v>
      </c>
      <c r="B844" t="s">
        <v>10</v>
      </c>
      <c r="C844" t="s">
        <v>19</v>
      </c>
      <c r="D844">
        <v>500</v>
      </c>
      <c r="E844" t="s">
        <v>291</v>
      </c>
      <c r="F844" t="s">
        <v>13</v>
      </c>
      <c r="G844" t="s">
        <v>20</v>
      </c>
      <c r="H844" t="s">
        <v>21</v>
      </c>
      <c r="I844" t="s">
        <v>16</v>
      </c>
    </row>
    <row r="845" spans="1:9" x14ac:dyDescent="0.4">
      <c r="A845" t="s">
        <v>294</v>
      </c>
      <c r="B845" t="s">
        <v>10</v>
      </c>
      <c r="C845" t="s">
        <v>34</v>
      </c>
      <c r="D845">
        <v>4055</v>
      </c>
      <c r="E845" t="s">
        <v>291</v>
      </c>
      <c r="F845" t="s">
        <v>13</v>
      </c>
      <c r="G845" t="s">
        <v>20</v>
      </c>
      <c r="H845" t="s">
        <v>21</v>
      </c>
      <c r="I845" t="s">
        <v>16</v>
      </c>
    </row>
    <row r="846" spans="1:9" x14ac:dyDescent="0.4">
      <c r="A846" t="s">
        <v>297</v>
      </c>
      <c r="B846" t="s">
        <v>96</v>
      </c>
      <c r="C846" t="s">
        <v>19</v>
      </c>
      <c r="D846">
        <v>32021</v>
      </c>
      <c r="E846" t="s">
        <v>298</v>
      </c>
      <c r="F846" t="s">
        <v>13</v>
      </c>
      <c r="G846" t="s">
        <v>20</v>
      </c>
      <c r="H846" t="s">
        <v>21</v>
      </c>
      <c r="I846" t="s">
        <v>16</v>
      </c>
    </row>
    <row r="847" spans="1:9" x14ac:dyDescent="0.4">
      <c r="A847" t="s">
        <v>300</v>
      </c>
      <c r="B847" t="s">
        <v>91</v>
      </c>
      <c r="C847" t="s">
        <v>19</v>
      </c>
      <c r="D847">
        <v>5385</v>
      </c>
      <c r="E847" t="s">
        <v>301</v>
      </c>
      <c r="F847" t="s">
        <v>13</v>
      </c>
      <c r="G847" t="s">
        <v>20</v>
      </c>
      <c r="H847" t="s">
        <v>21</v>
      </c>
      <c r="I847" t="s">
        <v>16</v>
      </c>
    </row>
    <row r="848" spans="1:9" x14ac:dyDescent="0.4">
      <c r="A848" t="s">
        <v>302</v>
      </c>
      <c r="B848" t="s">
        <v>66</v>
      </c>
      <c r="C848" t="s">
        <v>19</v>
      </c>
      <c r="D848">
        <v>67115</v>
      </c>
      <c r="E848" t="s">
        <v>301</v>
      </c>
      <c r="F848" t="s">
        <v>13</v>
      </c>
      <c r="G848" t="s">
        <v>20</v>
      </c>
      <c r="H848" t="s">
        <v>21</v>
      </c>
      <c r="I848" t="s">
        <v>16</v>
      </c>
    </row>
    <row r="849" spans="1:9" x14ac:dyDescent="0.4">
      <c r="A849" t="s">
        <v>303</v>
      </c>
      <c r="B849" t="s">
        <v>45</v>
      </c>
      <c r="C849" t="s">
        <v>19</v>
      </c>
      <c r="D849">
        <v>500</v>
      </c>
      <c r="E849" t="s">
        <v>304</v>
      </c>
      <c r="F849" t="s">
        <v>13</v>
      </c>
      <c r="G849" t="s">
        <v>20</v>
      </c>
      <c r="H849" t="s">
        <v>21</v>
      </c>
      <c r="I849" t="s">
        <v>16</v>
      </c>
    </row>
    <row r="850" spans="1:9" x14ac:dyDescent="0.4">
      <c r="A850" t="s">
        <v>307</v>
      </c>
      <c r="B850" t="s">
        <v>60</v>
      </c>
      <c r="C850" t="s">
        <v>19</v>
      </c>
      <c r="D850">
        <v>62972</v>
      </c>
      <c r="E850" t="s">
        <v>308</v>
      </c>
      <c r="F850" t="s">
        <v>13</v>
      </c>
      <c r="G850" t="s">
        <v>20</v>
      </c>
      <c r="H850" t="s">
        <v>21</v>
      </c>
      <c r="I850" t="s">
        <v>16</v>
      </c>
    </row>
    <row r="851" spans="1:9" x14ac:dyDescent="0.4">
      <c r="A851" t="s">
        <v>309</v>
      </c>
      <c r="B851" t="s">
        <v>77</v>
      </c>
      <c r="C851" t="s">
        <v>19</v>
      </c>
      <c r="D851">
        <v>276498</v>
      </c>
      <c r="E851" t="s">
        <v>308</v>
      </c>
      <c r="F851" t="s">
        <v>13</v>
      </c>
      <c r="G851" t="s">
        <v>20</v>
      </c>
      <c r="H851" t="s">
        <v>21</v>
      </c>
      <c r="I851" t="s">
        <v>16</v>
      </c>
    </row>
    <row r="852" spans="1:9" x14ac:dyDescent="0.4">
      <c r="A852" t="s">
        <v>310</v>
      </c>
      <c r="B852" t="s">
        <v>77</v>
      </c>
      <c r="C852" t="s">
        <v>11</v>
      </c>
      <c r="D852">
        <v>54131</v>
      </c>
      <c r="E852" t="s">
        <v>308</v>
      </c>
      <c r="F852" t="s">
        <v>13</v>
      </c>
      <c r="G852" t="s">
        <v>20</v>
      </c>
      <c r="H852" t="s">
        <v>15</v>
      </c>
      <c r="I852" t="s">
        <v>16</v>
      </c>
    </row>
    <row r="853" spans="1:9" x14ac:dyDescent="0.4">
      <c r="A853" t="s">
        <v>312</v>
      </c>
      <c r="B853" t="s">
        <v>176</v>
      </c>
      <c r="C853" t="s">
        <v>19</v>
      </c>
      <c r="D853">
        <v>3677</v>
      </c>
      <c r="E853" t="s">
        <v>313</v>
      </c>
      <c r="F853" t="s">
        <v>13</v>
      </c>
      <c r="G853" t="s">
        <v>39</v>
      </c>
      <c r="H853" t="s">
        <v>21</v>
      </c>
      <c r="I853" t="s">
        <v>16</v>
      </c>
    </row>
    <row r="854" spans="1:9" x14ac:dyDescent="0.4">
      <c r="A854" t="s">
        <v>314</v>
      </c>
      <c r="B854" t="s">
        <v>141</v>
      </c>
      <c r="C854" t="s">
        <v>19</v>
      </c>
      <c r="D854">
        <v>528</v>
      </c>
      <c r="E854" t="s">
        <v>313</v>
      </c>
      <c r="F854" t="s">
        <v>13</v>
      </c>
      <c r="G854" t="s">
        <v>20</v>
      </c>
      <c r="H854" t="s">
        <v>21</v>
      </c>
      <c r="I854" t="s">
        <v>16</v>
      </c>
    </row>
    <row r="855" spans="1:9" x14ac:dyDescent="0.4">
      <c r="A855" t="s">
        <v>315</v>
      </c>
      <c r="B855" t="s">
        <v>138</v>
      </c>
      <c r="C855" t="s">
        <v>19</v>
      </c>
      <c r="D855">
        <v>145221</v>
      </c>
      <c r="E855" t="s">
        <v>316</v>
      </c>
      <c r="F855" t="s">
        <v>13</v>
      </c>
      <c r="G855" t="s">
        <v>20</v>
      </c>
      <c r="H855" t="s">
        <v>21</v>
      </c>
      <c r="I855" t="s">
        <v>16</v>
      </c>
    </row>
    <row r="856" spans="1:9" x14ac:dyDescent="0.4">
      <c r="A856" t="s">
        <v>317</v>
      </c>
      <c r="B856" t="s">
        <v>71</v>
      </c>
      <c r="C856" t="s">
        <v>11</v>
      </c>
      <c r="D856">
        <v>2287</v>
      </c>
      <c r="E856" t="s">
        <v>316</v>
      </c>
      <c r="F856" t="s">
        <v>13</v>
      </c>
      <c r="G856" t="s">
        <v>20</v>
      </c>
      <c r="H856" t="s">
        <v>15</v>
      </c>
      <c r="I856" t="s">
        <v>16</v>
      </c>
    </row>
    <row r="857" spans="1:9" x14ac:dyDescent="0.4">
      <c r="A857" t="s">
        <v>320</v>
      </c>
      <c r="B857" t="s">
        <v>45</v>
      </c>
      <c r="C857" t="s">
        <v>19</v>
      </c>
      <c r="D857">
        <v>1000</v>
      </c>
      <c r="E857" t="s">
        <v>319</v>
      </c>
      <c r="F857" t="s">
        <v>13</v>
      </c>
      <c r="G857" t="s">
        <v>20</v>
      </c>
      <c r="H857" t="s">
        <v>21</v>
      </c>
      <c r="I857" t="s">
        <v>16</v>
      </c>
    </row>
    <row r="858" spans="1:9" x14ac:dyDescent="0.4">
      <c r="A858" t="s">
        <v>323</v>
      </c>
      <c r="B858" t="s">
        <v>96</v>
      </c>
      <c r="C858" t="s">
        <v>19</v>
      </c>
      <c r="D858">
        <v>10216</v>
      </c>
      <c r="E858" t="s">
        <v>322</v>
      </c>
      <c r="F858" t="s">
        <v>13</v>
      </c>
      <c r="G858" t="s">
        <v>20</v>
      </c>
      <c r="H858" t="s">
        <v>21</v>
      </c>
      <c r="I858" t="s">
        <v>16</v>
      </c>
    </row>
    <row r="859" spans="1:9" x14ac:dyDescent="0.4">
      <c r="A859" t="s">
        <v>324</v>
      </c>
      <c r="B859" t="s">
        <v>325</v>
      </c>
      <c r="C859" t="s">
        <v>19</v>
      </c>
      <c r="D859">
        <v>26937</v>
      </c>
      <c r="E859" t="s">
        <v>322</v>
      </c>
      <c r="F859" t="s">
        <v>13</v>
      </c>
      <c r="G859" t="s">
        <v>20</v>
      </c>
      <c r="H859" t="s">
        <v>21</v>
      </c>
      <c r="I859" t="s">
        <v>16</v>
      </c>
    </row>
    <row r="860" spans="1:9" x14ac:dyDescent="0.4">
      <c r="A860" t="s">
        <v>326</v>
      </c>
      <c r="B860" t="s">
        <v>116</v>
      </c>
      <c r="C860" t="s">
        <v>19</v>
      </c>
      <c r="D860">
        <v>143842</v>
      </c>
      <c r="E860" t="s">
        <v>322</v>
      </c>
      <c r="F860" t="s">
        <v>13</v>
      </c>
      <c r="G860" t="s">
        <v>20</v>
      </c>
      <c r="H860" t="s">
        <v>21</v>
      </c>
      <c r="I860" t="s">
        <v>16</v>
      </c>
    </row>
    <row r="861" spans="1:9" x14ac:dyDescent="0.4">
      <c r="A861" t="s">
        <v>328</v>
      </c>
      <c r="B861" t="s">
        <v>104</v>
      </c>
      <c r="C861" t="s">
        <v>11</v>
      </c>
      <c r="D861">
        <v>2123</v>
      </c>
      <c r="E861" t="s">
        <v>329</v>
      </c>
      <c r="F861" t="s">
        <v>13</v>
      </c>
      <c r="G861" t="s">
        <v>20</v>
      </c>
      <c r="H861" t="s">
        <v>15</v>
      </c>
      <c r="I861" t="s">
        <v>16</v>
      </c>
    </row>
    <row r="862" spans="1:9" x14ac:dyDescent="0.4">
      <c r="A862" t="s">
        <v>336</v>
      </c>
      <c r="B862" t="s">
        <v>82</v>
      </c>
      <c r="C862" t="s">
        <v>19</v>
      </c>
      <c r="D862">
        <v>6245</v>
      </c>
      <c r="E862" t="s">
        <v>334</v>
      </c>
      <c r="F862" t="s">
        <v>13</v>
      </c>
      <c r="G862" t="s">
        <v>20</v>
      </c>
      <c r="H862" t="s">
        <v>21</v>
      </c>
      <c r="I862" t="s">
        <v>16</v>
      </c>
    </row>
    <row r="863" spans="1:9" x14ac:dyDescent="0.4">
      <c r="A863" t="s">
        <v>339</v>
      </c>
      <c r="B863" t="s">
        <v>43</v>
      </c>
      <c r="C863" t="s">
        <v>19</v>
      </c>
      <c r="D863">
        <v>46666</v>
      </c>
      <c r="E863" t="s">
        <v>340</v>
      </c>
      <c r="F863" t="s">
        <v>13</v>
      </c>
      <c r="G863" t="s">
        <v>20</v>
      </c>
      <c r="H863" t="s">
        <v>21</v>
      </c>
      <c r="I863" t="s">
        <v>16</v>
      </c>
    </row>
    <row r="864" spans="1:9" x14ac:dyDescent="0.4">
      <c r="A864" t="s">
        <v>341</v>
      </c>
      <c r="B864" t="s">
        <v>16</v>
      </c>
      <c r="C864" t="s">
        <v>19</v>
      </c>
      <c r="D864">
        <v>92000</v>
      </c>
      <c r="E864" t="s">
        <v>340</v>
      </c>
      <c r="F864" t="s">
        <v>13</v>
      </c>
      <c r="G864" t="s">
        <v>20</v>
      </c>
      <c r="H864" t="s">
        <v>21</v>
      </c>
      <c r="I864" t="s">
        <v>16</v>
      </c>
    </row>
    <row r="865" spans="1:9" x14ac:dyDescent="0.4">
      <c r="A865" t="s">
        <v>342</v>
      </c>
      <c r="B865" t="s">
        <v>138</v>
      </c>
      <c r="C865" t="s">
        <v>19</v>
      </c>
      <c r="D865">
        <v>755</v>
      </c>
      <c r="E865" t="s">
        <v>340</v>
      </c>
      <c r="F865" t="s">
        <v>13</v>
      </c>
      <c r="G865" t="s">
        <v>20</v>
      </c>
      <c r="H865" t="s">
        <v>21</v>
      </c>
      <c r="I865" t="s">
        <v>16</v>
      </c>
    </row>
    <row r="866" spans="1:9" x14ac:dyDescent="0.4">
      <c r="A866" t="s">
        <v>344</v>
      </c>
      <c r="B866" t="s">
        <v>345</v>
      </c>
      <c r="C866" t="s">
        <v>19</v>
      </c>
      <c r="D866">
        <v>13310</v>
      </c>
      <c r="E866" t="s">
        <v>340</v>
      </c>
      <c r="F866" t="s">
        <v>13</v>
      </c>
      <c r="G866" t="s">
        <v>20</v>
      </c>
      <c r="H866" t="s">
        <v>21</v>
      </c>
      <c r="I866" t="s">
        <v>16</v>
      </c>
    </row>
    <row r="867" spans="1:9" x14ac:dyDescent="0.4">
      <c r="A867" t="s">
        <v>346</v>
      </c>
      <c r="B867" t="s">
        <v>345</v>
      </c>
      <c r="C867" t="s">
        <v>19</v>
      </c>
      <c r="D867">
        <v>50640</v>
      </c>
      <c r="E867" t="s">
        <v>347</v>
      </c>
      <c r="F867" t="s">
        <v>13</v>
      </c>
      <c r="G867" t="s">
        <v>20</v>
      </c>
      <c r="H867" t="s">
        <v>21</v>
      </c>
      <c r="I867" t="s">
        <v>16</v>
      </c>
    </row>
    <row r="868" spans="1:9" x14ac:dyDescent="0.4">
      <c r="A868" t="s">
        <v>349</v>
      </c>
      <c r="B868" t="s">
        <v>86</v>
      </c>
      <c r="C868" t="s">
        <v>19</v>
      </c>
      <c r="D868">
        <v>160312</v>
      </c>
      <c r="E868" t="s">
        <v>350</v>
      </c>
      <c r="F868" t="s">
        <v>13</v>
      </c>
      <c r="G868" t="s">
        <v>20</v>
      </c>
      <c r="H868" t="s">
        <v>21</v>
      </c>
      <c r="I868" t="s">
        <v>16</v>
      </c>
    </row>
    <row r="869" spans="1:9" x14ac:dyDescent="0.4">
      <c r="A869" t="s">
        <v>353</v>
      </c>
      <c r="B869" t="s">
        <v>60</v>
      </c>
      <c r="C869" t="s">
        <v>19</v>
      </c>
      <c r="D869">
        <v>9000</v>
      </c>
      <c r="E869" t="s">
        <v>354</v>
      </c>
      <c r="F869" t="s">
        <v>13</v>
      </c>
      <c r="G869" t="s">
        <v>20</v>
      </c>
      <c r="H869" t="s">
        <v>21</v>
      </c>
      <c r="I869" t="s">
        <v>16</v>
      </c>
    </row>
    <row r="870" spans="1:9" x14ac:dyDescent="0.4">
      <c r="A870" t="s">
        <v>355</v>
      </c>
      <c r="B870" t="s">
        <v>356</v>
      </c>
      <c r="C870" t="s">
        <v>19</v>
      </c>
      <c r="D870">
        <v>5630</v>
      </c>
      <c r="E870" t="s">
        <v>354</v>
      </c>
      <c r="F870" t="s">
        <v>13</v>
      </c>
      <c r="G870" t="s">
        <v>20</v>
      </c>
      <c r="H870" t="s">
        <v>21</v>
      </c>
      <c r="I870" t="s">
        <v>16</v>
      </c>
    </row>
    <row r="871" spans="1:9" x14ac:dyDescent="0.4">
      <c r="A871" t="s">
        <v>357</v>
      </c>
      <c r="B871" t="s">
        <v>10</v>
      </c>
      <c r="C871" t="s">
        <v>19</v>
      </c>
      <c r="D871">
        <v>4266</v>
      </c>
      <c r="E871" t="s">
        <v>354</v>
      </c>
      <c r="F871" t="s">
        <v>13</v>
      </c>
      <c r="G871" t="s">
        <v>20</v>
      </c>
      <c r="H871" t="s">
        <v>21</v>
      </c>
      <c r="I871" t="s">
        <v>16</v>
      </c>
    </row>
    <row r="872" spans="1:9" x14ac:dyDescent="0.4">
      <c r="A872" t="s">
        <v>360</v>
      </c>
      <c r="B872" t="s">
        <v>10</v>
      </c>
      <c r="C872" t="s">
        <v>19</v>
      </c>
      <c r="D872">
        <v>2507073</v>
      </c>
      <c r="E872" t="s">
        <v>354</v>
      </c>
      <c r="F872" t="s">
        <v>13</v>
      </c>
      <c r="G872" t="s">
        <v>20</v>
      </c>
      <c r="H872" t="s">
        <v>21</v>
      </c>
      <c r="I872" t="s">
        <v>16</v>
      </c>
    </row>
    <row r="873" spans="1:9" x14ac:dyDescent="0.4">
      <c r="A873" t="s">
        <v>361</v>
      </c>
      <c r="B873" t="s">
        <v>47</v>
      </c>
      <c r="C873" t="s">
        <v>34</v>
      </c>
      <c r="D873">
        <v>970</v>
      </c>
      <c r="E873" t="s">
        <v>354</v>
      </c>
      <c r="F873" t="s">
        <v>13</v>
      </c>
      <c r="G873" t="s">
        <v>20</v>
      </c>
      <c r="H873" t="s">
        <v>21</v>
      </c>
      <c r="I873" t="s">
        <v>16</v>
      </c>
    </row>
    <row r="874" spans="1:9" x14ac:dyDescent="0.4">
      <c r="A874" t="s">
        <v>362</v>
      </c>
      <c r="B874" t="s">
        <v>37</v>
      </c>
      <c r="C874" t="s">
        <v>11</v>
      </c>
      <c r="D874">
        <v>500</v>
      </c>
      <c r="E874" t="s">
        <v>363</v>
      </c>
      <c r="F874" t="s">
        <v>13</v>
      </c>
      <c r="G874" t="s">
        <v>364</v>
      </c>
      <c r="H874" t="s">
        <v>15</v>
      </c>
      <c r="I874" t="s">
        <v>16</v>
      </c>
    </row>
    <row r="875" spans="1:9" x14ac:dyDescent="0.4">
      <c r="A875" t="s">
        <v>369</v>
      </c>
      <c r="B875" t="s">
        <v>75</v>
      </c>
      <c r="C875" t="s">
        <v>19</v>
      </c>
      <c r="D875">
        <v>33107</v>
      </c>
      <c r="E875" t="s">
        <v>367</v>
      </c>
      <c r="F875" t="s">
        <v>13</v>
      </c>
      <c r="G875" t="s">
        <v>20</v>
      </c>
      <c r="H875" t="s">
        <v>21</v>
      </c>
      <c r="I875" t="s">
        <v>16</v>
      </c>
    </row>
    <row r="876" spans="1:9" x14ac:dyDescent="0.4">
      <c r="A876" t="s">
        <v>370</v>
      </c>
      <c r="B876" t="s">
        <v>71</v>
      </c>
      <c r="C876" t="s">
        <v>19</v>
      </c>
      <c r="D876">
        <v>501</v>
      </c>
      <c r="E876" t="s">
        <v>371</v>
      </c>
      <c r="F876" t="s">
        <v>13</v>
      </c>
      <c r="G876" t="s">
        <v>20</v>
      </c>
      <c r="H876" t="s">
        <v>21</v>
      </c>
      <c r="I876" t="s">
        <v>16</v>
      </c>
    </row>
    <row r="877" spans="1:9" x14ac:dyDescent="0.4">
      <c r="A877" t="s">
        <v>372</v>
      </c>
      <c r="B877" t="s">
        <v>86</v>
      </c>
      <c r="C877" t="s">
        <v>19</v>
      </c>
      <c r="D877">
        <v>570000</v>
      </c>
      <c r="E877" t="s">
        <v>371</v>
      </c>
      <c r="F877" t="s">
        <v>13</v>
      </c>
      <c r="G877" t="s">
        <v>20</v>
      </c>
      <c r="H877" t="s">
        <v>21</v>
      </c>
      <c r="I877" t="s">
        <v>16</v>
      </c>
    </row>
    <row r="878" spans="1:9" x14ac:dyDescent="0.4">
      <c r="A878" t="s">
        <v>373</v>
      </c>
      <c r="B878" t="s">
        <v>47</v>
      </c>
      <c r="C878" t="s">
        <v>19</v>
      </c>
      <c r="D878">
        <v>1372</v>
      </c>
      <c r="E878" t="s">
        <v>371</v>
      </c>
      <c r="F878" t="s">
        <v>13</v>
      </c>
      <c r="G878" t="s">
        <v>20</v>
      </c>
      <c r="H878" t="s">
        <v>21</v>
      </c>
      <c r="I878" t="s">
        <v>16</v>
      </c>
    </row>
    <row r="879" spans="1:9" x14ac:dyDescent="0.4">
      <c r="A879" t="s">
        <v>374</v>
      </c>
      <c r="B879" t="s">
        <v>345</v>
      </c>
      <c r="C879" t="s">
        <v>11</v>
      </c>
      <c r="D879">
        <v>500</v>
      </c>
      <c r="E879" t="s">
        <v>371</v>
      </c>
      <c r="F879" t="s">
        <v>13</v>
      </c>
      <c r="G879" t="s">
        <v>20</v>
      </c>
      <c r="H879" t="s">
        <v>15</v>
      </c>
      <c r="I879" t="s">
        <v>16</v>
      </c>
    </row>
    <row r="880" spans="1:9" x14ac:dyDescent="0.4">
      <c r="A880" t="s">
        <v>375</v>
      </c>
      <c r="B880" t="s">
        <v>77</v>
      </c>
      <c r="C880" t="s">
        <v>19</v>
      </c>
      <c r="D880">
        <v>45196</v>
      </c>
      <c r="E880" t="s">
        <v>371</v>
      </c>
      <c r="F880" t="s">
        <v>13</v>
      </c>
      <c r="G880" t="s">
        <v>20</v>
      </c>
      <c r="H880" t="s">
        <v>21</v>
      </c>
      <c r="I880" t="s">
        <v>16</v>
      </c>
    </row>
    <row r="881" spans="1:9" x14ac:dyDescent="0.4">
      <c r="A881" t="s">
        <v>376</v>
      </c>
      <c r="B881" t="s">
        <v>16</v>
      </c>
      <c r="C881" t="s">
        <v>19</v>
      </c>
      <c r="D881">
        <v>24236</v>
      </c>
      <c r="E881" t="s">
        <v>377</v>
      </c>
      <c r="F881" t="s">
        <v>13</v>
      </c>
      <c r="G881" t="s">
        <v>20</v>
      </c>
      <c r="H881" t="s">
        <v>21</v>
      </c>
      <c r="I881" t="s">
        <v>16</v>
      </c>
    </row>
    <row r="882" spans="1:9" x14ac:dyDescent="0.4">
      <c r="A882" t="s">
        <v>380</v>
      </c>
      <c r="B882" t="s">
        <v>41</v>
      </c>
      <c r="C882" t="s">
        <v>19</v>
      </c>
      <c r="D882">
        <v>24341</v>
      </c>
      <c r="E882" t="s">
        <v>379</v>
      </c>
      <c r="F882" t="s">
        <v>13</v>
      </c>
      <c r="G882" t="s">
        <v>20</v>
      </c>
      <c r="H882" t="s">
        <v>21</v>
      </c>
      <c r="I882" t="s">
        <v>16</v>
      </c>
    </row>
    <row r="883" spans="1:9" x14ac:dyDescent="0.4">
      <c r="A883" t="s">
        <v>381</v>
      </c>
      <c r="B883" t="s">
        <v>104</v>
      </c>
      <c r="C883" t="s">
        <v>19</v>
      </c>
      <c r="D883">
        <v>1800000</v>
      </c>
      <c r="E883" t="s">
        <v>382</v>
      </c>
      <c r="F883" t="s">
        <v>13</v>
      </c>
      <c r="G883" t="s">
        <v>20</v>
      </c>
      <c r="H883" t="s">
        <v>21</v>
      </c>
      <c r="I883" t="s">
        <v>16</v>
      </c>
    </row>
    <row r="884" spans="1:9" x14ac:dyDescent="0.4">
      <c r="A884" t="s">
        <v>383</v>
      </c>
      <c r="B884" t="s">
        <v>47</v>
      </c>
      <c r="C884" t="s">
        <v>19</v>
      </c>
      <c r="D884">
        <v>110304</v>
      </c>
      <c r="E884" t="s">
        <v>382</v>
      </c>
      <c r="F884" t="s">
        <v>13</v>
      </c>
      <c r="G884" t="s">
        <v>20</v>
      </c>
      <c r="H884" t="s">
        <v>21</v>
      </c>
      <c r="I884" t="s">
        <v>16</v>
      </c>
    </row>
    <row r="885" spans="1:9" x14ac:dyDescent="0.4">
      <c r="A885" t="s">
        <v>384</v>
      </c>
      <c r="B885" t="s">
        <v>160</v>
      </c>
      <c r="C885" t="s">
        <v>11</v>
      </c>
      <c r="D885">
        <v>501</v>
      </c>
      <c r="E885" t="s">
        <v>385</v>
      </c>
      <c r="F885" t="s">
        <v>13</v>
      </c>
      <c r="G885" t="s">
        <v>20</v>
      </c>
      <c r="H885" t="s">
        <v>15</v>
      </c>
      <c r="I885" t="s">
        <v>16</v>
      </c>
    </row>
    <row r="886" spans="1:9" x14ac:dyDescent="0.4">
      <c r="A886" t="s">
        <v>386</v>
      </c>
      <c r="B886" t="s">
        <v>104</v>
      </c>
      <c r="C886" t="s">
        <v>11</v>
      </c>
      <c r="D886">
        <v>500</v>
      </c>
      <c r="E886" t="s">
        <v>385</v>
      </c>
      <c r="F886" t="s">
        <v>13</v>
      </c>
      <c r="G886" t="s">
        <v>20</v>
      </c>
      <c r="H886" t="s">
        <v>15</v>
      </c>
      <c r="I886" t="s">
        <v>16</v>
      </c>
    </row>
    <row r="887" spans="1:9" x14ac:dyDescent="0.4">
      <c r="A887" t="s">
        <v>387</v>
      </c>
      <c r="B887" t="s">
        <v>176</v>
      </c>
      <c r="C887" t="s">
        <v>19</v>
      </c>
      <c r="D887">
        <v>24122</v>
      </c>
      <c r="E887" t="s">
        <v>385</v>
      </c>
      <c r="F887" t="s">
        <v>13</v>
      </c>
      <c r="G887" t="s">
        <v>20</v>
      </c>
      <c r="H887" t="s">
        <v>21</v>
      </c>
      <c r="I887" t="s">
        <v>16</v>
      </c>
    </row>
    <row r="888" spans="1:9" x14ac:dyDescent="0.4">
      <c r="A888" t="s">
        <v>388</v>
      </c>
      <c r="B888" t="s">
        <v>345</v>
      </c>
      <c r="C888" t="s">
        <v>19</v>
      </c>
      <c r="D888">
        <v>5800</v>
      </c>
      <c r="E888" t="s">
        <v>389</v>
      </c>
      <c r="F888" t="s">
        <v>13</v>
      </c>
      <c r="G888" t="s">
        <v>364</v>
      </c>
      <c r="H888" t="s">
        <v>21</v>
      </c>
      <c r="I888" t="s">
        <v>16</v>
      </c>
    </row>
    <row r="889" spans="1:9" x14ac:dyDescent="0.4">
      <c r="A889" t="s">
        <v>390</v>
      </c>
      <c r="B889" t="s">
        <v>160</v>
      </c>
      <c r="C889" t="s">
        <v>19</v>
      </c>
      <c r="D889">
        <v>500</v>
      </c>
      <c r="E889" t="s">
        <v>391</v>
      </c>
      <c r="F889" t="s">
        <v>13</v>
      </c>
      <c r="G889" t="s">
        <v>20</v>
      </c>
      <c r="H889" t="s">
        <v>21</v>
      </c>
      <c r="I889" t="s">
        <v>16</v>
      </c>
    </row>
    <row r="890" spans="1:9" x14ac:dyDescent="0.4">
      <c r="A890" t="s">
        <v>392</v>
      </c>
      <c r="B890" t="s">
        <v>71</v>
      </c>
      <c r="C890" t="s">
        <v>19</v>
      </c>
      <c r="D890">
        <v>90000</v>
      </c>
      <c r="E890" t="s">
        <v>391</v>
      </c>
      <c r="F890" t="s">
        <v>13</v>
      </c>
      <c r="G890" t="s">
        <v>20</v>
      </c>
      <c r="H890" t="s">
        <v>21</v>
      </c>
      <c r="I890" t="s">
        <v>16</v>
      </c>
    </row>
    <row r="891" spans="1:9" x14ac:dyDescent="0.4">
      <c r="A891" t="s">
        <v>393</v>
      </c>
      <c r="B891" t="s">
        <v>96</v>
      </c>
      <c r="C891" t="s">
        <v>11</v>
      </c>
      <c r="D891">
        <v>2151330</v>
      </c>
      <c r="E891" t="s">
        <v>391</v>
      </c>
      <c r="F891" t="s">
        <v>13</v>
      </c>
      <c r="G891" t="s">
        <v>364</v>
      </c>
      <c r="H891" t="s">
        <v>15</v>
      </c>
      <c r="I891" t="s">
        <v>16</v>
      </c>
    </row>
    <row r="892" spans="1:9" x14ac:dyDescent="0.4">
      <c r="A892" t="s">
        <v>394</v>
      </c>
      <c r="B892" t="s">
        <v>43</v>
      </c>
      <c r="C892" t="s">
        <v>11</v>
      </c>
      <c r="D892">
        <v>3043</v>
      </c>
      <c r="E892" t="s">
        <v>391</v>
      </c>
      <c r="F892" t="s">
        <v>13</v>
      </c>
      <c r="G892" t="s">
        <v>20</v>
      </c>
      <c r="H892" t="s">
        <v>15</v>
      </c>
      <c r="I892" t="s">
        <v>16</v>
      </c>
    </row>
    <row r="893" spans="1:9" x14ac:dyDescent="0.4">
      <c r="A893" t="s">
        <v>395</v>
      </c>
      <c r="B893" t="s">
        <v>41</v>
      </c>
      <c r="C893" t="s">
        <v>11</v>
      </c>
      <c r="D893">
        <v>716000</v>
      </c>
      <c r="E893" t="s">
        <v>396</v>
      </c>
      <c r="F893" t="s">
        <v>13</v>
      </c>
      <c r="G893" t="s">
        <v>20</v>
      </c>
      <c r="H893" t="s">
        <v>15</v>
      </c>
      <c r="I893" t="s">
        <v>16</v>
      </c>
    </row>
    <row r="894" spans="1:9" x14ac:dyDescent="0.4">
      <c r="A894" t="s">
        <v>397</v>
      </c>
      <c r="B894" t="s">
        <v>160</v>
      </c>
      <c r="C894" t="s">
        <v>19</v>
      </c>
      <c r="D894">
        <v>10000</v>
      </c>
      <c r="E894" t="s">
        <v>398</v>
      </c>
      <c r="F894" t="s">
        <v>13</v>
      </c>
      <c r="G894" t="s">
        <v>20</v>
      </c>
      <c r="H894" t="s">
        <v>21</v>
      </c>
      <c r="I894" t="s">
        <v>16</v>
      </c>
    </row>
    <row r="895" spans="1:9" x14ac:dyDescent="0.4">
      <c r="A895" t="s">
        <v>405</v>
      </c>
      <c r="B895" t="s">
        <v>160</v>
      </c>
      <c r="C895" t="s">
        <v>19</v>
      </c>
      <c r="D895">
        <v>600</v>
      </c>
      <c r="E895" t="s">
        <v>406</v>
      </c>
      <c r="F895" t="s">
        <v>13</v>
      </c>
      <c r="G895" t="s">
        <v>20</v>
      </c>
      <c r="H895" t="s">
        <v>21</v>
      </c>
      <c r="I895" t="s">
        <v>16</v>
      </c>
    </row>
    <row r="896" spans="1:9" x14ac:dyDescent="0.4">
      <c r="A896" t="s">
        <v>408</v>
      </c>
      <c r="B896" t="s">
        <v>10</v>
      </c>
      <c r="C896" t="s">
        <v>11</v>
      </c>
      <c r="D896">
        <v>3651</v>
      </c>
      <c r="E896" t="s">
        <v>406</v>
      </c>
      <c r="F896" t="s">
        <v>13</v>
      </c>
      <c r="G896" t="s">
        <v>20</v>
      </c>
      <c r="H896" t="s">
        <v>15</v>
      </c>
      <c r="I896" t="s">
        <v>16</v>
      </c>
    </row>
    <row r="897" spans="1:9" x14ac:dyDescent="0.4">
      <c r="A897" t="s">
        <v>409</v>
      </c>
      <c r="B897" t="s">
        <v>77</v>
      </c>
      <c r="C897" t="s">
        <v>19</v>
      </c>
      <c r="D897">
        <v>22017</v>
      </c>
      <c r="E897" t="s">
        <v>406</v>
      </c>
      <c r="F897" t="s">
        <v>13</v>
      </c>
      <c r="G897" t="s">
        <v>20</v>
      </c>
      <c r="H897" t="s">
        <v>21</v>
      </c>
      <c r="I897" t="s">
        <v>16</v>
      </c>
    </row>
    <row r="898" spans="1:9" x14ac:dyDescent="0.4">
      <c r="A898" t="s">
        <v>410</v>
      </c>
      <c r="B898" t="s">
        <v>47</v>
      </c>
      <c r="C898" t="s">
        <v>19</v>
      </c>
      <c r="D898">
        <v>19408</v>
      </c>
      <c r="E898" t="s">
        <v>411</v>
      </c>
      <c r="F898" t="s">
        <v>13</v>
      </c>
      <c r="G898" t="s">
        <v>20</v>
      </c>
      <c r="H898" t="s">
        <v>21</v>
      </c>
      <c r="I898" t="s">
        <v>16</v>
      </c>
    </row>
    <row r="899" spans="1:9" x14ac:dyDescent="0.4">
      <c r="A899" t="s">
        <v>412</v>
      </c>
      <c r="B899" t="s">
        <v>91</v>
      </c>
      <c r="C899" t="s">
        <v>11</v>
      </c>
      <c r="D899">
        <v>5385</v>
      </c>
      <c r="E899" t="s">
        <v>413</v>
      </c>
      <c r="F899" t="s">
        <v>13</v>
      </c>
      <c r="G899" t="s">
        <v>20</v>
      </c>
      <c r="H899" t="s">
        <v>15</v>
      </c>
      <c r="I899" t="s">
        <v>16</v>
      </c>
    </row>
    <row r="900" spans="1:9" x14ac:dyDescent="0.4">
      <c r="A900" t="s">
        <v>417</v>
      </c>
      <c r="B900" t="s">
        <v>77</v>
      </c>
      <c r="C900" t="s">
        <v>19</v>
      </c>
      <c r="D900">
        <v>6400</v>
      </c>
      <c r="E900" t="s">
        <v>418</v>
      </c>
      <c r="F900" t="s">
        <v>13</v>
      </c>
      <c r="G900" t="s">
        <v>51</v>
      </c>
      <c r="H900" t="s">
        <v>21</v>
      </c>
      <c r="I900" t="s">
        <v>16</v>
      </c>
    </row>
    <row r="901" spans="1:9" x14ac:dyDescent="0.4">
      <c r="A901" t="s">
        <v>423</v>
      </c>
      <c r="B901" t="s">
        <v>10</v>
      </c>
      <c r="C901" t="s">
        <v>19</v>
      </c>
      <c r="D901">
        <v>285086</v>
      </c>
      <c r="E901" t="s">
        <v>420</v>
      </c>
      <c r="F901" t="s">
        <v>13</v>
      </c>
      <c r="G901" t="s">
        <v>20</v>
      </c>
      <c r="H901" t="s">
        <v>21</v>
      </c>
      <c r="I901" t="s">
        <v>16</v>
      </c>
    </row>
    <row r="902" spans="1:9" x14ac:dyDescent="0.4">
      <c r="A902" t="s">
        <v>424</v>
      </c>
      <c r="B902" t="s">
        <v>60</v>
      </c>
      <c r="C902" t="s">
        <v>19</v>
      </c>
      <c r="D902">
        <v>58000</v>
      </c>
      <c r="E902" t="s">
        <v>420</v>
      </c>
      <c r="F902" t="s">
        <v>13</v>
      </c>
      <c r="G902" t="s">
        <v>20</v>
      </c>
      <c r="H902" t="s">
        <v>21</v>
      </c>
      <c r="I902" t="s">
        <v>16</v>
      </c>
    </row>
    <row r="903" spans="1:9" x14ac:dyDescent="0.4">
      <c r="A903" t="s">
        <v>425</v>
      </c>
      <c r="B903" t="s">
        <v>41</v>
      </c>
      <c r="C903" t="s">
        <v>19</v>
      </c>
      <c r="D903">
        <v>10666</v>
      </c>
      <c r="E903" t="s">
        <v>420</v>
      </c>
      <c r="F903" t="s">
        <v>13</v>
      </c>
      <c r="G903" t="s">
        <v>20</v>
      </c>
      <c r="H903" t="s">
        <v>21</v>
      </c>
      <c r="I903" t="s">
        <v>16</v>
      </c>
    </row>
    <row r="904" spans="1:9" x14ac:dyDescent="0.4">
      <c r="A904" t="s">
        <v>426</v>
      </c>
      <c r="B904" t="s">
        <v>71</v>
      </c>
      <c r="C904" t="s">
        <v>19</v>
      </c>
      <c r="D904">
        <v>8918</v>
      </c>
      <c r="E904" t="s">
        <v>427</v>
      </c>
      <c r="F904" t="s">
        <v>13</v>
      </c>
      <c r="G904" t="s">
        <v>20</v>
      </c>
      <c r="H904" t="s">
        <v>21</v>
      </c>
      <c r="I904" t="s">
        <v>16</v>
      </c>
    </row>
    <row r="905" spans="1:9" x14ac:dyDescent="0.4">
      <c r="A905" t="s">
        <v>430</v>
      </c>
      <c r="B905" t="s">
        <v>10</v>
      </c>
      <c r="C905" t="s">
        <v>11</v>
      </c>
      <c r="D905">
        <v>648</v>
      </c>
      <c r="E905" t="s">
        <v>429</v>
      </c>
      <c r="F905" t="s">
        <v>13</v>
      </c>
      <c r="G905" t="s">
        <v>20</v>
      </c>
      <c r="H905" t="s">
        <v>15</v>
      </c>
      <c r="I905" t="s">
        <v>16</v>
      </c>
    </row>
    <row r="906" spans="1:9" x14ac:dyDescent="0.4">
      <c r="A906" t="s">
        <v>433</v>
      </c>
      <c r="B906" t="s">
        <v>167</v>
      </c>
      <c r="C906" t="s">
        <v>19</v>
      </c>
      <c r="D906">
        <v>34154</v>
      </c>
      <c r="E906" t="s">
        <v>434</v>
      </c>
      <c r="F906" t="s">
        <v>13</v>
      </c>
      <c r="G906" t="s">
        <v>20</v>
      </c>
      <c r="H906" t="s">
        <v>21</v>
      </c>
      <c r="I906" t="s">
        <v>16</v>
      </c>
    </row>
    <row r="907" spans="1:9" x14ac:dyDescent="0.4">
      <c r="A907" t="s">
        <v>435</v>
      </c>
      <c r="B907" t="s">
        <v>28</v>
      </c>
      <c r="C907" t="s">
        <v>19</v>
      </c>
      <c r="D907">
        <v>133862</v>
      </c>
      <c r="E907" t="s">
        <v>434</v>
      </c>
      <c r="F907" t="s">
        <v>13</v>
      </c>
      <c r="G907" t="s">
        <v>20</v>
      </c>
      <c r="H907" t="s">
        <v>21</v>
      </c>
      <c r="I907" t="s">
        <v>16</v>
      </c>
    </row>
    <row r="908" spans="1:9" x14ac:dyDescent="0.4">
      <c r="A908" t="s">
        <v>437</v>
      </c>
      <c r="B908" t="s">
        <v>57</v>
      </c>
      <c r="C908" t="s">
        <v>19</v>
      </c>
      <c r="D908">
        <v>14442</v>
      </c>
      <c r="E908" t="s">
        <v>438</v>
      </c>
      <c r="F908" t="s">
        <v>13</v>
      </c>
      <c r="G908" t="s">
        <v>20</v>
      </c>
      <c r="H908" t="s">
        <v>21</v>
      </c>
      <c r="I908" t="s">
        <v>16</v>
      </c>
    </row>
    <row r="909" spans="1:9" x14ac:dyDescent="0.4">
      <c r="A909" t="s">
        <v>439</v>
      </c>
      <c r="B909" t="s">
        <v>26</v>
      </c>
      <c r="C909" t="s">
        <v>19</v>
      </c>
      <c r="D909">
        <v>20659</v>
      </c>
      <c r="E909" t="s">
        <v>438</v>
      </c>
      <c r="F909" t="s">
        <v>13</v>
      </c>
      <c r="G909" t="s">
        <v>20</v>
      </c>
      <c r="H909" t="s">
        <v>21</v>
      </c>
      <c r="I909" t="s">
        <v>16</v>
      </c>
    </row>
    <row r="910" spans="1:9" x14ac:dyDescent="0.4">
      <c r="A910" t="s">
        <v>440</v>
      </c>
      <c r="B910" t="s">
        <v>57</v>
      </c>
      <c r="C910" t="s">
        <v>34</v>
      </c>
      <c r="D910">
        <v>1327</v>
      </c>
      <c r="E910" t="s">
        <v>438</v>
      </c>
      <c r="F910" t="s">
        <v>13</v>
      </c>
      <c r="G910" t="s">
        <v>20</v>
      </c>
      <c r="H910" t="s">
        <v>21</v>
      </c>
      <c r="I910" t="s">
        <v>16</v>
      </c>
    </row>
    <row r="911" spans="1:9" x14ac:dyDescent="0.4">
      <c r="A911" t="s">
        <v>441</v>
      </c>
      <c r="B911" t="s">
        <v>71</v>
      </c>
      <c r="C911" t="s">
        <v>19</v>
      </c>
      <c r="D911">
        <v>501</v>
      </c>
      <c r="E911" t="s">
        <v>438</v>
      </c>
      <c r="F911" t="s">
        <v>13</v>
      </c>
      <c r="G911" t="s">
        <v>20</v>
      </c>
      <c r="H911" t="s">
        <v>21</v>
      </c>
      <c r="I911" t="s">
        <v>16</v>
      </c>
    </row>
    <row r="912" spans="1:9" x14ac:dyDescent="0.4">
      <c r="A912" t="s">
        <v>444</v>
      </c>
      <c r="B912" t="s">
        <v>66</v>
      </c>
      <c r="C912" t="s">
        <v>19</v>
      </c>
      <c r="D912">
        <v>3117874</v>
      </c>
      <c r="E912" t="s">
        <v>445</v>
      </c>
      <c r="F912" t="s">
        <v>13</v>
      </c>
      <c r="G912" t="s">
        <v>20</v>
      </c>
      <c r="H912" t="s">
        <v>21</v>
      </c>
      <c r="I912" t="s">
        <v>16</v>
      </c>
    </row>
    <row r="913" spans="1:9" x14ac:dyDescent="0.4">
      <c r="A913" t="s">
        <v>447</v>
      </c>
      <c r="B913" t="s">
        <v>138</v>
      </c>
      <c r="C913" t="s">
        <v>19</v>
      </c>
      <c r="D913">
        <v>969</v>
      </c>
      <c r="E913" t="s">
        <v>446</v>
      </c>
      <c r="F913" t="s">
        <v>13</v>
      </c>
      <c r="G913" t="s">
        <v>20</v>
      </c>
      <c r="H913" t="s">
        <v>21</v>
      </c>
      <c r="I913" t="s">
        <v>16</v>
      </c>
    </row>
    <row r="914" spans="1:9" x14ac:dyDescent="0.4">
      <c r="A914" t="s">
        <v>448</v>
      </c>
      <c r="B914" t="s">
        <v>75</v>
      </c>
      <c r="C914" t="s">
        <v>19</v>
      </c>
      <c r="D914">
        <v>9300</v>
      </c>
      <c r="E914" t="s">
        <v>446</v>
      </c>
      <c r="F914" t="s">
        <v>13</v>
      </c>
      <c r="G914" t="s">
        <v>364</v>
      </c>
      <c r="H914" t="s">
        <v>21</v>
      </c>
      <c r="I914" t="s">
        <v>16</v>
      </c>
    </row>
    <row r="915" spans="1:9" x14ac:dyDescent="0.4">
      <c r="A915" t="s">
        <v>451</v>
      </c>
      <c r="B915" t="s">
        <v>10</v>
      </c>
      <c r="C915" t="s">
        <v>34</v>
      </c>
      <c r="D915">
        <v>1514</v>
      </c>
      <c r="E915" t="s">
        <v>450</v>
      </c>
      <c r="F915" t="s">
        <v>13</v>
      </c>
      <c r="G915" t="s">
        <v>20</v>
      </c>
      <c r="H915" t="s">
        <v>21</v>
      </c>
      <c r="I915" t="s">
        <v>16</v>
      </c>
    </row>
    <row r="916" spans="1:9" x14ac:dyDescent="0.4">
      <c r="A916" t="s">
        <v>452</v>
      </c>
      <c r="B916" t="s">
        <v>160</v>
      </c>
      <c r="C916" t="s">
        <v>19</v>
      </c>
      <c r="D916">
        <v>28963</v>
      </c>
      <c r="E916" t="s">
        <v>453</v>
      </c>
      <c r="F916" t="s">
        <v>13</v>
      </c>
      <c r="G916" t="s">
        <v>20</v>
      </c>
      <c r="H916" t="s">
        <v>21</v>
      </c>
      <c r="I916" t="s">
        <v>16</v>
      </c>
    </row>
    <row r="917" spans="1:9" x14ac:dyDescent="0.4">
      <c r="A917" t="s">
        <v>454</v>
      </c>
      <c r="B917" t="s">
        <v>136</v>
      </c>
      <c r="C917" t="s">
        <v>19</v>
      </c>
      <c r="D917">
        <v>3158</v>
      </c>
      <c r="E917" t="s">
        <v>455</v>
      </c>
      <c r="F917" t="s">
        <v>13</v>
      </c>
      <c r="G917" t="s">
        <v>20</v>
      </c>
      <c r="H917" t="s">
        <v>21</v>
      </c>
      <c r="I917" t="s">
        <v>16</v>
      </c>
    </row>
    <row r="918" spans="1:9" x14ac:dyDescent="0.4">
      <c r="A918" t="s">
        <v>457</v>
      </c>
      <c r="B918" t="s">
        <v>345</v>
      </c>
      <c r="C918" t="s">
        <v>19</v>
      </c>
      <c r="D918">
        <v>2127</v>
      </c>
      <c r="E918" t="s">
        <v>458</v>
      </c>
      <c r="F918" t="s">
        <v>13</v>
      </c>
      <c r="G918" t="s">
        <v>20</v>
      </c>
      <c r="H918" t="s">
        <v>21</v>
      </c>
      <c r="I918" t="s">
        <v>16</v>
      </c>
    </row>
    <row r="919" spans="1:9" x14ac:dyDescent="0.4">
      <c r="A919" t="s">
        <v>459</v>
      </c>
      <c r="B919" t="s">
        <v>104</v>
      </c>
      <c r="C919" t="s">
        <v>19</v>
      </c>
      <c r="D919">
        <v>90000</v>
      </c>
      <c r="E919" t="s">
        <v>460</v>
      </c>
      <c r="F919" t="s">
        <v>13</v>
      </c>
      <c r="G919" t="s">
        <v>20</v>
      </c>
      <c r="H919" t="s">
        <v>21</v>
      </c>
      <c r="I919" t="s">
        <v>16</v>
      </c>
    </row>
    <row r="920" spans="1:9" x14ac:dyDescent="0.4">
      <c r="A920" t="s">
        <v>461</v>
      </c>
      <c r="B920" t="s">
        <v>138</v>
      </c>
      <c r="C920" t="s">
        <v>19</v>
      </c>
      <c r="D920">
        <v>4600</v>
      </c>
      <c r="E920" t="s">
        <v>460</v>
      </c>
      <c r="F920" t="s">
        <v>13</v>
      </c>
      <c r="G920" t="s">
        <v>20</v>
      </c>
      <c r="H920" t="s">
        <v>21</v>
      </c>
      <c r="I920" t="s">
        <v>16</v>
      </c>
    </row>
    <row r="921" spans="1:9" x14ac:dyDescent="0.4">
      <c r="A921" t="s">
        <v>462</v>
      </c>
      <c r="B921" t="s">
        <v>251</v>
      </c>
      <c r="C921" t="s">
        <v>19</v>
      </c>
      <c r="D921">
        <v>73281</v>
      </c>
      <c r="E921" t="s">
        <v>460</v>
      </c>
      <c r="F921" t="s">
        <v>13</v>
      </c>
      <c r="G921" t="s">
        <v>20</v>
      </c>
      <c r="H921" t="s">
        <v>21</v>
      </c>
      <c r="I921" t="s">
        <v>16</v>
      </c>
    </row>
    <row r="922" spans="1:9" x14ac:dyDescent="0.4">
      <c r="A922" t="s">
        <v>463</v>
      </c>
      <c r="B922" t="s">
        <v>91</v>
      </c>
      <c r="C922" t="s">
        <v>19</v>
      </c>
      <c r="D922">
        <v>501</v>
      </c>
      <c r="E922" t="s">
        <v>460</v>
      </c>
      <c r="F922" t="s">
        <v>13</v>
      </c>
      <c r="G922" t="s">
        <v>20</v>
      </c>
      <c r="H922" t="s">
        <v>21</v>
      </c>
      <c r="I922" t="s">
        <v>16</v>
      </c>
    </row>
    <row r="923" spans="1:9" x14ac:dyDescent="0.4">
      <c r="A923" t="s">
        <v>464</v>
      </c>
      <c r="B923" t="s">
        <v>10</v>
      </c>
      <c r="C923" t="s">
        <v>11</v>
      </c>
      <c r="D923">
        <v>501</v>
      </c>
      <c r="E923" t="s">
        <v>460</v>
      </c>
      <c r="F923" t="s">
        <v>13</v>
      </c>
      <c r="G923" t="s">
        <v>20</v>
      </c>
      <c r="H923" t="s">
        <v>15</v>
      </c>
      <c r="I923" t="s">
        <v>16</v>
      </c>
    </row>
    <row r="924" spans="1:9" x14ac:dyDescent="0.4">
      <c r="A924" t="s">
        <v>465</v>
      </c>
      <c r="B924" t="s">
        <v>18</v>
      </c>
      <c r="C924" t="s">
        <v>19</v>
      </c>
      <c r="D924">
        <v>23114</v>
      </c>
      <c r="E924" t="s">
        <v>466</v>
      </c>
      <c r="F924" t="s">
        <v>13</v>
      </c>
      <c r="G924" t="s">
        <v>20</v>
      </c>
      <c r="H924" t="s">
        <v>21</v>
      </c>
      <c r="I924" t="s">
        <v>16</v>
      </c>
    </row>
    <row r="925" spans="1:9" x14ac:dyDescent="0.4">
      <c r="A925" t="s">
        <v>467</v>
      </c>
      <c r="B925" t="s">
        <v>64</v>
      </c>
      <c r="C925" t="s">
        <v>19</v>
      </c>
      <c r="D925">
        <v>83354</v>
      </c>
      <c r="E925" t="s">
        <v>468</v>
      </c>
      <c r="F925" t="s">
        <v>13</v>
      </c>
      <c r="G925" t="s">
        <v>20</v>
      </c>
      <c r="H925" t="s">
        <v>21</v>
      </c>
      <c r="I925" t="s">
        <v>16</v>
      </c>
    </row>
    <row r="926" spans="1:9" x14ac:dyDescent="0.4">
      <c r="A926" t="s">
        <v>469</v>
      </c>
      <c r="B926" t="s">
        <v>57</v>
      </c>
      <c r="C926" t="s">
        <v>19</v>
      </c>
      <c r="D926">
        <v>20000</v>
      </c>
      <c r="E926" t="s">
        <v>468</v>
      </c>
      <c r="F926" t="s">
        <v>13</v>
      </c>
      <c r="G926" t="s">
        <v>20</v>
      </c>
      <c r="H926" t="s">
        <v>21</v>
      </c>
      <c r="I926" t="s">
        <v>16</v>
      </c>
    </row>
    <row r="927" spans="1:9" x14ac:dyDescent="0.4">
      <c r="A927" t="s">
        <v>470</v>
      </c>
      <c r="B927" t="s">
        <v>47</v>
      </c>
      <c r="C927" t="s">
        <v>19</v>
      </c>
      <c r="D927">
        <v>501</v>
      </c>
      <c r="E927" t="s">
        <v>468</v>
      </c>
      <c r="F927" t="s">
        <v>13</v>
      </c>
      <c r="G927" t="s">
        <v>20</v>
      </c>
      <c r="H927" t="s">
        <v>21</v>
      </c>
      <c r="I927" t="s">
        <v>16</v>
      </c>
    </row>
    <row r="928" spans="1:9" x14ac:dyDescent="0.4">
      <c r="A928" t="s">
        <v>471</v>
      </c>
      <c r="B928" t="s">
        <v>182</v>
      </c>
      <c r="C928" t="s">
        <v>11</v>
      </c>
      <c r="D928">
        <v>3433965</v>
      </c>
      <c r="E928" t="s">
        <v>472</v>
      </c>
      <c r="F928" t="s">
        <v>13</v>
      </c>
      <c r="G928" t="s">
        <v>20</v>
      </c>
      <c r="H928" t="s">
        <v>15</v>
      </c>
      <c r="I928" t="s">
        <v>16</v>
      </c>
    </row>
    <row r="929" spans="1:9" x14ac:dyDescent="0.4">
      <c r="A929" t="s">
        <v>473</v>
      </c>
      <c r="B929" t="s">
        <v>160</v>
      </c>
      <c r="C929" t="s">
        <v>19</v>
      </c>
      <c r="D929">
        <v>2500</v>
      </c>
      <c r="E929" t="s">
        <v>472</v>
      </c>
      <c r="F929" t="s">
        <v>13</v>
      </c>
      <c r="G929" t="s">
        <v>20</v>
      </c>
      <c r="H929" t="s">
        <v>21</v>
      </c>
      <c r="I929" t="s">
        <v>16</v>
      </c>
    </row>
    <row r="930" spans="1:9" x14ac:dyDescent="0.4">
      <c r="A930" t="s">
        <v>475</v>
      </c>
      <c r="B930" t="s">
        <v>30</v>
      </c>
      <c r="C930" t="s">
        <v>19</v>
      </c>
      <c r="D930">
        <v>37796</v>
      </c>
      <c r="E930" t="s">
        <v>472</v>
      </c>
      <c r="F930" t="s">
        <v>13</v>
      </c>
      <c r="G930" t="s">
        <v>20</v>
      </c>
      <c r="H930" t="s">
        <v>21</v>
      </c>
      <c r="I930" t="s">
        <v>16</v>
      </c>
    </row>
    <row r="931" spans="1:9" x14ac:dyDescent="0.4">
      <c r="A931" t="s">
        <v>476</v>
      </c>
      <c r="B931" t="s">
        <v>138</v>
      </c>
      <c r="C931" t="s">
        <v>19</v>
      </c>
      <c r="D931">
        <v>20047</v>
      </c>
      <c r="E931" t="s">
        <v>477</v>
      </c>
      <c r="F931" t="s">
        <v>13</v>
      </c>
      <c r="G931" t="s">
        <v>20</v>
      </c>
      <c r="H931" t="s">
        <v>21</v>
      </c>
      <c r="I931" t="s">
        <v>16</v>
      </c>
    </row>
    <row r="932" spans="1:9" x14ac:dyDescent="0.4">
      <c r="A932" t="s">
        <v>480</v>
      </c>
      <c r="B932" t="s">
        <v>116</v>
      </c>
      <c r="C932" t="s">
        <v>19</v>
      </c>
      <c r="D932">
        <v>501</v>
      </c>
      <c r="E932" t="s">
        <v>479</v>
      </c>
      <c r="F932" t="s">
        <v>13</v>
      </c>
      <c r="G932" t="s">
        <v>20</v>
      </c>
      <c r="H932" t="s">
        <v>21</v>
      </c>
      <c r="I932" t="s">
        <v>16</v>
      </c>
    </row>
    <row r="933" spans="1:9" x14ac:dyDescent="0.4">
      <c r="A933" t="s">
        <v>481</v>
      </c>
      <c r="B933" t="s">
        <v>141</v>
      </c>
      <c r="C933" t="s">
        <v>19</v>
      </c>
      <c r="D933">
        <v>23018</v>
      </c>
      <c r="E933" t="s">
        <v>479</v>
      </c>
      <c r="F933" t="s">
        <v>13</v>
      </c>
      <c r="G933" t="s">
        <v>20</v>
      </c>
      <c r="H933" t="s">
        <v>21</v>
      </c>
      <c r="I933" t="s">
        <v>16</v>
      </c>
    </row>
    <row r="934" spans="1:9" x14ac:dyDescent="0.4">
      <c r="A934" t="s">
        <v>484</v>
      </c>
      <c r="B934" t="s">
        <v>26</v>
      </c>
      <c r="C934" t="s">
        <v>19</v>
      </c>
      <c r="D934">
        <v>25832</v>
      </c>
      <c r="E934" t="s">
        <v>485</v>
      </c>
      <c r="F934" t="s">
        <v>13</v>
      </c>
      <c r="G934" t="s">
        <v>51</v>
      </c>
      <c r="H934" t="s">
        <v>21</v>
      </c>
      <c r="I934" t="s">
        <v>16</v>
      </c>
    </row>
    <row r="935" spans="1:9" x14ac:dyDescent="0.4">
      <c r="A935" t="s">
        <v>486</v>
      </c>
      <c r="B935" t="s">
        <v>18</v>
      </c>
      <c r="C935" t="s">
        <v>11</v>
      </c>
      <c r="D935">
        <v>82331</v>
      </c>
      <c r="E935" t="s">
        <v>487</v>
      </c>
      <c r="F935" t="s">
        <v>13</v>
      </c>
      <c r="G935" t="s">
        <v>20</v>
      </c>
      <c r="H935" t="s">
        <v>15</v>
      </c>
      <c r="I935" t="s">
        <v>16</v>
      </c>
    </row>
    <row r="936" spans="1:9" x14ac:dyDescent="0.4">
      <c r="A936" t="s">
        <v>488</v>
      </c>
      <c r="B936" t="s">
        <v>77</v>
      </c>
      <c r="C936" t="s">
        <v>19</v>
      </c>
      <c r="D936">
        <v>139830</v>
      </c>
      <c r="E936" t="s">
        <v>487</v>
      </c>
      <c r="F936" t="s">
        <v>13</v>
      </c>
      <c r="G936" t="s">
        <v>20</v>
      </c>
      <c r="H936" t="s">
        <v>21</v>
      </c>
      <c r="I936" t="s">
        <v>16</v>
      </c>
    </row>
    <row r="937" spans="1:9" x14ac:dyDescent="0.4">
      <c r="A937" t="s">
        <v>489</v>
      </c>
      <c r="B937" t="s">
        <v>136</v>
      </c>
      <c r="C937" t="s">
        <v>19</v>
      </c>
      <c r="D937">
        <v>9087</v>
      </c>
      <c r="E937" t="s">
        <v>490</v>
      </c>
      <c r="F937" t="s">
        <v>13</v>
      </c>
      <c r="G937" t="s">
        <v>20</v>
      </c>
      <c r="H937" t="s">
        <v>21</v>
      </c>
      <c r="I937" t="s">
        <v>16</v>
      </c>
    </row>
    <row r="938" spans="1:9" x14ac:dyDescent="0.4">
      <c r="A938" t="s">
        <v>491</v>
      </c>
      <c r="B938" t="s">
        <v>86</v>
      </c>
      <c r="C938" t="s">
        <v>19</v>
      </c>
      <c r="D938">
        <v>4626</v>
      </c>
      <c r="E938" t="s">
        <v>492</v>
      </c>
      <c r="F938" t="s">
        <v>13</v>
      </c>
      <c r="G938" t="s">
        <v>20</v>
      </c>
      <c r="H938" t="s">
        <v>21</v>
      </c>
      <c r="I938" t="s">
        <v>16</v>
      </c>
    </row>
    <row r="939" spans="1:9" x14ac:dyDescent="0.4">
      <c r="A939" t="s">
        <v>493</v>
      </c>
      <c r="B939" t="s">
        <v>43</v>
      </c>
      <c r="C939" t="s">
        <v>19</v>
      </c>
      <c r="D939">
        <v>30434</v>
      </c>
      <c r="E939" t="s">
        <v>494</v>
      </c>
      <c r="F939" t="s">
        <v>13</v>
      </c>
      <c r="G939" t="s">
        <v>20</v>
      </c>
      <c r="H939" t="s">
        <v>21</v>
      </c>
      <c r="I939" t="s">
        <v>16</v>
      </c>
    </row>
    <row r="940" spans="1:9" x14ac:dyDescent="0.4">
      <c r="A940" t="s">
        <v>495</v>
      </c>
      <c r="B940" t="s">
        <v>145</v>
      </c>
      <c r="C940" t="s">
        <v>19</v>
      </c>
      <c r="D940">
        <v>501</v>
      </c>
      <c r="E940" t="s">
        <v>494</v>
      </c>
      <c r="F940" t="s">
        <v>13</v>
      </c>
      <c r="G940" t="s">
        <v>20</v>
      </c>
      <c r="H940" t="s">
        <v>21</v>
      </c>
      <c r="I940" t="s">
        <v>16</v>
      </c>
    </row>
    <row r="941" spans="1:9" x14ac:dyDescent="0.4">
      <c r="A941" t="s">
        <v>496</v>
      </c>
      <c r="B941" t="s">
        <v>66</v>
      </c>
      <c r="C941" t="s">
        <v>19</v>
      </c>
      <c r="D941">
        <v>10320</v>
      </c>
      <c r="E941" t="s">
        <v>494</v>
      </c>
      <c r="F941" t="s">
        <v>13</v>
      </c>
      <c r="G941" t="s">
        <v>20</v>
      </c>
      <c r="H941" t="s">
        <v>21</v>
      </c>
      <c r="I941" t="s">
        <v>16</v>
      </c>
    </row>
    <row r="942" spans="1:9" x14ac:dyDescent="0.4">
      <c r="A942" t="s">
        <v>500</v>
      </c>
      <c r="B942" t="s">
        <v>26</v>
      </c>
      <c r="C942" t="s">
        <v>19</v>
      </c>
      <c r="D942">
        <v>501</v>
      </c>
      <c r="E942" t="s">
        <v>498</v>
      </c>
      <c r="F942" t="s">
        <v>13</v>
      </c>
      <c r="G942" t="s">
        <v>20</v>
      </c>
      <c r="H942" t="s">
        <v>21</v>
      </c>
      <c r="I942" t="s">
        <v>16</v>
      </c>
    </row>
    <row r="943" spans="1:9" x14ac:dyDescent="0.4">
      <c r="A943" t="s">
        <v>501</v>
      </c>
      <c r="B943" t="s">
        <v>248</v>
      </c>
      <c r="C943" t="s">
        <v>19</v>
      </c>
      <c r="D943">
        <v>1476</v>
      </c>
      <c r="E943" t="s">
        <v>502</v>
      </c>
      <c r="F943" t="s">
        <v>13</v>
      </c>
      <c r="G943" t="s">
        <v>20</v>
      </c>
      <c r="H943" t="s">
        <v>15</v>
      </c>
      <c r="I943" t="s">
        <v>16</v>
      </c>
    </row>
    <row r="944" spans="1:9" x14ac:dyDescent="0.4">
      <c r="A944" t="s">
        <v>503</v>
      </c>
      <c r="B944" t="s">
        <v>55</v>
      </c>
      <c r="C944" t="s">
        <v>11</v>
      </c>
      <c r="D944">
        <v>1949534</v>
      </c>
      <c r="E944" t="s">
        <v>502</v>
      </c>
      <c r="F944" t="s">
        <v>13</v>
      </c>
      <c r="G944" t="s">
        <v>20</v>
      </c>
      <c r="H944" t="s">
        <v>15</v>
      </c>
      <c r="I944" t="s">
        <v>16</v>
      </c>
    </row>
    <row r="945" spans="1:9" x14ac:dyDescent="0.4">
      <c r="A945" t="s">
        <v>504</v>
      </c>
      <c r="B945" t="s">
        <v>10</v>
      </c>
      <c r="C945" t="s">
        <v>19</v>
      </c>
      <c r="D945">
        <v>26055</v>
      </c>
      <c r="E945" t="s">
        <v>502</v>
      </c>
      <c r="F945" t="s">
        <v>13</v>
      </c>
      <c r="G945" t="s">
        <v>20</v>
      </c>
      <c r="H945" t="s">
        <v>21</v>
      </c>
      <c r="I945" t="s">
        <v>16</v>
      </c>
    </row>
    <row r="946" spans="1:9" x14ac:dyDescent="0.4">
      <c r="A946" t="s">
        <v>506</v>
      </c>
      <c r="B946" t="s">
        <v>138</v>
      </c>
      <c r="C946" t="s">
        <v>19</v>
      </c>
      <c r="D946">
        <v>11273</v>
      </c>
      <c r="E946" t="s">
        <v>507</v>
      </c>
      <c r="F946" t="s">
        <v>13</v>
      </c>
      <c r="G946" t="s">
        <v>20</v>
      </c>
      <c r="H946" t="s">
        <v>21</v>
      </c>
      <c r="I946" t="s">
        <v>16</v>
      </c>
    </row>
    <row r="947" spans="1:9" x14ac:dyDescent="0.4">
      <c r="A947" t="s">
        <v>511</v>
      </c>
      <c r="B947" t="s">
        <v>138</v>
      </c>
      <c r="C947" t="s">
        <v>11</v>
      </c>
      <c r="D947">
        <v>18313</v>
      </c>
      <c r="E947" t="s">
        <v>512</v>
      </c>
      <c r="F947" t="s">
        <v>13</v>
      </c>
      <c r="G947" t="s">
        <v>20</v>
      </c>
      <c r="H947" t="s">
        <v>15</v>
      </c>
      <c r="I947" t="s">
        <v>16</v>
      </c>
    </row>
    <row r="948" spans="1:9" x14ac:dyDescent="0.4">
      <c r="A948" t="s">
        <v>513</v>
      </c>
      <c r="B948" t="s">
        <v>104</v>
      </c>
      <c r="C948" t="s">
        <v>34</v>
      </c>
      <c r="D948">
        <v>4725</v>
      </c>
      <c r="E948" t="s">
        <v>512</v>
      </c>
      <c r="F948" t="s">
        <v>13</v>
      </c>
      <c r="G948" t="s">
        <v>20</v>
      </c>
      <c r="H948" t="s">
        <v>21</v>
      </c>
      <c r="I948" t="s">
        <v>16</v>
      </c>
    </row>
    <row r="949" spans="1:9" x14ac:dyDescent="0.4">
      <c r="A949" t="s">
        <v>514</v>
      </c>
      <c r="B949" t="s">
        <v>141</v>
      </c>
      <c r="C949" t="s">
        <v>11</v>
      </c>
      <c r="D949">
        <v>44425</v>
      </c>
      <c r="E949" t="s">
        <v>515</v>
      </c>
      <c r="F949" t="s">
        <v>13</v>
      </c>
      <c r="G949" t="s">
        <v>20</v>
      </c>
      <c r="H949" t="s">
        <v>15</v>
      </c>
      <c r="I949" t="s">
        <v>16</v>
      </c>
    </row>
    <row r="950" spans="1:9" x14ac:dyDescent="0.4">
      <c r="A950" t="s">
        <v>516</v>
      </c>
      <c r="B950" t="s">
        <v>75</v>
      </c>
      <c r="C950" t="s">
        <v>19</v>
      </c>
      <c r="D950">
        <v>501</v>
      </c>
      <c r="E950" t="s">
        <v>517</v>
      </c>
      <c r="F950" t="s">
        <v>13</v>
      </c>
      <c r="G950" t="s">
        <v>20</v>
      </c>
      <c r="H950" t="s">
        <v>21</v>
      </c>
      <c r="I950" t="s">
        <v>16</v>
      </c>
    </row>
    <row r="951" spans="1:9" x14ac:dyDescent="0.4">
      <c r="A951" t="s">
        <v>518</v>
      </c>
      <c r="B951" t="s">
        <v>60</v>
      </c>
      <c r="C951" t="s">
        <v>19</v>
      </c>
      <c r="D951">
        <v>3722</v>
      </c>
      <c r="E951" t="s">
        <v>517</v>
      </c>
      <c r="F951" t="s">
        <v>13</v>
      </c>
      <c r="G951" t="s">
        <v>20</v>
      </c>
      <c r="H951" t="s">
        <v>21</v>
      </c>
      <c r="I951" t="s">
        <v>16</v>
      </c>
    </row>
    <row r="952" spans="1:9" x14ac:dyDescent="0.4">
      <c r="A952" t="s">
        <v>519</v>
      </c>
      <c r="B952" t="s">
        <v>182</v>
      </c>
      <c r="C952" t="s">
        <v>19</v>
      </c>
      <c r="D952">
        <v>11818</v>
      </c>
      <c r="E952" t="s">
        <v>517</v>
      </c>
      <c r="F952" t="s">
        <v>13</v>
      </c>
      <c r="G952" t="s">
        <v>20</v>
      </c>
      <c r="H952" t="s">
        <v>21</v>
      </c>
      <c r="I952" t="s">
        <v>16</v>
      </c>
    </row>
    <row r="953" spans="1:9" x14ac:dyDescent="0.4">
      <c r="A953" t="s">
        <v>520</v>
      </c>
      <c r="B953" t="s">
        <v>138</v>
      </c>
      <c r="C953" t="s">
        <v>19</v>
      </c>
      <c r="D953">
        <v>501</v>
      </c>
      <c r="E953" t="s">
        <v>521</v>
      </c>
      <c r="F953" t="s">
        <v>13</v>
      </c>
      <c r="G953" t="s">
        <v>20</v>
      </c>
      <c r="H953" t="s">
        <v>21</v>
      </c>
      <c r="I953" t="s">
        <v>16</v>
      </c>
    </row>
    <row r="954" spans="1:9" x14ac:dyDescent="0.4">
      <c r="A954" t="s">
        <v>522</v>
      </c>
      <c r="B954" t="s">
        <v>10</v>
      </c>
      <c r="C954" t="s">
        <v>19</v>
      </c>
      <c r="D954">
        <v>2074</v>
      </c>
      <c r="E954" t="s">
        <v>521</v>
      </c>
      <c r="F954" t="s">
        <v>13</v>
      </c>
      <c r="G954" t="s">
        <v>20</v>
      </c>
      <c r="H954" t="s">
        <v>15</v>
      </c>
      <c r="I954" t="s">
        <v>16</v>
      </c>
    </row>
    <row r="955" spans="1:9" x14ac:dyDescent="0.4">
      <c r="A955" t="s">
        <v>525</v>
      </c>
      <c r="B955" t="s">
        <v>71</v>
      </c>
      <c r="C955" t="s">
        <v>19</v>
      </c>
      <c r="D955">
        <v>1800</v>
      </c>
      <c r="E955" t="s">
        <v>524</v>
      </c>
      <c r="F955" t="s">
        <v>13</v>
      </c>
      <c r="G955" t="s">
        <v>20</v>
      </c>
      <c r="H955" t="s">
        <v>21</v>
      </c>
      <c r="I955" t="s">
        <v>16</v>
      </c>
    </row>
    <row r="956" spans="1:9" x14ac:dyDescent="0.4">
      <c r="A956" t="s">
        <v>526</v>
      </c>
      <c r="B956" t="s">
        <v>41</v>
      </c>
      <c r="C956" t="s">
        <v>34</v>
      </c>
      <c r="D956">
        <v>3340</v>
      </c>
      <c r="E956" t="s">
        <v>524</v>
      </c>
      <c r="F956" t="s">
        <v>13</v>
      </c>
      <c r="G956" t="s">
        <v>20</v>
      </c>
      <c r="H956" t="s">
        <v>15</v>
      </c>
      <c r="I956" t="s">
        <v>16</v>
      </c>
    </row>
    <row r="957" spans="1:9" x14ac:dyDescent="0.4">
      <c r="A957" t="s">
        <v>527</v>
      </c>
      <c r="B957" t="s">
        <v>10</v>
      </c>
      <c r="C957" t="s">
        <v>34</v>
      </c>
      <c r="D957">
        <v>68066</v>
      </c>
      <c r="E957" t="s">
        <v>528</v>
      </c>
      <c r="F957" t="s">
        <v>13</v>
      </c>
      <c r="G957" t="s">
        <v>20</v>
      </c>
      <c r="H957" t="s">
        <v>15</v>
      </c>
      <c r="I957" t="s">
        <v>16</v>
      </c>
    </row>
    <row r="958" spans="1:9" x14ac:dyDescent="0.4">
      <c r="A958" t="s">
        <v>529</v>
      </c>
      <c r="B958" t="s">
        <v>60</v>
      </c>
      <c r="C958" t="s">
        <v>11</v>
      </c>
      <c r="D958">
        <v>28185</v>
      </c>
      <c r="E958" t="s">
        <v>528</v>
      </c>
      <c r="F958" t="s">
        <v>13</v>
      </c>
      <c r="G958" t="s">
        <v>20</v>
      </c>
      <c r="H958" t="s">
        <v>15</v>
      </c>
      <c r="I958" t="s">
        <v>16</v>
      </c>
    </row>
    <row r="959" spans="1:9" x14ac:dyDescent="0.4">
      <c r="A959" t="s">
        <v>534</v>
      </c>
      <c r="B959" t="s">
        <v>345</v>
      </c>
      <c r="C959" t="s">
        <v>19</v>
      </c>
      <c r="D959">
        <v>959</v>
      </c>
      <c r="E959" t="s">
        <v>531</v>
      </c>
      <c r="F959" t="s">
        <v>13</v>
      </c>
      <c r="G959" t="s">
        <v>20</v>
      </c>
      <c r="H959" t="s">
        <v>21</v>
      </c>
      <c r="I959" t="s">
        <v>16</v>
      </c>
    </row>
    <row r="960" spans="1:9" x14ac:dyDescent="0.4">
      <c r="A960" t="s">
        <v>535</v>
      </c>
      <c r="B960" t="s">
        <v>66</v>
      </c>
      <c r="C960" t="s">
        <v>19</v>
      </c>
      <c r="D960">
        <v>70211</v>
      </c>
      <c r="E960" t="s">
        <v>536</v>
      </c>
      <c r="F960" t="s">
        <v>13</v>
      </c>
      <c r="G960" t="s">
        <v>20</v>
      </c>
      <c r="H960" t="s">
        <v>21</v>
      </c>
      <c r="I960" t="s">
        <v>16</v>
      </c>
    </row>
    <row r="961" spans="1:9" x14ac:dyDescent="0.4">
      <c r="A961" t="s">
        <v>537</v>
      </c>
      <c r="B961" t="s">
        <v>345</v>
      </c>
      <c r="C961" t="s">
        <v>34</v>
      </c>
      <c r="D961">
        <v>26343</v>
      </c>
      <c r="E961" t="s">
        <v>536</v>
      </c>
      <c r="F961" t="s">
        <v>13</v>
      </c>
      <c r="G961" t="s">
        <v>20</v>
      </c>
      <c r="H961" t="s">
        <v>21</v>
      </c>
      <c r="I961" t="s">
        <v>16</v>
      </c>
    </row>
    <row r="962" spans="1:9" x14ac:dyDescent="0.4">
      <c r="A962" t="s">
        <v>538</v>
      </c>
      <c r="B962" t="s">
        <v>104</v>
      </c>
      <c r="C962" t="s">
        <v>11</v>
      </c>
      <c r="D962">
        <v>501</v>
      </c>
      <c r="E962" t="s">
        <v>539</v>
      </c>
      <c r="F962" t="s">
        <v>13</v>
      </c>
      <c r="G962" t="s">
        <v>20</v>
      </c>
      <c r="H962" t="s">
        <v>15</v>
      </c>
      <c r="I962" t="s">
        <v>16</v>
      </c>
    </row>
    <row r="963" spans="1:9" x14ac:dyDescent="0.4">
      <c r="A963" t="s">
        <v>540</v>
      </c>
      <c r="B963" t="s">
        <v>71</v>
      </c>
      <c r="C963" t="s">
        <v>19</v>
      </c>
      <c r="D963">
        <v>4035</v>
      </c>
      <c r="E963" t="s">
        <v>541</v>
      </c>
      <c r="F963" t="s">
        <v>13</v>
      </c>
      <c r="G963" t="s">
        <v>20</v>
      </c>
      <c r="H963" t="s">
        <v>21</v>
      </c>
      <c r="I963" t="s">
        <v>16</v>
      </c>
    </row>
    <row r="964" spans="1:9" x14ac:dyDescent="0.4">
      <c r="A964" t="s">
        <v>544</v>
      </c>
      <c r="B964" t="s">
        <v>251</v>
      </c>
      <c r="C964" t="s">
        <v>19</v>
      </c>
      <c r="D964">
        <v>501</v>
      </c>
      <c r="E964" t="s">
        <v>545</v>
      </c>
      <c r="F964" t="s">
        <v>13</v>
      </c>
      <c r="G964" t="s">
        <v>20</v>
      </c>
      <c r="H964" t="s">
        <v>21</v>
      </c>
      <c r="I964" t="s">
        <v>16</v>
      </c>
    </row>
    <row r="965" spans="1:9" x14ac:dyDescent="0.4">
      <c r="A965" t="s">
        <v>546</v>
      </c>
      <c r="B965" t="s">
        <v>10</v>
      </c>
      <c r="C965" t="s">
        <v>19</v>
      </c>
      <c r="D965">
        <v>80521</v>
      </c>
      <c r="E965" t="s">
        <v>547</v>
      </c>
      <c r="F965" t="s">
        <v>13</v>
      </c>
      <c r="G965" t="s">
        <v>20</v>
      </c>
      <c r="H965" t="s">
        <v>21</v>
      </c>
      <c r="I965" t="s">
        <v>16</v>
      </c>
    </row>
    <row r="966" spans="1:9" x14ac:dyDescent="0.4">
      <c r="A966" t="s">
        <v>548</v>
      </c>
      <c r="B966" t="s">
        <v>60</v>
      </c>
      <c r="C966" t="s">
        <v>19</v>
      </c>
      <c r="D966">
        <v>501</v>
      </c>
      <c r="E966" t="s">
        <v>549</v>
      </c>
      <c r="F966" t="s">
        <v>13</v>
      </c>
      <c r="G966" t="s">
        <v>20</v>
      </c>
      <c r="H966" t="s">
        <v>21</v>
      </c>
      <c r="I966" t="s">
        <v>16</v>
      </c>
    </row>
    <row r="967" spans="1:9" x14ac:dyDescent="0.4">
      <c r="A967" t="s">
        <v>550</v>
      </c>
      <c r="B967" t="s">
        <v>47</v>
      </c>
      <c r="C967" t="s">
        <v>19</v>
      </c>
      <c r="D967">
        <v>501</v>
      </c>
      <c r="E967" t="s">
        <v>549</v>
      </c>
      <c r="F967" t="s">
        <v>13</v>
      </c>
      <c r="G967" t="s">
        <v>20</v>
      </c>
      <c r="H967" t="s">
        <v>21</v>
      </c>
      <c r="I967" t="s">
        <v>16</v>
      </c>
    </row>
    <row r="968" spans="1:9" x14ac:dyDescent="0.4">
      <c r="A968" t="s">
        <v>551</v>
      </c>
      <c r="B968" t="s">
        <v>160</v>
      </c>
      <c r="C968" t="s">
        <v>19</v>
      </c>
      <c r="D968">
        <v>32090</v>
      </c>
      <c r="E968" t="s">
        <v>549</v>
      </c>
      <c r="F968" t="s">
        <v>13</v>
      </c>
      <c r="G968" t="s">
        <v>20</v>
      </c>
      <c r="H968" t="s">
        <v>21</v>
      </c>
      <c r="I968" t="s">
        <v>16</v>
      </c>
    </row>
    <row r="969" spans="1:9" x14ac:dyDescent="0.4">
      <c r="A969" t="s">
        <v>552</v>
      </c>
      <c r="B969" t="s">
        <v>71</v>
      </c>
      <c r="C969" t="s">
        <v>19</v>
      </c>
      <c r="D969">
        <v>91513</v>
      </c>
      <c r="E969" t="s">
        <v>553</v>
      </c>
      <c r="F969" t="s">
        <v>13</v>
      </c>
      <c r="G969" t="s">
        <v>20</v>
      </c>
      <c r="H969" t="s">
        <v>21</v>
      </c>
      <c r="I969" t="s">
        <v>16</v>
      </c>
    </row>
    <row r="970" spans="1:9" x14ac:dyDescent="0.4">
      <c r="A970" t="s">
        <v>560</v>
      </c>
      <c r="B970" t="s">
        <v>104</v>
      </c>
      <c r="C970" t="s">
        <v>11</v>
      </c>
      <c r="D970">
        <v>104071</v>
      </c>
      <c r="E970" t="s">
        <v>559</v>
      </c>
      <c r="F970" t="s">
        <v>13</v>
      </c>
      <c r="G970" t="s">
        <v>20</v>
      </c>
      <c r="H970" t="s">
        <v>15</v>
      </c>
      <c r="I970" t="s">
        <v>16</v>
      </c>
    </row>
    <row r="971" spans="1:9" x14ac:dyDescent="0.4">
      <c r="A971" t="s">
        <v>561</v>
      </c>
      <c r="B971" t="s">
        <v>26</v>
      </c>
      <c r="C971" t="s">
        <v>19</v>
      </c>
      <c r="D971">
        <v>500</v>
      </c>
      <c r="E971" t="s">
        <v>559</v>
      </c>
      <c r="F971" t="s">
        <v>13</v>
      </c>
      <c r="G971" t="s">
        <v>20</v>
      </c>
      <c r="H971" t="s">
        <v>21</v>
      </c>
      <c r="I971" t="s">
        <v>16</v>
      </c>
    </row>
    <row r="972" spans="1:9" x14ac:dyDescent="0.4">
      <c r="A972" t="s">
        <v>562</v>
      </c>
      <c r="B972" t="s">
        <v>64</v>
      </c>
      <c r="C972" t="s">
        <v>19</v>
      </c>
      <c r="D972">
        <v>4943</v>
      </c>
      <c r="E972" t="s">
        <v>559</v>
      </c>
      <c r="F972" t="s">
        <v>13</v>
      </c>
      <c r="G972" t="s">
        <v>20</v>
      </c>
      <c r="H972" t="s">
        <v>21</v>
      </c>
      <c r="I972" t="s">
        <v>16</v>
      </c>
    </row>
    <row r="973" spans="1:9" x14ac:dyDescent="0.4">
      <c r="A973" t="s">
        <v>563</v>
      </c>
      <c r="B973" t="s">
        <v>77</v>
      </c>
      <c r="C973" t="s">
        <v>19</v>
      </c>
      <c r="D973">
        <v>54570</v>
      </c>
      <c r="E973" t="s">
        <v>559</v>
      </c>
      <c r="F973" t="s">
        <v>13</v>
      </c>
      <c r="G973" t="s">
        <v>20</v>
      </c>
      <c r="H973" t="s">
        <v>21</v>
      </c>
      <c r="I973" t="s">
        <v>16</v>
      </c>
    </row>
    <row r="974" spans="1:9" x14ac:dyDescent="0.4">
      <c r="A974" t="s">
        <v>564</v>
      </c>
      <c r="B974" t="s">
        <v>26</v>
      </c>
      <c r="C974" t="s">
        <v>19</v>
      </c>
      <c r="D974">
        <v>501</v>
      </c>
      <c r="E974" t="s">
        <v>559</v>
      </c>
      <c r="F974" t="s">
        <v>13</v>
      </c>
      <c r="G974" t="s">
        <v>20</v>
      </c>
      <c r="H974" t="s">
        <v>21</v>
      </c>
      <c r="I974" t="s">
        <v>16</v>
      </c>
    </row>
    <row r="975" spans="1:9" x14ac:dyDescent="0.4">
      <c r="A975" t="s">
        <v>565</v>
      </c>
      <c r="B975" t="s">
        <v>71</v>
      </c>
      <c r="C975" t="s">
        <v>19</v>
      </c>
      <c r="D975">
        <v>6855</v>
      </c>
      <c r="E975" t="s">
        <v>566</v>
      </c>
      <c r="F975" t="s">
        <v>13</v>
      </c>
      <c r="G975" t="s">
        <v>51</v>
      </c>
      <c r="H975" t="s">
        <v>15</v>
      </c>
      <c r="I975" t="s">
        <v>16</v>
      </c>
    </row>
    <row r="976" spans="1:9" x14ac:dyDescent="0.4">
      <c r="A976" t="s">
        <v>570</v>
      </c>
      <c r="B976" t="s">
        <v>274</v>
      </c>
      <c r="C976" t="s">
        <v>19</v>
      </c>
      <c r="D976">
        <v>4519</v>
      </c>
      <c r="E976" t="s">
        <v>568</v>
      </c>
      <c r="F976" t="s">
        <v>13</v>
      </c>
      <c r="G976" t="s">
        <v>20</v>
      </c>
      <c r="H976" t="s">
        <v>21</v>
      </c>
      <c r="I976" t="s">
        <v>16</v>
      </c>
    </row>
    <row r="977" spans="1:9" x14ac:dyDescent="0.4">
      <c r="A977" t="s">
        <v>571</v>
      </c>
      <c r="B977" t="s">
        <v>86</v>
      </c>
      <c r="C977" t="s">
        <v>19</v>
      </c>
      <c r="D977">
        <v>2511</v>
      </c>
      <c r="E977" t="s">
        <v>572</v>
      </c>
      <c r="F977" t="s">
        <v>13</v>
      </c>
      <c r="G977" t="s">
        <v>20</v>
      </c>
      <c r="H977" t="s">
        <v>21</v>
      </c>
      <c r="I977" t="s">
        <v>16</v>
      </c>
    </row>
    <row r="978" spans="1:9" x14ac:dyDescent="0.4">
      <c r="A978" t="s">
        <v>573</v>
      </c>
      <c r="B978" t="s">
        <v>10</v>
      </c>
      <c r="C978" t="s">
        <v>19</v>
      </c>
      <c r="D978">
        <v>35236</v>
      </c>
      <c r="E978" t="s">
        <v>572</v>
      </c>
      <c r="F978" t="s">
        <v>13</v>
      </c>
      <c r="G978" t="s">
        <v>20</v>
      </c>
      <c r="H978" t="s">
        <v>21</v>
      </c>
      <c r="I978" t="s">
        <v>16</v>
      </c>
    </row>
    <row r="979" spans="1:9" x14ac:dyDescent="0.4">
      <c r="A979" t="s">
        <v>574</v>
      </c>
      <c r="B979" t="s">
        <v>248</v>
      </c>
      <c r="C979" t="s">
        <v>19</v>
      </c>
      <c r="D979">
        <v>4859</v>
      </c>
      <c r="E979" t="s">
        <v>575</v>
      </c>
      <c r="F979" t="s">
        <v>13</v>
      </c>
      <c r="G979" t="s">
        <v>20</v>
      </c>
      <c r="H979" t="s">
        <v>21</v>
      </c>
      <c r="I979" t="s">
        <v>16</v>
      </c>
    </row>
    <row r="980" spans="1:9" x14ac:dyDescent="0.4">
      <c r="A980" t="s">
        <v>576</v>
      </c>
      <c r="B980" t="s">
        <v>55</v>
      </c>
      <c r="C980" t="s">
        <v>19</v>
      </c>
      <c r="D980">
        <v>94131</v>
      </c>
      <c r="E980" t="s">
        <v>575</v>
      </c>
      <c r="F980" t="s">
        <v>13</v>
      </c>
      <c r="G980" t="s">
        <v>20</v>
      </c>
      <c r="H980" t="s">
        <v>21</v>
      </c>
      <c r="I980" t="s">
        <v>16</v>
      </c>
    </row>
    <row r="981" spans="1:9" x14ac:dyDescent="0.4">
      <c r="A981" t="s">
        <v>560</v>
      </c>
      <c r="B981" t="s">
        <v>104</v>
      </c>
      <c r="C981" t="s">
        <v>11</v>
      </c>
      <c r="D981">
        <v>5901</v>
      </c>
      <c r="E981" t="s">
        <v>579</v>
      </c>
      <c r="F981" t="s">
        <v>13</v>
      </c>
      <c r="G981" t="s">
        <v>20</v>
      </c>
      <c r="H981" t="s">
        <v>15</v>
      </c>
      <c r="I981" t="s">
        <v>16</v>
      </c>
    </row>
    <row r="982" spans="1:9" x14ac:dyDescent="0.4">
      <c r="A982" t="s">
        <v>560</v>
      </c>
      <c r="B982" t="s">
        <v>104</v>
      </c>
      <c r="C982" t="s">
        <v>11</v>
      </c>
      <c r="D982">
        <v>9206</v>
      </c>
      <c r="E982" t="s">
        <v>579</v>
      </c>
      <c r="F982" t="s">
        <v>13</v>
      </c>
      <c r="G982" t="s">
        <v>20</v>
      </c>
      <c r="H982" t="s">
        <v>15</v>
      </c>
      <c r="I982" t="s">
        <v>16</v>
      </c>
    </row>
    <row r="983" spans="1:9" x14ac:dyDescent="0.4">
      <c r="A983" t="s">
        <v>560</v>
      </c>
      <c r="B983" t="s">
        <v>104</v>
      </c>
      <c r="C983" t="s">
        <v>11</v>
      </c>
      <c r="D983">
        <v>20641</v>
      </c>
      <c r="E983" t="s">
        <v>579</v>
      </c>
      <c r="F983" t="s">
        <v>13</v>
      </c>
      <c r="G983" t="s">
        <v>20</v>
      </c>
      <c r="H983" t="s">
        <v>15</v>
      </c>
      <c r="I983" t="s">
        <v>16</v>
      </c>
    </row>
    <row r="984" spans="1:9" x14ac:dyDescent="0.4">
      <c r="A984" t="s">
        <v>580</v>
      </c>
      <c r="B984" t="s">
        <v>55</v>
      </c>
      <c r="C984" t="s">
        <v>19</v>
      </c>
      <c r="D984">
        <v>64332</v>
      </c>
      <c r="E984" t="s">
        <v>579</v>
      </c>
      <c r="F984" t="s">
        <v>13</v>
      </c>
      <c r="G984" t="s">
        <v>20</v>
      </c>
      <c r="H984" t="s">
        <v>21</v>
      </c>
      <c r="I984" t="s">
        <v>16</v>
      </c>
    </row>
    <row r="985" spans="1:9" x14ac:dyDescent="0.4">
      <c r="A985" t="s">
        <v>581</v>
      </c>
      <c r="B985" t="s">
        <v>10</v>
      </c>
      <c r="C985" t="s">
        <v>11</v>
      </c>
      <c r="D985">
        <v>73720</v>
      </c>
      <c r="E985" t="s">
        <v>582</v>
      </c>
      <c r="F985" t="s">
        <v>13</v>
      </c>
      <c r="G985" t="s">
        <v>20</v>
      </c>
      <c r="H985" t="s">
        <v>15</v>
      </c>
      <c r="I985" t="s">
        <v>16</v>
      </c>
    </row>
    <row r="986" spans="1:9" x14ac:dyDescent="0.4">
      <c r="A986" t="s">
        <v>583</v>
      </c>
      <c r="B986" t="s">
        <v>91</v>
      </c>
      <c r="C986" t="s">
        <v>19</v>
      </c>
      <c r="D986">
        <v>500</v>
      </c>
      <c r="E986" t="s">
        <v>582</v>
      </c>
      <c r="F986" t="s">
        <v>13</v>
      </c>
      <c r="G986" t="s">
        <v>20</v>
      </c>
      <c r="H986" t="s">
        <v>21</v>
      </c>
      <c r="I986" t="s">
        <v>16</v>
      </c>
    </row>
    <row r="987" spans="1:9" x14ac:dyDescent="0.4">
      <c r="A987" t="s">
        <v>584</v>
      </c>
      <c r="B987" t="s">
        <v>66</v>
      </c>
      <c r="C987" t="s">
        <v>34</v>
      </c>
      <c r="D987">
        <v>1066</v>
      </c>
      <c r="E987" t="s">
        <v>585</v>
      </c>
      <c r="F987" t="s">
        <v>13</v>
      </c>
      <c r="G987" t="s">
        <v>20</v>
      </c>
      <c r="H987" t="s">
        <v>15</v>
      </c>
      <c r="I987" t="s">
        <v>16</v>
      </c>
    </row>
    <row r="988" spans="1:9" x14ac:dyDescent="0.4">
      <c r="A988" t="s">
        <v>586</v>
      </c>
      <c r="B988" t="s">
        <v>71</v>
      </c>
      <c r="C988" t="s">
        <v>11</v>
      </c>
      <c r="D988">
        <v>987</v>
      </c>
      <c r="E988" t="s">
        <v>587</v>
      </c>
      <c r="F988" t="s">
        <v>13</v>
      </c>
      <c r="G988" t="s">
        <v>20</v>
      </c>
      <c r="H988" t="s">
        <v>15</v>
      </c>
      <c r="I988" t="s">
        <v>16</v>
      </c>
    </row>
    <row r="989" spans="1:9" x14ac:dyDescent="0.4">
      <c r="A989" t="s">
        <v>588</v>
      </c>
      <c r="B989" t="s">
        <v>141</v>
      </c>
      <c r="C989" t="s">
        <v>19</v>
      </c>
      <c r="D989">
        <v>113232</v>
      </c>
      <c r="E989" t="s">
        <v>589</v>
      </c>
      <c r="F989" t="s">
        <v>13</v>
      </c>
      <c r="G989" t="s">
        <v>20</v>
      </c>
      <c r="H989" t="s">
        <v>21</v>
      </c>
      <c r="I989" t="s">
        <v>16</v>
      </c>
    </row>
    <row r="990" spans="1:9" x14ac:dyDescent="0.4">
      <c r="A990" t="s">
        <v>590</v>
      </c>
      <c r="B990" t="s">
        <v>10</v>
      </c>
      <c r="C990" t="s">
        <v>19</v>
      </c>
      <c r="D990">
        <v>88863</v>
      </c>
      <c r="E990" t="s">
        <v>589</v>
      </c>
      <c r="F990" t="s">
        <v>13</v>
      </c>
      <c r="G990" t="s">
        <v>20</v>
      </c>
      <c r="H990" t="s">
        <v>21</v>
      </c>
      <c r="I990" t="s">
        <v>16</v>
      </c>
    </row>
    <row r="991" spans="1:9" x14ac:dyDescent="0.4">
      <c r="A991" t="s">
        <v>593</v>
      </c>
      <c r="B991" t="s">
        <v>28</v>
      </c>
      <c r="C991" t="s">
        <v>11</v>
      </c>
      <c r="D991">
        <v>111815</v>
      </c>
      <c r="E991" t="s">
        <v>592</v>
      </c>
      <c r="F991" t="s">
        <v>13</v>
      </c>
      <c r="G991" t="s">
        <v>20</v>
      </c>
      <c r="H991" t="s">
        <v>15</v>
      </c>
      <c r="I991" t="s">
        <v>16</v>
      </c>
    </row>
    <row r="992" spans="1:9" x14ac:dyDescent="0.4">
      <c r="A992" t="s">
        <v>595</v>
      </c>
      <c r="B992" t="s">
        <v>138</v>
      </c>
      <c r="C992" t="s">
        <v>19</v>
      </c>
      <c r="D992">
        <v>543</v>
      </c>
      <c r="E992" t="s">
        <v>592</v>
      </c>
      <c r="F992" t="s">
        <v>13</v>
      </c>
      <c r="G992" t="s">
        <v>20</v>
      </c>
      <c r="H992" t="s">
        <v>21</v>
      </c>
      <c r="I992" t="s">
        <v>16</v>
      </c>
    </row>
    <row r="993" spans="1:9" x14ac:dyDescent="0.4">
      <c r="A993" t="s">
        <v>598</v>
      </c>
      <c r="B993" t="s">
        <v>57</v>
      </c>
      <c r="C993" t="s">
        <v>19</v>
      </c>
      <c r="D993">
        <v>80860</v>
      </c>
      <c r="E993" t="s">
        <v>597</v>
      </c>
      <c r="F993" t="s">
        <v>13</v>
      </c>
      <c r="G993" t="s">
        <v>20</v>
      </c>
      <c r="H993" t="s">
        <v>21</v>
      </c>
      <c r="I993" t="s">
        <v>16</v>
      </c>
    </row>
    <row r="994" spans="1:9" x14ac:dyDescent="0.4">
      <c r="A994" t="s">
        <v>599</v>
      </c>
      <c r="B994" t="s">
        <v>82</v>
      </c>
      <c r="C994" t="s">
        <v>19</v>
      </c>
      <c r="D994">
        <v>4651</v>
      </c>
      <c r="E994" t="s">
        <v>600</v>
      </c>
      <c r="F994" t="s">
        <v>13</v>
      </c>
      <c r="G994" t="s">
        <v>20</v>
      </c>
      <c r="H994" t="s">
        <v>21</v>
      </c>
      <c r="I994" t="s">
        <v>16</v>
      </c>
    </row>
    <row r="995" spans="1:9" x14ac:dyDescent="0.4">
      <c r="A995" t="s">
        <v>601</v>
      </c>
      <c r="B995" t="s">
        <v>138</v>
      </c>
      <c r="C995" t="s">
        <v>11</v>
      </c>
      <c r="D995">
        <v>54712</v>
      </c>
      <c r="E995" t="s">
        <v>600</v>
      </c>
      <c r="F995" t="s">
        <v>13</v>
      </c>
      <c r="G995" t="s">
        <v>20</v>
      </c>
      <c r="H995" t="s">
        <v>15</v>
      </c>
      <c r="I995" t="s">
        <v>16</v>
      </c>
    </row>
    <row r="996" spans="1:9" x14ac:dyDescent="0.4">
      <c r="A996" t="s">
        <v>602</v>
      </c>
      <c r="B996" t="s">
        <v>77</v>
      </c>
      <c r="C996" t="s">
        <v>19</v>
      </c>
      <c r="D996">
        <v>319177</v>
      </c>
      <c r="E996" t="s">
        <v>600</v>
      </c>
      <c r="F996" t="s">
        <v>13</v>
      </c>
      <c r="G996" t="s">
        <v>20</v>
      </c>
      <c r="H996" t="s">
        <v>21</v>
      </c>
      <c r="I996" t="s">
        <v>16</v>
      </c>
    </row>
    <row r="997" spans="1:9" x14ac:dyDescent="0.4">
      <c r="A997" t="s">
        <v>603</v>
      </c>
      <c r="B997" t="s">
        <v>604</v>
      </c>
      <c r="C997" t="s">
        <v>19</v>
      </c>
      <c r="D997">
        <v>14095</v>
      </c>
      <c r="E997" t="s">
        <v>605</v>
      </c>
      <c r="F997" t="s">
        <v>13</v>
      </c>
      <c r="G997" t="s">
        <v>20</v>
      </c>
      <c r="H997" t="s">
        <v>21</v>
      </c>
      <c r="I997" t="s">
        <v>16</v>
      </c>
    </row>
    <row r="998" spans="1:9" x14ac:dyDescent="0.4">
      <c r="A998" t="s">
        <v>560</v>
      </c>
      <c r="B998" t="s">
        <v>104</v>
      </c>
      <c r="C998" t="s">
        <v>11</v>
      </c>
      <c r="D998">
        <v>238615</v>
      </c>
      <c r="E998" t="s">
        <v>607</v>
      </c>
      <c r="F998" t="s">
        <v>13</v>
      </c>
      <c r="G998" t="s">
        <v>20</v>
      </c>
      <c r="H998" t="s">
        <v>15</v>
      </c>
      <c r="I998" t="s">
        <v>16</v>
      </c>
    </row>
    <row r="999" spans="1:9" x14ac:dyDescent="0.4">
      <c r="A999" t="s">
        <v>608</v>
      </c>
      <c r="B999" t="s">
        <v>104</v>
      </c>
      <c r="C999" t="s">
        <v>19</v>
      </c>
      <c r="D999">
        <v>3426</v>
      </c>
      <c r="E999" t="s">
        <v>607</v>
      </c>
      <c r="F999" t="s">
        <v>13</v>
      </c>
      <c r="G999" t="s">
        <v>20</v>
      </c>
      <c r="H999" t="s">
        <v>21</v>
      </c>
      <c r="I999" t="s">
        <v>16</v>
      </c>
    </row>
    <row r="1000" spans="1:9" x14ac:dyDescent="0.4">
      <c r="A1000" t="s">
        <v>609</v>
      </c>
      <c r="B1000" t="s">
        <v>57</v>
      </c>
      <c r="C1000" t="s">
        <v>19</v>
      </c>
      <c r="D1000">
        <v>27174</v>
      </c>
      <c r="E1000" t="s">
        <v>607</v>
      </c>
      <c r="F1000" t="s">
        <v>13</v>
      </c>
      <c r="G1000" t="s">
        <v>20</v>
      </c>
      <c r="H1000" t="s">
        <v>21</v>
      </c>
      <c r="I1000" t="s">
        <v>16</v>
      </c>
    </row>
    <row r="1001" spans="1:9" x14ac:dyDescent="0.4">
      <c r="A1001" t="s">
        <v>610</v>
      </c>
      <c r="B1001" t="s">
        <v>141</v>
      </c>
      <c r="C1001" t="s">
        <v>11</v>
      </c>
      <c r="D1001">
        <v>10929</v>
      </c>
      <c r="E1001" t="s">
        <v>611</v>
      </c>
      <c r="F1001" t="s">
        <v>13</v>
      </c>
      <c r="G1001" t="s">
        <v>20</v>
      </c>
      <c r="H1001" t="s">
        <v>15</v>
      </c>
      <c r="I1001" t="s">
        <v>16</v>
      </c>
    </row>
    <row r="1002" spans="1:9" x14ac:dyDescent="0.4">
      <c r="A1002" t="s">
        <v>612</v>
      </c>
      <c r="B1002" t="s">
        <v>47</v>
      </c>
      <c r="C1002" t="s">
        <v>34</v>
      </c>
      <c r="D1002">
        <v>500</v>
      </c>
      <c r="E1002" t="s">
        <v>611</v>
      </c>
      <c r="F1002" t="s">
        <v>13</v>
      </c>
      <c r="G1002" t="s">
        <v>20</v>
      </c>
      <c r="H1002" t="s">
        <v>21</v>
      </c>
      <c r="I1002" t="s">
        <v>16</v>
      </c>
    </row>
    <row r="1003" spans="1:9" x14ac:dyDescent="0.4">
      <c r="A1003" t="s">
        <v>613</v>
      </c>
      <c r="B1003" t="s">
        <v>75</v>
      </c>
      <c r="C1003" t="s">
        <v>34</v>
      </c>
      <c r="D1003">
        <v>21834</v>
      </c>
      <c r="E1003" t="s">
        <v>611</v>
      </c>
      <c r="F1003" t="s">
        <v>13</v>
      </c>
      <c r="G1003" t="s">
        <v>20</v>
      </c>
      <c r="H1003" t="s">
        <v>21</v>
      </c>
      <c r="I1003" t="s">
        <v>16</v>
      </c>
    </row>
    <row r="1004" spans="1:9" x14ac:dyDescent="0.4">
      <c r="A1004" t="s">
        <v>614</v>
      </c>
      <c r="B1004" t="s">
        <v>615</v>
      </c>
      <c r="C1004" t="s">
        <v>19</v>
      </c>
      <c r="D1004">
        <v>70555</v>
      </c>
      <c r="E1004" t="s">
        <v>611</v>
      </c>
      <c r="F1004" t="s">
        <v>13</v>
      </c>
      <c r="G1004" t="s">
        <v>20</v>
      </c>
      <c r="H1004" t="s">
        <v>21</v>
      </c>
      <c r="I1004" t="s">
        <v>16</v>
      </c>
    </row>
    <row r="1005" spans="1:9" x14ac:dyDescent="0.4">
      <c r="A1005" t="s">
        <v>616</v>
      </c>
      <c r="B1005" t="s">
        <v>26</v>
      </c>
      <c r="C1005" t="s">
        <v>19</v>
      </c>
      <c r="D1005">
        <v>501</v>
      </c>
      <c r="E1005" t="s">
        <v>617</v>
      </c>
      <c r="F1005" t="s">
        <v>13</v>
      </c>
      <c r="G1005" t="s">
        <v>20</v>
      </c>
      <c r="H1005" t="s">
        <v>21</v>
      </c>
      <c r="I1005" t="s">
        <v>16</v>
      </c>
    </row>
    <row r="1006" spans="1:9" x14ac:dyDescent="0.4">
      <c r="A1006" t="s">
        <v>619</v>
      </c>
      <c r="B1006" t="s">
        <v>47</v>
      </c>
      <c r="C1006" t="s">
        <v>19</v>
      </c>
      <c r="D1006">
        <v>25784</v>
      </c>
      <c r="E1006" t="s">
        <v>620</v>
      </c>
      <c r="F1006" t="s">
        <v>13</v>
      </c>
      <c r="G1006" t="s">
        <v>20</v>
      </c>
      <c r="H1006" t="s">
        <v>21</v>
      </c>
      <c r="I1006" t="s">
        <v>16</v>
      </c>
    </row>
    <row r="1007" spans="1:9" x14ac:dyDescent="0.4">
      <c r="A1007" t="s">
        <v>621</v>
      </c>
      <c r="B1007" t="s">
        <v>120</v>
      </c>
      <c r="C1007" t="s">
        <v>19</v>
      </c>
      <c r="D1007">
        <v>40051</v>
      </c>
      <c r="E1007" t="s">
        <v>622</v>
      </c>
      <c r="F1007" t="s">
        <v>13</v>
      </c>
      <c r="G1007" t="s">
        <v>20</v>
      </c>
      <c r="H1007" t="s">
        <v>21</v>
      </c>
      <c r="I1007" t="s">
        <v>16</v>
      </c>
    </row>
    <row r="1008" spans="1:9" x14ac:dyDescent="0.4">
      <c r="A1008" t="s">
        <v>626</v>
      </c>
      <c r="B1008" t="s">
        <v>627</v>
      </c>
      <c r="C1008" t="s">
        <v>34</v>
      </c>
      <c r="D1008">
        <v>817</v>
      </c>
      <c r="E1008" t="s">
        <v>628</v>
      </c>
      <c r="F1008" t="s">
        <v>13</v>
      </c>
      <c r="G1008" t="s">
        <v>20</v>
      </c>
      <c r="H1008" t="s">
        <v>21</v>
      </c>
      <c r="I1008" t="s">
        <v>16</v>
      </c>
    </row>
    <row r="1009" spans="1:9" x14ac:dyDescent="0.4">
      <c r="A1009" t="s">
        <v>629</v>
      </c>
      <c r="B1009" t="s">
        <v>71</v>
      </c>
      <c r="C1009" t="s">
        <v>19</v>
      </c>
      <c r="D1009">
        <v>4285</v>
      </c>
      <c r="E1009" t="s">
        <v>628</v>
      </c>
      <c r="F1009" t="s">
        <v>13</v>
      </c>
      <c r="G1009" t="s">
        <v>20</v>
      </c>
      <c r="H1009" t="s">
        <v>21</v>
      </c>
      <c r="I1009" t="s">
        <v>16</v>
      </c>
    </row>
    <row r="1010" spans="1:9" x14ac:dyDescent="0.4">
      <c r="A1010" t="s">
        <v>632</v>
      </c>
      <c r="B1010" t="s">
        <v>10</v>
      </c>
      <c r="C1010" t="s">
        <v>19</v>
      </c>
      <c r="D1010">
        <v>108967</v>
      </c>
      <c r="E1010" t="s">
        <v>631</v>
      </c>
      <c r="F1010" t="s">
        <v>13</v>
      </c>
      <c r="G1010" t="s">
        <v>20</v>
      </c>
      <c r="H1010" t="s">
        <v>21</v>
      </c>
      <c r="I1010" t="s">
        <v>16</v>
      </c>
    </row>
    <row r="1011" spans="1:9" x14ac:dyDescent="0.4">
      <c r="A1011" t="s">
        <v>633</v>
      </c>
      <c r="B1011" t="s">
        <v>138</v>
      </c>
      <c r="C1011" t="s">
        <v>19</v>
      </c>
      <c r="D1011">
        <v>200000</v>
      </c>
      <c r="E1011" t="s">
        <v>634</v>
      </c>
      <c r="F1011" t="s">
        <v>13</v>
      </c>
      <c r="G1011" t="s">
        <v>20</v>
      </c>
      <c r="H1011" t="s">
        <v>21</v>
      </c>
      <c r="I1011" t="s">
        <v>16</v>
      </c>
    </row>
    <row r="1012" spans="1:9" x14ac:dyDescent="0.4">
      <c r="A1012" t="s">
        <v>635</v>
      </c>
      <c r="B1012" t="s">
        <v>71</v>
      </c>
      <c r="C1012" t="s">
        <v>19</v>
      </c>
      <c r="D1012">
        <v>209560</v>
      </c>
      <c r="E1012" t="s">
        <v>634</v>
      </c>
      <c r="F1012" t="s">
        <v>13</v>
      </c>
      <c r="G1012" t="s">
        <v>20</v>
      </c>
      <c r="H1012" t="s">
        <v>21</v>
      </c>
      <c r="I1012" t="s">
        <v>16</v>
      </c>
    </row>
    <row r="1013" spans="1:9" x14ac:dyDescent="0.4">
      <c r="A1013" t="s">
        <v>636</v>
      </c>
      <c r="B1013" t="s">
        <v>60</v>
      </c>
      <c r="C1013" t="s">
        <v>19</v>
      </c>
      <c r="D1013">
        <v>976</v>
      </c>
      <c r="E1013" t="s">
        <v>634</v>
      </c>
      <c r="F1013" t="s">
        <v>13</v>
      </c>
      <c r="G1013" t="s">
        <v>20</v>
      </c>
      <c r="H1013" t="s">
        <v>21</v>
      </c>
      <c r="I1013" t="s">
        <v>16</v>
      </c>
    </row>
    <row r="1014" spans="1:9" x14ac:dyDescent="0.4">
      <c r="A1014" t="s">
        <v>637</v>
      </c>
      <c r="B1014" t="s">
        <v>71</v>
      </c>
      <c r="C1014" t="s">
        <v>19</v>
      </c>
      <c r="D1014">
        <v>57655</v>
      </c>
      <c r="E1014" t="s">
        <v>634</v>
      </c>
      <c r="F1014" t="s">
        <v>13</v>
      </c>
      <c r="G1014" t="s">
        <v>20</v>
      </c>
      <c r="H1014" t="s">
        <v>21</v>
      </c>
      <c r="I1014" t="s">
        <v>16</v>
      </c>
    </row>
    <row r="1015" spans="1:9" x14ac:dyDescent="0.4">
      <c r="A1015" t="s">
        <v>640</v>
      </c>
      <c r="B1015" t="s">
        <v>96</v>
      </c>
      <c r="C1015" t="s">
        <v>19</v>
      </c>
      <c r="D1015">
        <v>362713</v>
      </c>
      <c r="E1015" t="s">
        <v>639</v>
      </c>
      <c r="F1015" t="s">
        <v>13</v>
      </c>
      <c r="G1015" t="s">
        <v>20</v>
      </c>
      <c r="H1015" t="s">
        <v>21</v>
      </c>
      <c r="I1015" t="s">
        <v>16</v>
      </c>
    </row>
    <row r="1016" spans="1:9" x14ac:dyDescent="0.4">
      <c r="A1016" t="s">
        <v>644</v>
      </c>
      <c r="B1016" t="s">
        <v>251</v>
      </c>
      <c r="C1016" t="s">
        <v>11</v>
      </c>
      <c r="D1016">
        <v>1000</v>
      </c>
      <c r="E1016" t="s">
        <v>645</v>
      </c>
      <c r="F1016" t="s">
        <v>13</v>
      </c>
      <c r="G1016" t="s">
        <v>20</v>
      </c>
      <c r="H1016" t="s">
        <v>15</v>
      </c>
      <c r="I1016" t="s">
        <v>16</v>
      </c>
    </row>
    <row r="1017" spans="1:9" x14ac:dyDescent="0.4">
      <c r="A1017" t="s">
        <v>646</v>
      </c>
      <c r="B1017" t="s">
        <v>176</v>
      </c>
      <c r="C1017" t="s">
        <v>19</v>
      </c>
      <c r="D1017">
        <v>9536</v>
      </c>
      <c r="E1017" t="s">
        <v>647</v>
      </c>
      <c r="F1017" t="s">
        <v>13</v>
      </c>
      <c r="G1017" t="s">
        <v>20</v>
      </c>
      <c r="H1017" t="s">
        <v>21</v>
      </c>
      <c r="I1017" t="s">
        <v>16</v>
      </c>
    </row>
    <row r="1018" spans="1:9" x14ac:dyDescent="0.4">
      <c r="A1018" t="s">
        <v>648</v>
      </c>
      <c r="B1018" t="s">
        <v>64</v>
      </c>
      <c r="C1018" t="s">
        <v>19</v>
      </c>
      <c r="D1018">
        <v>1310</v>
      </c>
      <c r="E1018" t="s">
        <v>647</v>
      </c>
      <c r="F1018" t="s">
        <v>13</v>
      </c>
      <c r="G1018" t="s">
        <v>20</v>
      </c>
      <c r="H1018" t="s">
        <v>15</v>
      </c>
      <c r="I1018" t="s">
        <v>16</v>
      </c>
    </row>
    <row r="1019" spans="1:9" x14ac:dyDescent="0.4">
      <c r="A1019" t="s">
        <v>654</v>
      </c>
      <c r="B1019" t="s">
        <v>138</v>
      </c>
      <c r="C1019" t="s">
        <v>19</v>
      </c>
      <c r="D1019">
        <v>17979</v>
      </c>
      <c r="E1019" t="s">
        <v>655</v>
      </c>
      <c r="F1019" t="s">
        <v>13</v>
      </c>
      <c r="G1019" t="s">
        <v>20</v>
      </c>
      <c r="H1019" t="s">
        <v>21</v>
      </c>
      <c r="I1019" t="s">
        <v>16</v>
      </c>
    </row>
    <row r="1020" spans="1:9" x14ac:dyDescent="0.4">
      <c r="A1020" t="s">
        <v>656</v>
      </c>
      <c r="B1020" t="s">
        <v>325</v>
      </c>
      <c r="C1020" t="s">
        <v>19</v>
      </c>
      <c r="D1020">
        <v>43728</v>
      </c>
      <c r="E1020" t="s">
        <v>655</v>
      </c>
      <c r="F1020" t="s">
        <v>13</v>
      </c>
      <c r="G1020" t="s">
        <v>20</v>
      </c>
      <c r="H1020" t="s">
        <v>21</v>
      </c>
      <c r="I1020" t="s">
        <v>16</v>
      </c>
    </row>
    <row r="1021" spans="1:9" x14ac:dyDescent="0.4">
      <c r="A1021" t="s">
        <v>657</v>
      </c>
      <c r="B1021" t="s">
        <v>26</v>
      </c>
      <c r="C1021" t="s">
        <v>34</v>
      </c>
      <c r="D1021">
        <v>68111</v>
      </c>
      <c r="E1021" t="s">
        <v>655</v>
      </c>
      <c r="F1021" t="s">
        <v>13</v>
      </c>
      <c r="G1021" t="s">
        <v>20</v>
      </c>
      <c r="H1021" t="s">
        <v>21</v>
      </c>
      <c r="I1021" t="s">
        <v>16</v>
      </c>
    </row>
    <row r="1022" spans="1:9" x14ac:dyDescent="0.4">
      <c r="A1022" t="s">
        <v>658</v>
      </c>
      <c r="B1022" t="s">
        <v>77</v>
      </c>
      <c r="C1022" t="s">
        <v>11</v>
      </c>
      <c r="D1022">
        <v>198795</v>
      </c>
      <c r="E1022" t="s">
        <v>655</v>
      </c>
      <c r="F1022" t="s">
        <v>13</v>
      </c>
      <c r="G1022" t="s">
        <v>20</v>
      </c>
      <c r="H1022" t="s">
        <v>15</v>
      </c>
      <c r="I1022" t="s">
        <v>16</v>
      </c>
    </row>
    <row r="1023" spans="1:9" x14ac:dyDescent="0.4">
      <c r="A1023" t="s">
        <v>659</v>
      </c>
      <c r="B1023" t="s">
        <v>248</v>
      </c>
      <c r="C1023" t="s">
        <v>19</v>
      </c>
      <c r="D1023">
        <v>6588</v>
      </c>
      <c r="E1023" t="s">
        <v>660</v>
      </c>
      <c r="F1023" t="s">
        <v>13</v>
      </c>
      <c r="G1023" t="s">
        <v>20</v>
      </c>
      <c r="H1023" t="s">
        <v>21</v>
      </c>
      <c r="I1023" t="s">
        <v>16</v>
      </c>
    </row>
    <row r="1024" spans="1:9" x14ac:dyDescent="0.4">
      <c r="A1024" t="s">
        <v>661</v>
      </c>
      <c r="B1024" t="s">
        <v>251</v>
      </c>
      <c r="C1024" t="s">
        <v>11</v>
      </c>
      <c r="D1024">
        <v>501</v>
      </c>
      <c r="E1024" t="s">
        <v>662</v>
      </c>
      <c r="F1024" t="s">
        <v>13</v>
      </c>
      <c r="G1024" t="s">
        <v>20</v>
      </c>
      <c r="H1024" t="s">
        <v>15</v>
      </c>
      <c r="I1024" t="s">
        <v>16</v>
      </c>
    </row>
    <row r="1025" spans="1:9" x14ac:dyDescent="0.4">
      <c r="A1025" t="s">
        <v>665</v>
      </c>
      <c r="B1025" t="s">
        <v>86</v>
      </c>
      <c r="C1025" t="s">
        <v>19</v>
      </c>
      <c r="D1025">
        <v>500</v>
      </c>
      <c r="E1025" t="s">
        <v>666</v>
      </c>
      <c r="F1025" t="s">
        <v>13</v>
      </c>
      <c r="G1025" t="s">
        <v>20</v>
      </c>
      <c r="H1025" t="s">
        <v>21</v>
      </c>
      <c r="I1025" t="s">
        <v>16</v>
      </c>
    </row>
    <row r="1026" spans="1:9" x14ac:dyDescent="0.4">
      <c r="A1026" t="s">
        <v>672</v>
      </c>
      <c r="B1026" t="s">
        <v>28</v>
      </c>
      <c r="C1026" t="s">
        <v>11</v>
      </c>
      <c r="D1026">
        <v>62224658</v>
      </c>
      <c r="E1026" t="s">
        <v>673</v>
      </c>
      <c r="F1026" t="s">
        <v>13</v>
      </c>
      <c r="G1026" t="s">
        <v>20</v>
      </c>
      <c r="H1026" t="s">
        <v>15</v>
      </c>
      <c r="I1026" t="s">
        <v>16</v>
      </c>
    </row>
    <row r="1027" spans="1:9" x14ac:dyDescent="0.4">
      <c r="A1027" t="s">
        <v>674</v>
      </c>
      <c r="B1027" t="s">
        <v>136</v>
      </c>
      <c r="C1027" t="s">
        <v>11</v>
      </c>
      <c r="D1027">
        <v>579</v>
      </c>
      <c r="E1027" t="s">
        <v>675</v>
      </c>
      <c r="F1027" t="s">
        <v>13</v>
      </c>
      <c r="G1027" t="s">
        <v>20</v>
      </c>
      <c r="H1027" t="s">
        <v>15</v>
      </c>
      <c r="I1027" t="s">
        <v>16</v>
      </c>
    </row>
    <row r="1028" spans="1:9" x14ac:dyDescent="0.4">
      <c r="A1028" t="s">
        <v>676</v>
      </c>
      <c r="B1028" t="s">
        <v>627</v>
      </c>
      <c r="C1028" t="s">
        <v>19</v>
      </c>
      <c r="D1028">
        <v>75054</v>
      </c>
      <c r="E1028" t="s">
        <v>677</v>
      </c>
      <c r="F1028" t="s">
        <v>13</v>
      </c>
      <c r="G1028" t="s">
        <v>20</v>
      </c>
      <c r="H1028" t="s">
        <v>21</v>
      </c>
      <c r="I1028" t="s">
        <v>16</v>
      </c>
    </row>
    <row r="1029" spans="1:9" x14ac:dyDescent="0.4">
      <c r="A1029" t="s">
        <v>678</v>
      </c>
      <c r="B1029" t="s">
        <v>366</v>
      </c>
      <c r="C1029" t="s">
        <v>19</v>
      </c>
      <c r="D1029">
        <v>62238</v>
      </c>
      <c r="E1029" t="s">
        <v>677</v>
      </c>
      <c r="F1029" t="s">
        <v>13</v>
      </c>
      <c r="G1029" t="s">
        <v>20</v>
      </c>
      <c r="H1029" t="s">
        <v>21</v>
      </c>
      <c r="I1029" t="s">
        <v>16</v>
      </c>
    </row>
    <row r="1030" spans="1:9" x14ac:dyDescent="0.4">
      <c r="A1030" t="s">
        <v>680</v>
      </c>
      <c r="B1030" t="s">
        <v>77</v>
      </c>
      <c r="C1030" t="s">
        <v>19</v>
      </c>
      <c r="D1030">
        <v>18819</v>
      </c>
      <c r="E1030" t="s">
        <v>677</v>
      </c>
      <c r="F1030" t="s">
        <v>13</v>
      </c>
      <c r="G1030" t="s">
        <v>20</v>
      </c>
      <c r="H1030" t="s">
        <v>21</v>
      </c>
      <c r="I1030" t="s">
        <v>16</v>
      </c>
    </row>
    <row r="1031" spans="1:9" x14ac:dyDescent="0.4">
      <c r="A1031" t="s">
        <v>681</v>
      </c>
      <c r="B1031" t="s">
        <v>627</v>
      </c>
      <c r="C1031" t="s">
        <v>19</v>
      </c>
      <c r="D1031">
        <v>21866</v>
      </c>
      <c r="E1031" t="s">
        <v>682</v>
      </c>
      <c r="F1031" t="s">
        <v>13</v>
      </c>
      <c r="G1031" t="s">
        <v>20</v>
      </c>
      <c r="H1031" t="s">
        <v>21</v>
      </c>
      <c r="I1031" t="s">
        <v>16</v>
      </c>
    </row>
    <row r="1032" spans="1:9" x14ac:dyDescent="0.4">
      <c r="A1032" t="s">
        <v>683</v>
      </c>
      <c r="B1032" t="s">
        <v>356</v>
      </c>
      <c r="C1032" t="s">
        <v>34</v>
      </c>
      <c r="D1032">
        <v>103879</v>
      </c>
      <c r="E1032" t="s">
        <v>682</v>
      </c>
      <c r="F1032" t="s">
        <v>13</v>
      </c>
      <c r="G1032" t="s">
        <v>20</v>
      </c>
      <c r="H1032" t="s">
        <v>21</v>
      </c>
      <c r="I1032" t="s">
        <v>16</v>
      </c>
    </row>
    <row r="1033" spans="1:9" x14ac:dyDescent="0.4">
      <c r="A1033" t="s">
        <v>686</v>
      </c>
      <c r="B1033" t="s">
        <v>64</v>
      </c>
      <c r="C1033" t="s">
        <v>19</v>
      </c>
      <c r="D1033">
        <v>216000</v>
      </c>
      <c r="E1033" t="s">
        <v>687</v>
      </c>
      <c r="F1033" t="s">
        <v>13</v>
      </c>
      <c r="G1033" t="s">
        <v>20</v>
      </c>
      <c r="H1033" t="s">
        <v>21</v>
      </c>
      <c r="I1033" t="s">
        <v>16</v>
      </c>
    </row>
    <row r="1034" spans="1:9" x14ac:dyDescent="0.4">
      <c r="A1034" t="s">
        <v>690</v>
      </c>
      <c r="B1034" t="s">
        <v>71</v>
      </c>
      <c r="C1034" t="s">
        <v>19</v>
      </c>
      <c r="D1034">
        <v>1166</v>
      </c>
      <c r="E1034" t="s">
        <v>691</v>
      </c>
      <c r="F1034" t="s">
        <v>13</v>
      </c>
      <c r="G1034" t="s">
        <v>20</v>
      </c>
      <c r="H1034" t="s">
        <v>21</v>
      </c>
      <c r="I1034" t="s">
        <v>16</v>
      </c>
    </row>
    <row r="1035" spans="1:9" x14ac:dyDescent="0.4">
      <c r="A1035" t="s">
        <v>692</v>
      </c>
      <c r="B1035" t="s">
        <v>182</v>
      </c>
      <c r="C1035" t="s">
        <v>19</v>
      </c>
      <c r="D1035">
        <v>70129</v>
      </c>
      <c r="E1035" t="s">
        <v>691</v>
      </c>
      <c r="F1035" t="s">
        <v>13</v>
      </c>
      <c r="G1035" t="s">
        <v>20</v>
      </c>
      <c r="H1035" t="s">
        <v>21</v>
      </c>
      <c r="I1035" t="s">
        <v>16</v>
      </c>
    </row>
    <row r="1036" spans="1:9" x14ac:dyDescent="0.4">
      <c r="A1036" t="s">
        <v>693</v>
      </c>
      <c r="B1036" t="s">
        <v>57</v>
      </c>
      <c r="C1036" t="s">
        <v>19</v>
      </c>
      <c r="D1036">
        <v>11866</v>
      </c>
      <c r="E1036" t="s">
        <v>691</v>
      </c>
      <c r="F1036" t="s">
        <v>13</v>
      </c>
      <c r="G1036" t="s">
        <v>48</v>
      </c>
      <c r="H1036" t="s">
        <v>21</v>
      </c>
      <c r="I1036" t="s">
        <v>16</v>
      </c>
    </row>
    <row r="1037" spans="1:9" x14ac:dyDescent="0.4">
      <c r="A1037" t="s">
        <v>694</v>
      </c>
      <c r="B1037" t="s">
        <v>138</v>
      </c>
      <c r="C1037" t="s">
        <v>11</v>
      </c>
      <c r="D1037">
        <v>410491</v>
      </c>
      <c r="E1037" t="s">
        <v>695</v>
      </c>
      <c r="F1037" t="s">
        <v>13</v>
      </c>
      <c r="G1037" t="s">
        <v>20</v>
      </c>
      <c r="H1037" t="s">
        <v>15</v>
      </c>
      <c r="I1037" t="s">
        <v>16</v>
      </c>
    </row>
    <row r="1038" spans="1:9" x14ac:dyDescent="0.4">
      <c r="A1038" t="s">
        <v>696</v>
      </c>
      <c r="B1038" t="s">
        <v>55</v>
      </c>
      <c r="C1038" t="s">
        <v>11</v>
      </c>
      <c r="D1038">
        <v>501</v>
      </c>
      <c r="E1038" t="s">
        <v>697</v>
      </c>
      <c r="F1038" t="s">
        <v>13</v>
      </c>
      <c r="G1038" t="s">
        <v>20</v>
      </c>
      <c r="H1038" t="s">
        <v>15</v>
      </c>
      <c r="I1038" t="s">
        <v>16</v>
      </c>
    </row>
    <row r="1039" spans="1:9" x14ac:dyDescent="0.4">
      <c r="A1039" t="s">
        <v>698</v>
      </c>
      <c r="B1039" t="s">
        <v>86</v>
      </c>
      <c r="C1039" t="s">
        <v>11</v>
      </c>
      <c r="D1039">
        <v>2672036</v>
      </c>
      <c r="E1039" t="s">
        <v>697</v>
      </c>
      <c r="F1039" t="s">
        <v>13</v>
      </c>
      <c r="G1039" t="s">
        <v>20</v>
      </c>
      <c r="H1039" t="s">
        <v>15</v>
      </c>
      <c r="I1039" t="s">
        <v>16</v>
      </c>
    </row>
    <row r="1040" spans="1:9" x14ac:dyDescent="0.4">
      <c r="A1040" t="s">
        <v>699</v>
      </c>
      <c r="B1040" t="s">
        <v>182</v>
      </c>
      <c r="C1040" t="s">
        <v>19</v>
      </c>
      <c r="D1040">
        <v>11538</v>
      </c>
      <c r="E1040" t="s">
        <v>697</v>
      </c>
      <c r="F1040" t="s">
        <v>13</v>
      </c>
      <c r="G1040" t="s">
        <v>20</v>
      </c>
      <c r="H1040" t="s">
        <v>21</v>
      </c>
      <c r="I1040" t="s">
        <v>16</v>
      </c>
    </row>
    <row r="1041" spans="1:9" x14ac:dyDescent="0.4">
      <c r="A1041" t="s">
        <v>700</v>
      </c>
      <c r="B1041" t="s">
        <v>55</v>
      </c>
      <c r="C1041" t="s">
        <v>19</v>
      </c>
      <c r="D1041">
        <v>13083</v>
      </c>
      <c r="E1041" t="s">
        <v>701</v>
      </c>
      <c r="F1041" t="s">
        <v>13</v>
      </c>
      <c r="G1041" t="s">
        <v>20</v>
      </c>
      <c r="H1041" t="s">
        <v>21</v>
      </c>
      <c r="I1041" t="s">
        <v>16</v>
      </c>
    </row>
    <row r="1042" spans="1:9" x14ac:dyDescent="0.4">
      <c r="A1042" t="s">
        <v>704</v>
      </c>
      <c r="B1042" t="s">
        <v>366</v>
      </c>
      <c r="C1042" t="s">
        <v>19</v>
      </c>
      <c r="D1042">
        <v>27001</v>
      </c>
      <c r="E1042" t="s">
        <v>703</v>
      </c>
      <c r="F1042" t="s">
        <v>13</v>
      </c>
      <c r="G1042" t="s">
        <v>20</v>
      </c>
      <c r="H1042" t="s">
        <v>21</v>
      </c>
      <c r="I1042" t="s">
        <v>16</v>
      </c>
    </row>
    <row r="1043" spans="1:9" x14ac:dyDescent="0.4">
      <c r="A1043" t="s">
        <v>705</v>
      </c>
      <c r="B1043" t="s">
        <v>28</v>
      </c>
      <c r="C1043" t="s">
        <v>19</v>
      </c>
      <c r="D1043">
        <v>1428</v>
      </c>
      <c r="E1043" t="s">
        <v>706</v>
      </c>
      <c r="F1043" t="s">
        <v>13</v>
      </c>
      <c r="G1043" t="s">
        <v>20</v>
      </c>
      <c r="H1043" t="s">
        <v>21</v>
      </c>
      <c r="I1043" t="s">
        <v>16</v>
      </c>
    </row>
    <row r="1044" spans="1:9" x14ac:dyDescent="0.4">
      <c r="A1044" t="s">
        <v>707</v>
      </c>
      <c r="B1044" t="s">
        <v>28</v>
      </c>
      <c r="C1044" t="s">
        <v>19</v>
      </c>
      <c r="D1044">
        <v>501</v>
      </c>
      <c r="E1044" t="s">
        <v>708</v>
      </c>
      <c r="F1044" t="s">
        <v>13</v>
      </c>
      <c r="G1044" t="s">
        <v>20</v>
      </c>
      <c r="H1044" t="s">
        <v>21</v>
      </c>
      <c r="I1044" t="s">
        <v>16</v>
      </c>
    </row>
    <row r="1045" spans="1:9" x14ac:dyDescent="0.4">
      <c r="A1045" t="s">
        <v>709</v>
      </c>
      <c r="B1045" t="s">
        <v>251</v>
      </c>
      <c r="C1045" t="s">
        <v>19</v>
      </c>
      <c r="D1045">
        <v>97217</v>
      </c>
      <c r="E1045" t="s">
        <v>708</v>
      </c>
      <c r="F1045" t="s">
        <v>13</v>
      </c>
      <c r="G1045" t="s">
        <v>20</v>
      </c>
      <c r="H1045" t="s">
        <v>21</v>
      </c>
      <c r="I1045" t="s">
        <v>16</v>
      </c>
    </row>
    <row r="1046" spans="1:9" x14ac:dyDescent="0.4">
      <c r="A1046" t="s">
        <v>710</v>
      </c>
      <c r="B1046" t="s">
        <v>116</v>
      </c>
      <c r="C1046" t="s">
        <v>19</v>
      </c>
      <c r="D1046">
        <v>169017</v>
      </c>
      <c r="E1046" t="s">
        <v>711</v>
      </c>
      <c r="F1046" t="s">
        <v>13</v>
      </c>
      <c r="G1046" t="s">
        <v>20</v>
      </c>
      <c r="H1046" t="s">
        <v>21</v>
      </c>
      <c r="I1046" t="s">
        <v>16</v>
      </c>
    </row>
    <row r="1047" spans="1:9" x14ac:dyDescent="0.4">
      <c r="A1047" t="s">
        <v>715</v>
      </c>
      <c r="B1047" t="s">
        <v>138</v>
      </c>
      <c r="C1047" t="s">
        <v>19</v>
      </c>
      <c r="D1047">
        <v>23899</v>
      </c>
      <c r="E1047" t="s">
        <v>716</v>
      </c>
      <c r="F1047" t="s">
        <v>13</v>
      </c>
      <c r="G1047" t="s">
        <v>20</v>
      </c>
      <c r="H1047" t="s">
        <v>21</v>
      </c>
      <c r="I1047" t="s">
        <v>16</v>
      </c>
    </row>
    <row r="1048" spans="1:9" x14ac:dyDescent="0.4">
      <c r="A1048" t="s">
        <v>718</v>
      </c>
      <c r="B1048" t="s">
        <v>86</v>
      </c>
      <c r="C1048" t="s">
        <v>11</v>
      </c>
      <c r="D1048">
        <v>43009</v>
      </c>
      <c r="E1048" t="s">
        <v>719</v>
      </c>
      <c r="F1048" t="s">
        <v>13</v>
      </c>
      <c r="G1048" t="s">
        <v>20</v>
      </c>
      <c r="H1048" t="s">
        <v>15</v>
      </c>
      <c r="I1048" t="s">
        <v>16</v>
      </c>
    </row>
    <row r="1049" spans="1:9" x14ac:dyDescent="0.4">
      <c r="A1049" t="s">
        <v>720</v>
      </c>
      <c r="B1049" t="s">
        <v>30</v>
      </c>
      <c r="C1049" t="s">
        <v>19</v>
      </c>
      <c r="D1049">
        <v>501</v>
      </c>
      <c r="E1049" t="s">
        <v>721</v>
      </c>
      <c r="F1049" t="s">
        <v>13</v>
      </c>
      <c r="G1049" t="s">
        <v>20</v>
      </c>
      <c r="H1049" t="s">
        <v>21</v>
      </c>
      <c r="I1049" t="s">
        <v>16</v>
      </c>
    </row>
    <row r="1050" spans="1:9" x14ac:dyDescent="0.4">
      <c r="A1050" t="s">
        <v>722</v>
      </c>
      <c r="B1050" t="s">
        <v>77</v>
      </c>
      <c r="C1050" t="s">
        <v>19</v>
      </c>
      <c r="D1050">
        <v>246711</v>
      </c>
      <c r="E1050" t="s">
        <v>721</v>
      </c>
      <c r="F1050" t="s">
        <v>13</v>
      </c>
      <c r="G1050" t="s">
        <v>20</v>
      </c>
      <c r="H1050" t="s">
        <v>21</v>
      </c>
      <c r="I1050" t="s">
        <v>16</v>
      </c>
    </row>
    <row r="1051" spans="1:9" x14ac:dyDescent="0.4">
      <c r="A1051" t="s">
        <v>725</v>
      </c>
      <c r="B1051" t="s">
        <v>77</v>
      </c>
      <c r="C1051" t="s">
        <v>19</v>
      </c>
      <c r="D1051">
        <v>152691</v>
      </c>
      <c r="E1051" t="s">
        <v>726</v>
      </c>
      <c r="F1051" t="s">
        <v>13</v>
      </c>
      <c r="G1051" t="s">
        <v>20</v>
      </c>
      <c r="H1051" t="s">
        <v>21</v>
      </c>
      <c r="I1051" t="s">
        <v>16</v>
      </c>
    </row>
    <row r="1052" spans="1:9" x14ac:dyDescent="0.4">
      <c r="A1052" t="s">
        <v>727</v>
      </c>
      <c r="B1052" t="s">
        <v>26</v>
      </c>
      <c r="C1052" t="s">
        <v>34</v>
      </c>
      <c r="D1052">
        <v>19231</v>
      </c>
      <c r="E1052" t="s">
        <v>726</v>
      </c>
      <c r="F1052" t="s">
        <v>13</v>
      </c>
      <c r="G1052" t="s">
        <v>20</v>
      </c>
      <c r="H1052" t="s">
        <v>21</v>
      </c>
      <c r="I1052" t="s">
        <v>16</v>
      </c>
    </row>
    <row r="1053" spans="1:9" x14ac:dyDescent="0.4">
      <c r="A1053" t="s">
        <v>728</v>
      </c>
      <c r="B1053" t="s">
        <v>366</v>
      </c>
      <c r="C1053" t="s">
        <v>11</v>
      </c>
      <c r="D1053">
        <v>501</v>
      </c>
      <c r="E1053" t="s">
        <v>729</v>
      </c>
      <c r="F1053" t="s">
        <v>13</v>
      </c>
      <c r="G1053" t="s">
        <v>20</v>
      </c>
      <c r="H1053" t="s">
        <v>15</v>
      </c>
      <c r="I1053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zoomScale="87" workbookViewId="0"/>
  </sheetViews>
  <sheetFormatPr defaultRowHeight="14.6" x14ac:dyDescent="0.4"/>
  <cols>
    <col min="1" max="1" width="13.07421875" customWidth="1"/>
    <col min="2" max="2" width="23.07421875" customWidth="1"/>
    <col min="3" max="3" width="28.53515625" customWidth="1"/>
    <col min="4" max="4" width="26.3828125" customWidth="1"/>
    <col min="5" max="5" width="23.07421875" customWidth="1"/>
  </cols>
  <sheetData>
    <row r="1" spans="1:5" ht="18" x14ac:dyDescent="0.45">
      <c r="A1" s="1" t="s">
        <v>1164</v>
      </c>
      <c r="B1" s="1" t="s">
        <v>1165</v>
      </c>
      <c r="C1" s="3" t="s">
        <v>1166</v>
      </c>
      <c r="D1" s="3" t="s">
        <v>1167</v>
      </c>
      <c r="E1" s="3" t="s">
        <v>1168</v>
      </c>
    </row>
    <row r="2" spans="1:5" ht="18" x14ac:dyDescent="0.45">
      <c r="A2" s="1">
        <v>45537</v>
      </c>
      <c r="B2" s="2">
        <v>1</v>
      </c>
      <c r="C2" s="3"/>
      <c r="D2" s="3"/>
      <c r="E2" s="3"/>
    </row>
    <row r="3" spans="1:5" ht="18" x14ac:dyDescent="0.45">
      <c r="A3" s="1">
        <v>45544</v>
      </c>
      <c r="B3" s="2">
        <v>2</v>
      </c>
      <c r="C3" s="3"/>
      <c r="D3" s="3"/>
      <c r="E3" s="3"/>
    </row>
    <row r="4" spans="1:5" ht="18" x14ac:dyDescent="0.45">
      <c r="A4" s="1">
        <v>45551</v>
      </c>
      <c r="B4" s="2">
        <v>3</v>
      </c>
      <c r="C4" s="3"/>
      <c r="D4" s="3"/>
      <c r="E4" s="3"/>
    </row>
    <row r="5" spans="1:5" ht="18" x14ac:dyDescent="0.45">
      <c r="A5" s="1">
        <v>45565</v>
      </c>
      <c r="B5" s="2">
        <v>1</v>
      </c>
      <c r="C5" s="3"/>
      <c r="D5" s="3"/>
      <c r="E5" s="3"/>
    </row>
    <row r="6" spans="1:5" ht="18" x14ac:dyDescent="0.45">
      <c r="A6" s="1">
        <v>45572</v>
      </c>
      <c r="B6" s="2">
        <v>5</v>
      </c>
      <c r="C6" s="3"/>
      <c r="D6" s="3"/>
      <c r="E6" s="3"/>
    </row>
    <row r="7" spans="1:5" ht="18" x14ac:dyDescent="0.45">
      <c r="A7" s="1">
        <v>45579</v>
      </c>
      <c r="B7" s="2">
        <v>5</v>
      </c>
      <c r="C7" s="3"/>
      <c r="D7" s="3"/>
      <c r="E7" s="3"/>
    </row>
    <row r="8" spans="1:5" ht="18" x14ac:dyDescent="0.45">
      <c r="A8" s="1">
        <v>45586</v>
      </c>
      <c r="B8" s="2">
        <v>2</v>
      </c>
      <c r="C8" s="3"/>
      <c r="D8" s="3"/>
      <c r="E8" s="3"/>
    </row>
    <row r="9" spans="1:5" ht="18" x14ac:dyDescent="0.45">
      <c r="A9" s="1">
        <v>45593</v>
      </c>
      <c r="B9" s="2">
        <v>2</v>
      </c>
      <c r="C9" s="3"/>
      <c r="D9" s="3"/>
      <c r="E9" s="3"/>
    </row>
    <row r="10" spans="1:5" ht="18" x14ac:dyDescent="0.45">
      <c r="A10" s="1">
        <v>45600</v>
      </c>
      <c r="B10" s="2">
        <v>3</v>
      </c>
      <c r="C10" s="3"/>
      <c r="D10" s="3"/>
      <c r="E10" s="3"/>
    </row>
    <row r="11" spans="1:5" ht="18" x14ac:dyDescent="0.45">
      <c r="A11" s="1">
        <v>45607</v>
      </c>
      <c r="B11" s="2">
        <v>5</v>
      </c>
      <c r="C11" s="3"/>
      <c r="D11" s="3"/>
      <c r="E11" s="3"/>
    </row>
    <row r="12" spans="1:5" ht="18" x14ac:dyDescent="0.45">
      <c r="A12" s="1">
        <v>45614</v>
      </c>
      <c r="B12" s="2">
        <v>4</v>
      </c>
      <c r="C12" s="3"/>
      <c r="D12" s="3"/>
      <c r="E12" s="3"/>
    </row>
    <row r="13" spans="1:5" ht="18" x14ac:dyDescent="0.45">
      <c r="A13" s="1">
        <v>45621</v>
      </c>
      <c r="B13" s="2">
        <v>4</v>
      </c>
      <c r="C13" s="3"/>
      <c r="D13" s="3"/>
      <c r="E13" s="3"/>
    </row>
    <row r="14" spans="1:5" ht="18" x14ac:dyDescent="0.45">
      <c r="A14" s="1">
        <v>45635</v>
      </c>
      <c r="B14" s="2">
        <v>2</v>
      </c>
      <c r="C14" s="3"/>
      <c r="D14" s="3"/>
      <c r="E14" s="3"/>
    </row>
    <row r="15" spans="1:5" ht="18" x14ac:dyDescent="0.45">
      <c r="A15" s="1">
        <v>45642</v>
      </c>
      <c r="B15" s="2">
        <v>4</v>
      </c>
      <c r="C15" s="3"/>
      <c r="D15" s="3"/>
      <c r="E15" s="3"/>
    </row>
    <row r="16" spans="1:5" ht="18" x14ac:dyDescent="0.45">
      <c r="A16" s="1">
        <v>45649</v>
      </c>
      <c r="B16" s="2">
        <v>2</v>
      </c>
      <c r="C16" s="3"/>
      <c r="D16" s="3"/>
      <c r="E16" s="3"/>
    </row>
    <row r="17" spans="1:5" ht="18" x14ac:dyDescent="0.45">
      <c r="A17" s="1">
        <v>45656</v>
      </c>
      <c r="B17" s="2">
        <v>5</v>
      </c>
      <c r="C17" s="3"/>
      <c r="D17" s="3"/>
      <c r="E17" s="3"/>
    </row>
    <row r="18" spans="1:5" ht="18" x14ac:dyDescent="0.45">
      <c r="A18" s="1">
        <v>45663</v>
      </c>
      <c r="B18" s="2">
        <v>2</v>
      </c>
      <c r="C18" s="3"/>
      <c r="D18" s="3"/>
      <c r="E18" s="3"/>
    </row>
    <row r="19" spans="1:5" ht="18" x14ac:dyDescent="0.45">
      <c r="A19" s="1">
        <v>45670</v>
      </c>
      <c r="B19" s="2">
        <v>4</v>
      </c>
      <c r="C19" s="3"/>
      <c r="D19" s="3"/>
      <c r="E19" s="3"/>
    </row>
    <row r="20" spans="1:5" ht="18" x14ac:dyDescent="0.45">
      <c r="A20" s="1">
        <v>45677</v>
      </c>
      <c r="B20" s="2">
        <v>3</v>
      </c>
      <c r="C20" s="3"/>
      <c r="D20" s="3"/>
      <c r="E20" s="3"/>
    </row>
    <row r="21" spans="1:5" ht="18" x14ac:dyDescent="0.45">
      <c r="A21" s="1">
        <v>45684</v>
      </c>
      <c r="B21" s="2">
        <v>4</v>
      </c>
      <c r="C21" s="3"/>
      <c r="D21" s="3"/>
      <c r="E21" s="3"/>
    </row>
    <row r="22" spans="1:5" ht="18" x14ac:dyDescent="0.45">
      <c r="A22" s="1">
        <v>45691</v>
      </c>
      <c r="B22" s="2">
        <v>1</v>
      </c>
      <c r="C22" s="3"/>
      <c r="D22" s="3"/>
      <c r="E22" s="3"/>
    </row>
    <row r="23" spans="1:5" ht="18" x14ac:dyDescent="0.45">
      <c r="A23" s="1">
        <v>45698</v>
      </c>
      <c r="B23" s="2">
        <v>7</v>
      </c>
      <c r="C23" s="3"/>
      <c r="D23" s="3"/>
      <c r="E23" s="3"/>
    </row>
    <row r="24" spans="1:5" ht="18" x14ac:dyDescent="0.45">
      <c r="A24" s="1">
        <v>45712</v>
      </c>
      <c r="B24" s="2">
        <v>8</v>
      </c>
      <c r="C24" s="3"/>
      <c r="D24" s="3"/>
      <c r="E24" s="3"/>
    </row>
    <row r="25" spans="1:5" ht="18" x14ac:dyDescent="0.45">
      <c r="A25" s="1">
        <v>45719</v>
      </c>
      <c r="B25" s="2">
        <v>4</v>
      </c>
      <c r="C25" s="3"/>
      <c r="D25" s="3"/>
      <c r="E25" s="3"/>
    </row>
    <row r="26" spans="1:5" ht="18" x14ac:dyDescent="0.45">
      <c r="A26" s="1">
        <v>45726</v>
      </c>
      <c r="B26" s="2">
        <v>4</v>
      </c>
      <c r="C26" s="3"/>
      <c r="D26" s="3"/>
      <c r="E26" s="3"/>
    </row>
    <row r="27" spans="1:5" ht="18" x14ac:dyDescent="0.45">
      <c r="A27" s="1">
        <v>45733</v>
      </c>
      <c r="B27" s="2">
        <v>8</v>
      </c>
      <c r="C27" s="3"/>
      <c r="D27" s="3"/>
      <c r="E27" s="3"/>
    </row>
    <row r="28" spans="1:5" ht="18" x14ac:dyDescent="0.45">
      <c r="A28" s="1">
        <v>45740</v>
      </c>
      <c r="B28" s="2">
        <v>5</v>
      </c>
      <c r="C28" s="3"/>
      <c r="D28" s="3"/>
      <c r="E28" s="3"/>
    </row>
    <row r="29" spans="1:5" ht="18" x14ac:dyDescent="0.45">
      <c r="A29" s="1">
        <v>45747</v>
      </c>
      <c r="B29" s="2">
        <v>8</v>
      </c>
      <c r="C29" s="3"/>
      <c r="D29" s="3"/>
      <c r="E29" s="3"/>
    </row>
    <row r="30" spans="1:5" ht="18" x14ac:dyDescent="0.45">
      <c r="A30" s="1">
        <v>45754</v>
      </c>
      <c r="B30" s="2">
        <v>7</v>
      </c>
      <c r="C30" s="3"/>
      <c r="D30" s="3"/>
      <c r="E30" s="3"/>
    </row>
    <row r="31" spans="1:5" ht="18" x14ac:dyDescent="0.45">
      <c r="A31" s="1">
        <v>45761</v>
      </c>
      <c r="B31" s="2">
        <v>2</v>
      </c>
      <c r="C31" s="3"/>
      <c r="D31" s="3"/>
      <c r="E31" s="3"/>
    </row>
    <row r="32" spans="1:5" ht="18" x14ac:dyDescent="0.45">
      <c r="A32" s="1">
        <v>45768</v>
      </c>
      <c r="B32" s="2">
        <v>7</v>
      </c>
      <c r="C32" s="3"/>
      <c r="D32" s="3"/>
      <c r="E32" s="3"/>
    </row>
    <row r="33" spans="1:5" ht="18" x14ac:dyDescent="0.45">
      <c r="A33" s="1">
        <v>45775</v>
      </c>
      <c r="B33" s="2">
        <v>9</v>
      </c>
      <c r="C33" s="3"/>
      <c r="D33" s="3"/>
      <c r="E33" s="3"/>
    </row>
    <row r="34" spans="1:5" ht="18" x14ac:dyDescent="0.45">
      <c r="A34" s="1">
        <v>45782</v>
      </c>
      <c r="B34" s="2">
        <v>6</v>
      </c>
      <c r="C34" s="3"/>
      <c r="D34" s="3"/>
      <c r="E34" s="3"/>
    </row>
    <row r="35" spans="1:5" ht="18" x14ac:dyDescent="0.45">
      <c r="A35" s="1">
        <v>45789</v>
      </c>
      <c r="B35" s="2">
        <v>8</v>
      </c>
      <c r="C35" s="3"/>
      <c r="D35" s="3"/>
      <c r="E35" s="3"/>
    </row>
    <row r="36" spans="1:5" ht="18" x14ac:dyDescent="0.45">
      <c r="A36" s="1">
        <v>45796</v>
      </c>
      <c r="B36" s="2">
        <v>5</v>
      </c>
      <c r="C36" s="3"/>
      <c r="D36" s="3"/>
      <c r="E36" s="3"/>
    </row>
    <row r="37" spans="1:5" ht="18" x14ac:dyDescent="0.45">
      <c r="A37" s="1">
        <v>45803</v>
      </c>
      <c r="B37" s="2">
        <v>10</v>
      </c>
      <c r="C37" s="3"/>
      <c r="D37" s="3"/>
      <c r="E37" s="3"/>
    </row>
    <row r="38" spans="1:5" ht="18" x14ac:dyDescent="0.45">
      <c r="A38" s="1">
        <v>45810</v>
      </c>
      <c r="B38" s="2">
        <v>8</v>
      </c>
      <c r="C38" s="3"/>
      <c r="D38" s="3"/>
      <c r="E38" s="3"/>
    </row>
    <row r="39" spans="1:5" ht="18" x14ac:dyDescent="0.45">
      <c r="A39" s="1">
        <v>45817</v>
      </c>
      <c r="B39" s="2">
        <v>9</v>
      </c>
      <c r="C39" s="3"/>
      <c r="D39" s="3"/>
      <c r="E39" s="3"/>
    </row>
    <row r="40" spans="1:5" ht="18" x14ac:dyDescent="0.45">
      <c r="A40" s="1">
        <v>45824</v>
      </c>
      <c r="B40" s="2">
        <v>8</v>
      </c>
      <c r="C40" s="3"/>
      <c r="D40" s="3"/>
      <c r="E40" s="3"/>
    </row>
    <row r="41" spans="1:5" ht="18" x14ac:dyDescent="0.45">
      <c r="A41" s="1">
        <v>45831</v>
      </c>
      <c r="B41" s="2">
        <v>7</v>
      </c>
      <c r="C41" s="3"/>
      <c r="D41" s="3"/>
      <c r="E41" s="3"/>
    </row>
    <row r="42" spans="1:5" ht="18" x14ac:dyDescent="0.45">
      <c r="A42" s="1">
        <v>45838</v>
      </c>
      <c r="B42" s="2">
        <v>10</v>
      </c>
      <c r="C42" s="3"/>
      <c r="D42" s="3"/>
      <c r="E42" s="3"/>
    </row>
    <row r="43" spans="1:5" ht="18" x14ac:dyDescent="0.45">
      <c r="A43" s="1">
        <v>45845</v>
      </c>
      <c r="B43" s="2">
        <v>7</v>
      </c>
      <c r="C43" s="3"/>
      <c r="D43" s="3"/>
      <c r="E43" s="3"/>
    </row>
    <row r="44" spans="1:5" ht="18" x14ac:dyDescent="0.45">
      <c r="A44" s="1">
        <v>45852</v>
      </c>
      <c r="B44" s="2">
        <v>4</v>
      </c>
      <c r="C44" s="3"/>
      <c r="D44" s="3"/>
      <c r="E44" s="3"/>
    </row>
    <row r="45" spans="1:5" ht="18" x14ac:dyDescent="0.45">
      <c r="A45" s="1">
        <v>45859</v>
      </c>
      <c r="B45" s="2">
        <v>7</v>
      </c>
      <c r="C45" s="3"/>
      <c r="D45" s="3"/>
      <c r="E45" s="3"/>
    </row>
    <row r="46" spans="1:5" ht="18" x14ac:dyDescent="0.45">
      <c r="A46" s="1">
        <v>45866</v>
      </c>
      <c r="B46" s="2">
        <v>9</v>
      </c>
      <c r="C46" s="3"/>
      <c r="D46" s="3"/>
      <c r="E46" s="3"/>
    </row>
    <row r="47" spans="1:5" ht="18" x14ac:dyDescent="0.45">
      <c r="A47" s="1">
        <v>45873</v>
      </c>
      <c r="B47" s="2">
        <v>8</v>
      </c>
      <c r="C47" s="3"/>
      <c r="D47" s="3"/>
      <c r="E47" s="3"/>
    </row>
    <row r="48" spans="1:5" ht="18" x14ac:dyDescent="0.45">
      <c r="A48" s="1">
        <v>45880</v>
      </c>
      <c r="B48" s="2">
        <v>9</v>
      </c>
      <c r="C48" s="3"/>
      <c r="D48" s="3"/>
      <c r="E48" s="3"/>
    </row>
    <row r="49" spans="1:5" ht="18" x14ac:dyDescent="0.45">
      <c r="A49" s="1">
        <v>45887</v>
      </c>
      <c r="B49" s="2">
        <v>14</v>
      </c>
      <c r="C49" s="3"/>
      <c r="D49" s="3"/>
      <c r="E49" s="3"/>
    </row>
    <row r="50" spans="1:5" ht="18" x14ac:dyDescent="0.45">
      <c r="A50" s="1">
        <v>45894</v>
      </c>
      <c r="B50" s="2">
        <v>9</v>
      </c>
      <c r="C50" s="3"/>
      <c r="D50" s="3"/>
      <c r="E50" s="3"/>
    </row>
    <row r="51" spans="1:5" ht="18" x14ac:dyDescent="0.45">
      <c r="A51" s="1">
        <v>45901</v>
      </c>
      <c r="B51" s="2">
        <v>12</v>
      </c>
      <c r="C51" s="3"/>
      <c r="D51" s="3"/>
      <c r="E51" s="3"/>
    </row>
    <row r="52" spans="1:5" ht="18" x14ac:dyDescent="0.45">
      <c r="A52" s="1">
        <v>45908</v>
      </c>
      <c r="B52" s="2">
        <v>9</v>
      </c>
      <c r="C52" s="3"/>
      <c r="D52" s="3"/>
      <c r="E52" s="3"/>
    </row>
    <row r="53" spans="1:5" ht="18" x14ac:dyDescent="0.45">
      <c r="A53" s="1">
        <v>45915</v>
      </c>
      <c r="B53" s="2">
        <v>11</v>
      </c>
      <c r="C53" s="3"/>
      <c r="D53" s="3"/>
      <c r="E53" s="3"/>
    </row>
    <row r="54" spans="1:5" ht="18" x14ac:dyDescent="0.45">
      <c r="A54" s="1">
        <v>45922</v>
      </c>
      <c r="B54" s="2">
        <v>15</v>
      </c>
      <c r="C54" s="3"/>
      <c r="D54" s="3"/>
      <c r="E54" s="3"/>
    </row>
    <row r="55" spans="1:5" ht="18" x14ac:dyDescent="0.45">
      <c r="A55" s="1">
        <v>45929</v>
      </c>
      <c r="B55" s="2">
        <v>8</v>
      </c>
      <c r="C55" s="3"/>
      <c r="D55" s="3"/>
      <c r="E55" s="3"/>
    </row>
    <row r="56" spans="1:5" ht="18" x14ac:dyDescent="0.45">
      <c r="A56" s="1">
        <v>45936</v>
      </c>
      <c r="B56" s="2">
        <v>14</v>
      </c>
      <c r="C56" s="3"/>
      <c r="D56" s="3"/>
      <c r="E56" s="3"/>
    </row>
    <row r="57" spans="1:5" ht="18" x14ac:dyDescent="0.45">
      <c r="A57" s="1">
        <v>45943</v>
      </c>
      <c r="B57" s="2">
        <v>15</v>
      </c>
      <c r="C57" s="3"/>
      <c r="D57" s="3"/>
      <c r="E57" s="3"/>
    </row>
    <row r="58" spans="1:5" ht="18" x14ac:dyDescent="0.45">
      <c r="A58" s="1">
        <v>45950</v>
      </c>
      <c r="B58" s="2">
        <v>9</v>
      </c>
      <c r="C58" s="3"/>
      <c r="D58" s="3"/>
      <c r="E58" s="3"/>
    </row>
    <row r="59" spans="1:5" ht="18" x14ac:dyDescent="0.45">
      <c r="A59" s="1">
        <v>45957</v>
      </c>
      <c r="B59" s="2">
        <v>13</v>
      </c>
      <c r="C59" s="3"/>
      <c r="D59" s="3"/>
      <c r="E59" s="3"/>
    </row>
    <row r="60" spans="1:5" ht="18" x14ac:dyDescent="0.45">
      <c r="A60" s="1">
        <v>45964</v>
      </c>
      <c r="B60" s="2">
        <v>9</v>
      </c>
      <c r="C60" s="3"/>
      <c r="D60" s="3"/>
      <c r="E60" s="3"/>
    </row>
    <row r="61" spans="1:5" ht="18" x14ac:dyDescent="0.45">
      <c r="A61" s="1">
        <v>45971</v>
      </c>
      <c r="B61" s="2">
        <v>2</v>
      </c>
      <c r="C61" s="3"/>
      <c r="D61" s="3"/>
      <c r="E61" s="3"/>
    </row>
    <row r="62" spans="1:5" ht="18" x14ac:dyDescent="0.45">
      <c r="A62" s="1">
        <v>45978</v>
      </c>
      <c r="B62" s="2">
        <v>22</v>
      </c>
      <c r="C62" s="3"/>
      <c r="D62" s="3"/>
      <c r="E62" s="3"/>
    </row>
    <row r="63" spans="1:5" ht="18" x14ac:dyDescent="0.45">
      <c r="A63" s="1">
        <v>45985</v>
      </c>
      <c r="B63" s="2">
        <v>21</v>
      </c>
      <c r="C63" s="3"/>
      <c r="D63" s="3"/>
      <c r="E63" s="3"/>
    </row>
    <row r="64" spans="1:5" ht="18" x14ac:dyDescent="0.45">
      <c r="A64" s="1">
        <v>45992</v>
      </c>
      <c r="B64" s="2">
        <v>19</v>
      </c>
      <c r="C64" s="3"/>
      <c r="D64" s="3"/>
      <c r="E64" s="3"/>
    </row>
    <row r="65" spans="1:5" ht="18" x14ac:dyDescent="0.45">
      <c r="A65" s="1">
        <v>45999</v>
      </c>
      <c r="B65" s="2">
        <v>21</v>
      </c>
      <c r="C65" s="3"/>
      <c r="D65" s="3"/>
      <c r="E65" s="3"/>
    </row>
    <row r="66" spans="1:5" ht="18" x14ac:dyDescent="0.45">
      <c r="A66" s="1">
        <v>46006</v>
      </c>
      <c r="B66" s="2">
        <v>10</v>
      </c>
      <c r="C66" s="3"/>
      <c r="D66" s="3"/>
      <c r="E66" s="3"/>
    </row>
    <row r="67" spans="1:5" ht="18" x14ac:dyDescent="0.45">
      <c r="A67" s="1">
        <v>46013</v>
      </c>
      <c r="B67" s="2">
        <v>7</v>
      </c>
      <c r="C67" s="3"/>
      <c r="D67" s="3"/>
      <c r="E67" s="3"/>
    </row>
    <row r="68" spans="1:5" ht="18" x14ac:dyDescent="0.45">
      <c r="A68" s="1">
        <v>46020</v>
      </c>
      <c r="B68" s="2">
        <v>11</v>
      </c>
      <c r="C68" s="3"/>
      <c r="D68" s="3"/>
      <c r="E68" s="3"/>
    </row>
    <row r="69" spans="1:5" ht="18" x14ac:dyDescent="0.45">
      <c r="A69" s="1">
        <v>46027</v>
      </c>
      <c r="B69" s="2">
        <v>21</v>
      </c>
      <c r="C69" s="3"/>
      <c r="D69" s="3"/>
      <c r="E69" s="3"/>
    </row>
    <row r="70" spans="1:5" ht="18" x14ac:dyDescent="0.45">
      <c r="A70" s="1">
        <v>46034</v>
      </c>
      <c r="B70" s="2">
        <v>15</v>
      </c>
      <c r="C70" s="3"/>
      <c r="D70" s="3"/>
      <c r="E70" s="3"/>
    </row>
    <row r="71" spans="1:5" ht="18" x14ac:dyDescent="0.45">
      <c r="A71" s="1">
        <v>46041</v>
      </c>
      <c r="B71" s="2">
        <v>9</v>
      </c>
      <c r="C71" s="3"/>
      <c r="D71" s="3"/>
      <c r="E71" s="3"/>
    </row>
    <row r="72" spans="1:5" ht="18" x14ac:dyDescent="0.45">
      <c r="A72" s="1">
        <v>46048</v>
      </c>
      <c r="B72" s="2">
        <v>10</v>
      </c>
      <c r="C72" s="3"/>
      <c r="D72" s="3"/>
      <c r="E72" s="3"/>
    </row>
    <row r="73" spans="1:5" ht="18" x14ac:dyDescent="0.45">
      <c r="A73" s="1">
        <v>46055</v>
      </c>
      <c r="B73" s="2">
        <v>15</v>
      </c>
      <c r="C73" s="3"/>
      <c r="D73" s="3"/>
      <c r="E73" s="3"/>
    </row>
    <row r="74" spans="1:5" ht="18" x14ac:dyDescent="0.45">
      <c r="A74" s="1">
        <v>46062</v>
      </c>
      <c r="B74" s="2">
        <v>20</v>
      </c>
      <c r="C74" s="3"/>
      <c r="D74" s="3"/>
      <c r="E74" s="3"/>
    </row>
    <row r="75" spans="1:5" ht="18" x14ac:dyDescent="0.45">
      <c r="A75" s="1">
        <v>46069</v>
      </c>
      <c r="B75" s="2">
        <v>15</v>
      </c>
      <c r="C75" s="3"/>
      <c r="D75" s="3"/>
      <c r="E75" s="3"/>
    </row>
    <row r="76" spans="1:5" ht="18" x14ac:dyDescent="0.45">
      <c r="A76" s="1">
        <v>46076</v>
      </c>
      <c r="B76" s="2">
        <v>15</v>
      </c>
      <c r="C76" s="3"/>
      <c r="D76" s="3"/>
      <c r="E76" s="3"/>
    </row>
    <row r="77" spans="1:5" ht="18" x14ac:dyDescent="0.45">
      <c r="A77" s="1">
        <v>46083</v>
      </c>
      <c r="B77" s="2">
        <v>16</v>
      </c>
      <c r="C77" s="3"/>
      <c r="D77" s="3"/>
      <c r="E77" s="3"/>
    </row>
    <row r="78" spans="1:5" ht="18" x14ac:dyDescent="0.45">
      <c r="A78" s="1">
        <v>46090</v>
      </c>
      <c r="B78" s="2">
        <v>14</v>
      </c>
      <c r="C78" s="3"/>
      <c r="D78" s="3"/>
      <c r="E78" s="3"/>
    </row>
    <row r="79" spans="1:5" ht="18" x14ac:dyDescent="0.45">
      <c r="A79" s="1">
        <v>46097</v>
      </c>
      <c r="B79" s="2">
        <v>15</v>
      </c>
      <c r="C79" s="3"/>
      <c r="D79" s="3"/>
      <c r="E79" s="3"/>
    </row>
    <row r="80" spans="1:5" ht="18" x14ac:dyDescent="0.45">
      <c r="A80" s="1">
        <v>46104</v>
      </c>
      <c r="B80" s="2">
        <v>30</v>
      </c>
      <c r="C80" s="3"/>
      <c r="D80" s="3"/>
      <c r="E80" s="3"/>
    </row>
    <row r="81" spans="1:5" ht="18" x14ac:dyDescent="0.45">
      <c r="A81" s="1">
        <v>46111</v>
      </c>
      <c r="B81" s="2">
        <v>17</v>
      </c>
      <c r="C81" s="3"/>
      <c r="D81" s="3"/>
      <c r="E81" s="3"/>
    </row>
    <row r="82" spans="1:5" ht="18" x14ac:dyDescent="0.45">
      <c r="A82" s="1">
        <v>46118</v>
      </c>
      <c r="B82" s="2">
        <v>14</v>
      </c>
      <c r="C82" s="3"/>
      <c r="D82" s="3"/>
      <c r="E82" s="3"/>
    </row>
    <row r="83" spans="1:5" ht="18" x14ac:dyDescent="0.45">
      <c r="A83" s="1">
        <v>46125</v>
      </c>
      <c r="B83" s="2">
        <v>11</v>
      </c>
      <c r="C83" s="3"/>
      <c r="D83" s="3"/>
      <c r="E83" s="3"/>
    </row>
    <row r="84" spans="1:5" ht="18" x14ac:dyDescent="0.45">
      <c r="A84" s="1">
        <v>46132</v>
      </c>
      <c r="B84" s="2">
        <v>18</v>
      </c>
      <c r="C84" s="3"/>
      <c r="D84" s="3"/>
      <c r="E84" s="3"/>
    </row>
    <row r="85" spans="1:5" ht="18" x14ac:dyDescent="0.45">
      <c r="A85" s="1">
        <v>46139</v>
      </c>
      <c r="B85" s="2">
        <v>19</v>
      </c>
      <c r="C85" s="3"/>
      <c r="D85" s="3"/>
      <c r="E85" s="3"/>
    </row>
    <row r="86" spans="1:5" ht="18" x14ac:dyDescent="0.45">
      <c r="A86" s="1">
        <v>46146</v>
      </c>
      <c r="B86" s="2">
        <v>19</v>
      </c>
      <c r="C86" s="3"/>
      <c r="D86" s="3"/>
      <c r="E86" s="3"/>
    </row>
    <row r="87" spans="1:5" ht="18" x14ac:dyDescent="0.45">
      <c r="A87" s="1">
        <v>46153</v>
      </c>
      <c r="B87" s="2">
        <v>14</v>
      </c>
      <c r="C87" s="3"/>
      <c r="D87" s="3"/>
      <c r="E87" s="3"/>
    </row>
    <row r="88" spans="1:5" ht="18" x14ac:dyDescent="0.45">
      <c r="A88" s="1">
        <v>46160</v>
      </c>
      <c r="B88" s="2">
        <v>30</v>
      </c>
      <c r="C88" s="3"/>
      <c r="D88" s="3"/>
      <c r="E88" s="3"/>
    </row>
    <row r="89" spans="1:5" ht="18" x14ac:dyDescent="0.45">
      <c r="A89" s="1">
        <v>46167</v>
      </c>
      <c r="B89" s="2">
        <v>9</v>
      </c>
      <c r="C89" s="3"/>
      <c r="D89" s="3"/>
      <c r="E89" s="3"/>
    </row>
    <row r="90" spans="1:5" ht="18" x14ac:dyDescent="0.45">
      <c r="A90" s="1">
        <v>46174</v>
      </c>
      <c r="B90" s="2">
        <v>31</v>
      </c>
      <c r="C90" s="3"/>
      <c r="D90" s="3"/>
      <c r="E90" s="3"/>
    </row>
    <row r="91" spans="1:5" ht="18" x14ac:dyDescent="0.45">
      <c r="A91" s="1">
        <v>46181</v>
      </c>
      <c r="B91" s="2">
        <v>12</v>
      </c>
      <c r="C91" s="3"/>
      <c r="D91" s="3"/>
      <c r="E91" s="3"/>
    </row>
    <row r="92" spans="1:5" ht="18" x14ac:dyDescent="0.45">
      <c r="A92" s="1">
        <v>46188</v>
      </c>
      <c r="B92" s="2">
        <v>23</v>
      </c>
      <c r="C92" s="3"/>
      <c r="D92" s="3"/>
      <c r="E92" s="3"/>
    </row>
    <row r="93" spans="1:5" ht="18" x14ac:dyDescent="0.45">
      <c r="A93" s="1">
        <v>46195</v>
      </c>
      <c r="B93" s="2">
        <v>18</v>
      </c>
      <c r="C93" s="3"/>
      <c r="D93" s="3"/>
      <c r="E93" s="3"/>
    </row>
    <row r="94" spans="1:5" ht="18" x14ac:dyDescent="0.45">
      <c r="A94" s="1">
        <v>46202</v>
      </c>
      <c r="B94" s="2">
        <v>17</v>
      </c>
      <c r="C94" s="3"/>
      <c r="D94" s="3"/>
      <c r="E94" s="3"/>
    </row>
    <row r="95" spans="1:5" ht="18" x14ac:dyDescent="0.45">
      <c r="A95" s="1">
        <v>46209</v>
      </c>
      <c r="B95" s="2">
        <v>16</v>
      </c>
      <c r="C95" s="3"/>
      <c r="D95" s="3"/>
      <c r="E95" s="3"/>
    </row>
    <row r="96" spans="1:5" ht="18" x14ac:dyDescent="0.45">
      <c r="A96" s="1">
        <v>46216</v>
      </c>
      <c r="B96" s="2">
        <v>26</v>
      </c>
      <c r="C96" s="3"/>
      <c r="D96" s="3"/>
      <c r="E96" s="3"/>
    </row>
    <row r="97" spans="1:5" ht="18" x14ac:dyDescent="0.45">
      <c r="A97" s="1">
        <v>46223</v>
      </c>
      <c r="B97" s="2">
        <v>12</v>
      </c>
      <c r="C97" s="3"/>
      <c r="D97" s="3"/>
      <c r="E97" s="3"/>
    </row>
    <row r="98" spans="1:5" ht="18" x14ac:dyDescent="0.45">
      <c r="A98" s="1">
        <v>46230</v>
      </c>
      <c r="B98" s="2">
        <v>29</v>
      </c>
      <c r="C98" s="3"/>
      <c r="D98" s="3"/>
      <c r="E98" s="3"/>
    </row>
    <row r="99" spans="1:5" ht="18" x14ac:dyDescent="0.45">
      <c r="A99" s="1">
        <v>46237</v>
      </c>
      <c r="B99" s="2">
        <v>8</v>
      </c>
      <c r="C99" s="3"/>
      <c r="D99" s="3"/>
      <c r="E99" s="3"/>
    </row>
    <row r="100" spans="1:5" ht="18" x14ac:dyDescent="0.45">
      <c r="A100" s="1">
        <v>46244</v>
      </c>
      <c r="B100" s="2">
        <v>5</v>
      </c>
      <c r="C100" s="3"/>
      <c r="D100" s="3"/>
      <c r="E100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"/>
  <sheetViews>
    <sheetView showGridLines="0" topLeftCell="M1" zoomScale="55" zoomScaleNormal="55" workbookViewId="0">
      <pane ySplit="1" topLeftCell="A2" activePane="bottomLeft" state="frozen"/>
      <selection pane="bottomLeft"/>
    </sheetView>
  </sheetViews>
  <sheetFormatPr defaultRowHeight="14.6" x14ac:dyDescent="0.4"/>
  <cols>
    <col min="1" max="1" width="10" customWidth="1"/>
    <col min="2" max="8" width="18" customWidth="1"/>
    <col min="10" max="11" width="10" customWidth="1"/>
    <col min="12" max="12" width="14.3046875" customWidth="1"/>
    <col min="13" max="13" width="22" customWidth="1"/>
    <col min="14" max="14" width="21.07421875" customWidth="1"/>
    <col min="15" max="15" width="20.53515625" customWidth="1"/>
    <col min="16" max="16" width="10" customWidth="1"/>
    <col min="17" max="17" width="14.3046875" customWidth="1"/>
    <col min="18" max="18" width="22" customWidth="1"/>
    <col min="19" max="19" width="21.07421875" customWidth="1"/>
    <col min="20" max="20" width="20.53515625" customWidth="1"/>
    <col min="21" max="21" width="22.15234375" customWidth="1"/>
    <col min="22" max="22" width="14.765625" customWidth="1"/>
    <col min="23" max="23" width="3.61328125" customWidth="1"/>
  </cols>
  <sheetData>
    <row r="1" spans="1:22" ht="42" customHeight="1" x14ac:dyDescent="0.45">
      <c r="A1" s="1" t="s">
        <v>1169</v>
      </c>
      <c r="B1" s="1" t="s">
        <v>1170</v>
      </c>
      <c r="C1" s="1" t="s">
        <v>1171</v>
      </c>
      <c r="D1" s="1" t="s">
        <v>1172</v>
      </c>
      <c r="E1" s="1" t="s">
        <v>1173</v>
      </c>
      <c r="F1" s="1" t="s">
        <v>1174</v>
      </c>
      <c r="G1" s="1" t="s">
        <v>1175</v>
      </c>
      <c r="H1" s="1" t="s">
        <v>1176</v>
      </c>
      <c r="I1" s="1"/>
      <c r="J1" s="1"/>
      <c r="K1" s="1"/>
      <c r="L1" s="1"/>
      <c r="M1" s="1" t="s">
        <v>1177</v>
      </c>
      <c r="N1" s="1" t="s">
        <v>1178</v>
      </c>
      <c r="O1" s="1"/>
      <c r="P1" s="1" t="s">
        <v>1179</v>
      </c>
      <c r="Q1" s="1" t="s">
        <v>1180</v>
      </c>
      <c r="R1" s="1" t="s">
        <v>1181</v>
      </c>
      <c r="S1" s="1" t="s">
        <v>1182</v>
      </c>
      <c r="T1" s="1" t="s">
        <v>1183</v>
      </c>
      <c r="U1" s="1" t="s">
        <v>1184</v>
      </c>
      <c r="V1" s="1" t="s">
        <v>1185</v>
      </c>
    </row>
    <row r="2" spans="1:22" ht="18" x14ac:dyDescent="0.45">
      <c r="A2" s="2">
        <v>2</v>
      </c>
      <c r="B2" s="2">
        <f>Лист2!B3</f>
        <v>2</v>
      </c>
      <c r="C2" s="2">
        <f>MAX(Лист2!$B$2:B2)</f>
        <v>1</v>
      </c>
      <c r="D2" s="2">
        <f>MIN(Лист2!$B$2:B2)</f>
        <v>1</v>
      </c>
      <c r="E2" s="2">
        <f>IF(B2&gt;C2,1,0)</f>
        <v>1</v>
      </c>
      <c r="F2" s="2">
        <f>IF(B2&lt;D2,1,0)</f>
        <v>0</v>
      </c>
      <c r="G2" s="2">
        <f>E2-F2</f>
        <v>1</v>
      </c>
      <c r="H2" s="10">
        <f>1/A2</f>
        <v>0.5</v>
      </c>
      <c r="I2" s="2">
        <f>A2+Лист2!B2</f>
        <v>3</v>
      </c>
      <c r="J2" s="2">
        <f>Лист2!B2^2+A2^2</f>
        <v>5</v>
      </c>
      <c r="K2" s="2">
        <f>B2+Лист2!B2</f>
        <v>3</v>
      </c>
      <c r="L2" s="2">
        <f>A2*B2+'Фостер Стюарт'!B2</f>
        <v>6</v>
      </c>
      <c r="M2" s="23">
        <f>1406/885</f>
        <v>1.5887005649717514</v>
      </c>
      <c r="N2" s="23">
        <f>2878/17995</f>
        <v>0.15993331480966935</v>
      </c>
      <c r="O2" s="2"/>
      <c r="P2" s="2">
        <v>1</v>
      </c>
      <c r="Q2" s="11">
        <f>Лист2!A2</f>
        <v>45537</v>
      </c>
      <c r="R2" s="12">
        <f>Лист2!B2</f>
        <v>1</v>
      </c>
      <c r="S2" s="24">
        <f>$M$2</f>
        <v>1.5887005649717514</v>
      </c>
      <c r="T2" s="10">
        <f>$N$2*P2</f>
        <v>0.15993331480966935</v>
      </c>
      <c r="U2" s="24">
        <f>S2+T2</f>
        <v>1.7486338797814207</v>
      </c>
      <c r="V2" s="18" t="str">
        <f t="shared" ref="V2:V33" si="0">IF(P2&lt;=60,"Наблюдение","Упреждение")</f>
        <v>Наблюдение</v>
      </c>
    </row>
    <row r="3" spans="1:22" ht="18" x14ac:dyDescent="0.45">
      <c r="A3" s="2">
        <v>3</v>
      </c>
      <c r="B3" s="2">
        <f>Лист2!B4</f>
        <v>3</v>
      </c>
      <c r="C3" s="2">
        <f>MAX(Лист2!$B$2:B3)</f>
        <v>2</v>
      </c>
      <c r="D3" s="2">
        <f>MIN(Лист2!$B$2:B3)</f>
        <v>1</v>
      </c>
      <c r="E3" s="2">
        <f t="shared" ref="E3:E33" si="1">IF(B3&gt;C3,1,0)</f>
        <v>1</v>
      </c>
      <c r="F3" s="2">
        <f t="shared" ref="F3:F33" si="2">IF(B3&lt;D3,1,0)</f>
        <v>0</v>
      </c>
      <c r="G3" s="2">
        <f t="shared" ref="G3:G33" si="3">E3-F3</f>
        <v>1</v>
      </c>
      <c r="H3" s="10">
        <f t="shared" ref="H3:H33" si="4">1/A3</f>
        <v>0.33333333333333331</v>
      </c>
      <c r="I3" s="2">
        <f>A3+I2</f>
        <v>6</v>
      </c>
      <c r="J3" s="2">
        <f>A3^2+J2</f>
        <v>14</v>
      </c>
      <c r="K3" s="2">
        <f>B3+K2</f>
        <v>6</v>
      </c>
      <c r="L3" s="2">
        <f>A3*B3+L2</f>
        <v>15</v>
      </c>
      <c r="M3" s="2"/>
      <c r="N3" s="2"/>
      <c r="O3" s="2"/>
      <c r="P3" s="2">
        <v>2</v>
      </c>
      <c r="Q3" s="11">
        <f>Лист2!A3</f>
        <v>45544</v>
      </c>
      <c r="R3" s="12">
        <f>Лист2!B3</f>
        <v>2</v>
      </c>
      <c r="S3" s="24">
        <f t="shared" ref="S3:S66" si="5">$M$2</f>
        <v>1.5887005649717514</v>
      </c>
      <c r="T3" s="10">
        <f t="shared" ref="T3:T66" si="6">$N$2*P3</f>
        <v>0.3198666296193387</v>
      </c>
      <c r="U3" s="10">
        <f t="shared" ref="U3:U33" si="7">S3+T3</f>
        <v>1.90856719459109</v>
      </c>
      <c r="V3" s="18" t="str">
        <f t="shared" si="0"/>
        <v>Наблюдение</v>
      </c>
    </row>
    <row r="4" spans="1:22" ht="18" x14ac:dyDescent="0.45">
      <c r="A4" s="2">
        <v>4</v>
      </c>
      <c r="B4" s="2">
        <f>Лист2!B5</f>
        <v>1</v>
      </c>
      <c r="C4" s="2">
        <f>MAX(Лист2!$B$2:B4)</f>
        <v>3</v>
      </c>
      <c r="D4" s="2">
        <f>MIN(Лист2!$B$2:B4)</f>
        <v>1</v>
      </c>
      <c r="E4" s="2">
        <f t="shared" si="1"/>
        <v>0</v>
      </c>
      <c r="F4" s="2">
        <f t="shared" si="2"/>
        <v>0</v>
      </c>
      <c r="G4" s="2">
        <f t="shared" si="3"/>
        <v>0</v>
      </c>
      <c r="H4" s="10">
        <f t="shared" si="4"/>
        <v>0.25</v>
      </c>
      <c r="I4" s="2">
        <f t="shared" ref="I4:I60" si="8">A4+I3</f>
        <v>10</v>
      </c>
      <c r="J4" s="2">
        <f t="shared" ref="J4:J60" si="9">A4^2+J3</f>
        <v>30</v>
      </c>
      <c r="K4" s="2">
        <f t="shared" ref="K4:K60" si="10">B4+K3</f>
        <v>7</v>
      </c>
      <c r="L4" s="2">
        <f t="shared" ref="L4:L60" si="11">A4*B4+L3</f>
        <v>19</v>
      </c>
      <c r="M4" s="2"/>
      <c r="N4" s="2"/>
      <c r="O4" s="2"/>
      <c r="P4" s="2">
        <v>3</v>
      </c>
      <c r="Q4" s="11">
        <f>Лист2!A4</f>
        <v>45551</v>
      </c>
      <c r="R4" s="12">
        <f>Лист2!B4</f>
        <v>3</v>
      </c>
      <c r="S4" s="24">
        <f t="shared" si="5"/>
        <v>1.5887005649717514</v>
      </c>
      <c r="T4" s="10">
        <f t="shared" si="6"/>
        <v>0.47979994442900809</v>
      </c>
      <c r="U4" s="10">
        <f t="shared" si="7"/>
        <v>2.0685005094007596</v>
      </c>
      <c r="V4" s="18" t="str">
        <f t="shared" si="0"/>
        <v>Наблюдение</v>
      </c>
    </row>
    <row r="5" spans="1:22" ht="18" x14ac:dyDescent="0.45">
      <c r="A5" s="2">
        <v>5</v>
      </c>
      <c r="B5" s="2">
        <f>Лист2!B6</f>
        <v>5</v>
      </c>
      <c r="C5" s="2">
        <f>MAX(Лист2!$B$2:B5)</f>
        <v>3</v>
      </c>
      <c r="D5" s="2">
        <f>MIN(Лист2!$B$2:B5)</f>
        <v>1</v>
      </c>
      <c r="E5" s="2">
        <f t="shared" si="1"/>
        <v>1</v>
      </c>
      <c r="F5" s="2">
        <f t="shared" si="2"/>
        <v>0</v>
      </c>
      <c r="G5" s="2">
        <f t="shared" si="3"/>
        <v>1</v>
      </c>
      <c r="H5" s="10">
        <f t="shared" si="4"/>
        <v>0.2</v>
      </c>
      <c r="I5" s="2">
        <f t="shared" si="8"/>
        <v>15</v>
      </c>
      <c r="J5" s="2">
        <f t="shared" si="9"/>
        <v>55</v>
      </c>
      <c r="K5" s="2">
        <f t="shared" si="10"/>
        <v>12</v>
      </c>
      <c r="L5" s="2">
        <f t="shared" si="11"/>
        <v>44</v>
      </c>
      <c r="M5" s="2"/>
      <c r="N5" s="2"/>
      <c r="O5" s="2"/>
      <c r="P5" s="2">
        <v>4</v>
      </c>
      <c r="Q5" s="11">
        <f>Лист2!A5</f>
        <v>45565</v>
      </c>
      <c r="R5" s="12">
        <f>Лист2!B5</f>
        <v>1</v>
      </c>
      <c r="S5" s="24">
        <f t="shared" si="5"/>
        <v>1.5887005649717514</v>
      </c>
      <c r="T5" s="10">
        <f t="shared" si="6"/>
        <v>0.63973325923867741</v>
      </c>
      <c r="U5" s="10">
        <f t="shared" si="7"/>
        <v>2.2284338242104287</v>
      </c>
      <c r="V5" s="18" t="str">
        <f t="shared" si="0"/>
        <v>Наблюдение</v>
      </c>
    </row>
    <row r="6" spans="1:22" ht="18" x14ac:dyDescent="0.45">
      <c r="A6" s="2">
        <v>6</v>
      </c>
      <c r="B6" s="2">
        <f>Лист2!B7</f>
        <v>5</v>
      </c>
      <c r="C6" s="2">
        <f>MAX(Лист2!$B$2:B6)</f>
        <v>5</v>
      </c>
      <c r="D6" s="2">
        <f>MIN(Лист2!$B$2:B6)</f>
        <v>1</v>
      </c>
      <c r="E6" s="2">
        <f t="shared" si="1"/>
        <v>0</v>
      </c>
      <c r="F6" s="2">
        <f t="shared" si="2"/>
        <v>0</v>
      </c>
      <c r="G6" s="2">
        <f t="shared" si="3"/>
        <v>0</v>
      </c>
      <c r="H6" s="10">
        <f t="shared" si="4"/>
        <v>0.16666666666666666</v>
      </c>
      <c r="I6" s="2">
        <f t="shared" si="8"/>
        <v>21</v>
      </c>
      <c r="J6" s="2">
        <f t="shared" si="9"/>
        <v>91</v>
      </c>
      <c r="K6" s="2">
        <f t="shared" si="10"/>
        <v>17</v>
      </c>
      <c r="L6" s="2">
        <f t="shared" si="11"/>
        <v>74</v>
      </c>
      <c r="M6" s="2"/>
      <c r="N6" s="2"/>
      <c r="O6" s="2"/>
      <c r="P6" s="2">
        <v>5</v>
      </c>
      <c r="Q6" s="11">
        <f>Лист2!A6</f>
        <v>45572</v>
      </c>
      <c r="R6" s="12">
        <f>Лист2!B6</f>
        <v>5</v>
      </c>
      <c r="S6" s="24">
        <f t="shared" si="5"/>
        <v>1.5887005649717514</v>
      </c>
      <c r="T6" s="10">
        <f t="shared" si="6"/>
        <v>0.79966657404834673</v>
      </c>
      <c r="U6" s="10">
        <f t="shared" si="7"/>
        <v>2.3883671390200982</v>
      </c>
      <c r="V6" s="18" t="str">
        <f t="shared" si="0"/>
        <v>Наблюдение</v>
      </c>
    </row>
    <row r="7" spans="1:22" ht="18" x14ac:dyDescent="0.45">
      <c r="A7" s="2">
        <v>7</v>
      </c>
      <c r="B7" s="2">
        <f>Лист2!B8</f>
        <v>2</v>
      </c>
      <c r="C7" s="2">
        <f>MAX(Лист2!$B$2:B7)</f>
        <v>5</v>
      </c>
      <c r="D7" s="2">
        <f>MIN(Лист2!$B$2:B7)</f>
        <v>1</v>
      </c>
      <c r="E7" s="2">
        <f t="shared" si="1"/>
        <v>0</v>
      </c>
      <c r="F7" s="2">
        <f t="shared" si="2"/>
        <v>0</v>
      </c>
      <c r="G7" s="2">
        <f t="shared" si="3"/>
        <v>0</v>
      </c>
      <c r="H7" s="10">
        <f t="shared" si="4"/>
        <v>0.14285714285714285</v>
      </c>
      <c r="I7" s="2">
        <f t="shared" si="8"/>
        <v>28</v>
      </c>
      <c r="J7" s="2">
        <f t="shared" si="9"/>
        <v>140</v>
      </c>
      <c r="K7" s="2">
        <f t="shared" si="10"/>
        <v>19</v>
      </c>
      <c r="L7" s="2">
        <f t="shared" si="11"/>
        <v>88</v>
      </c>
      <c r="M7" s="2"/>
      <c r="N7" s="2"/>
      <c r="O7" s="2"/>
      <c r="P7" s="2">
        <v>6</v>
      </c>
      <c r="Q7" s="11">
        <f>Лист2!A7</f>
        <v>45579</v>
      </c>
      <c r="R7" s="12">
        <f>Лист2!B7</f>
        <v>5</v>
      </c>
      <c r="S7" s="24">
        <f t="shared" si="5"/>
        <v>1.5887005649717514</v>
      </c>
      <c r="T7" s="10">
        <f t="shared" si="6"/>
        <v>0.95959988885801617</v>
      </c>
      <c r="U7" s="10">
        <f t="shared" si="7"/>
        <v>2.5483004538297678</v>
      </c>
      <c r="V7" s="18" t="str">
        <f t="shared" si="0"/>
        <v>Наблюдение</v>
      </c>
    </row>
    <row r="8" spans="1:22" ht="18" x14ac:dyDescent="0.45">
      <c r="A8" s="2">
        <v>8</v>
      </c>
      <c r="B8" s="2">
        <f>Лист2!B9</f>
        <v>2</v>
      </c>
      <c r="C8" s="2">
        <f>MAX(Лист2!$B$2:B8)</f>
        <v>5</v>
      </c>
      <c r="D8" s="2">
        <f>MIN(Лист2!$B$2:B8)</f>
        <v>1</v>
      </c>
      <c r="E8" s="2">
        <f t="shared" si="1"/>
        <v>0</v>
      </c>
      <c r="F8" s="2">
        <f t="shared" si="2"/>
        <v>0</v>
      </c>
      <c r="G8" s="2">
        <f t="shared" si="3"/>
        <v>0</v>
      </c>
      <c r="H8" s="10">
        <f t="shared" si="4"/>
        <v>0.125</v>
      </c>
      <c r="I8" s="2">
        <f t="shared" si="8"/>
        <v>36</v>
      </c>
      <c r="J8" s="2">
        <f t="shared" si="9"/>
        <v>204</v>
      </c>
      <c r="K8" s="2">
        <f t="shared" si="10"/>
        <v>21</v>
      </c>
      <c r="L8" s="2">
        <f t="shared" si="11"/>
        <v>104</v>
      </c>
      <c r="M8" s="2"/>
      <c r="N8" s="2"/>
      <c r="O8" s="2"/>
      <c r="P8" s="2">
        <v>7</v>
      </c>
      <c r="Q8" s="11">
        <f>Лист2!A8</f>
        <v>45586</v>
      </c>
      <c r="R8" s="12">
        <f>Лист2!B8</f>
        <v>2</v>
      </c>
      <c r="S8" s="24">
        <f t="shared" si="5"/>
        <v>1.5887005649717514</v>
      </c>
      <c r="T8" s="10">
        <f t="shared" si="6"/>
        <v>1.1195332036676855</v>
      </c>
      <c r="U8" s="10">
        <f t="shared" si="7"/>
        <v>2.7082337686394369</v>
      </c>
      <c r="V8" s="18" t="str">
        <f t="shared" si="0"/>
        <v>Наблюдение</v>
      </c>
    </row>
    <row r="9" spans="1:22" ht="18" x14ac:dyDescent="0.45">
      <c r="A9" s="2">
        <v>9</v>
      </c>
      <c r="B9" s="2">
        <f>Лист2!B10</f>
        <v>3</v>
      </c>
      <c r="C9" s="2">
        <f>MAX(Лист2!$B$2:B9)</f>
        <v>5</v>
      </c>
      <c r="D9" s="2">
        <f>MIN(Лист2!$B$2:B9)</f>
        <v>1</v>
      </c>
      <c r="E9" s="2">
        <f t="shared" si="1"/>
        <v>0</v>
      </c>
      <c r="F9" s="2">
        <f t="shared" si="2"/>
        <v>0</v>
      </c>
      <c r="G9" s="2">
        <f t="shared" si="3"/>
        <v>0</v>
      </c>
      <c r="H9" s="10">
        <f t="shared" si="4"/>
        <v>0.1111111111111111</v>
      </c>
      <c r="I9" s="2">
        <f t="shared" si="8"/>
        <v>45</v>
      </c>
      <c r="J9" s="2">
        <f t="shared" si="9"/>
        <v>285</v>
      </c>
      <c r="K9" s="2">
        <f t="shared" si="10"/>
        <v>24</v>
      </c>
      <c r="L9" s="2">
        <f t="shared" si="11"/>
        <v>131</v>
      </c>
      <c r="M9" s="2"/>
      <c r="N9" s="2"/>
      <c r="O9" s="2"/>
      <c r="P9" s="2">
        <v>8</v>
      </c>
      <c r="Q9" s="11">
        <f>Лист2!A9</f>
        <v>45593</v>
      </c>
      <c r="R9" s="12">
        <f>Лист2!B9</f>
        <v>2</v>
      </c>
      <c r="S9" s="24">
        <f t="shared" si="5"/>
        <v>1.5887005649717514</v>
      </c>
      <c r="T9" s="10">
        <f t="shared" si="6"/>
        <v>1.2794665184773548</v>
      </c>
      <c r="U9" s="10">
        <f t="shared" si="7"/>
        <v>2.868167083449106</v>
      </c>
      <c r="V9" s="18" t="str">
        <f t="shared" si="0"/>
        <v>Наблюдение</v>
      </c>
    </row>
    <row r="10" spans="1:22" ht="18" x14ac:dyDescent="0.45">
      <c r="A10" s="2">
        <v>10</v>
      </c>
      <c r="B10" s="2">
        <f>Лист2!B11</f>
        <v>5</v>
      </c>
      <c r="C10" s="2">
        <f>MAX(Лист2!$B$2:B10)</f>
        <v>5</v>
      </c>
      <c r="D10" s="2">
        <f>MIN(Лист2!$B$2:B10)</f>
        <v>1</v>
      </c>
      <c r="E10" s="2">
        <f t="shared" si="1"/>
        <v>0</v>
      </c>
      <c r="F10" s="2">
        <f t="shared" si="2"/>
        <v>0</v>
      </c>
      <c r="G10" s="2">
        <f t="shared" si="3"/>
        <v>0</v>
      </c>
      <c r="H10" s="10">
        <f t="shared" si="4"/>
        <v>0.1</v>
      </c>
      <c r="I10" s="2">
        <f t="shared" si="8"/>
        <v>55</v>
      </c>
      <c r="J10" s="2">
        <f t="shared" si="9"/>
        <v>385</v>
      </c>
      <c r="K10" s="2">
        <f t="shared" si="10"/>
        <v>29</v>
      </c>
      <c r="L10" s="2">
        <f t="shared" si="11"/>
        <v>181</v>
      </c>
      <c r="M10" s="2"/>
      <c r="N10" s="2"/>
      <c r="O10" s="2"/>
      <c r="P10" s="2">
        <v>9</v>
      </c>
      <c r="Q10" s="11">
        <f>Лист2!A10</f>
        <v>45600</v>
      </c>
      <c r="R10" s="12">
        <f>Лист2!B10</f>
        <v>3</v>
      </c>
      <c r="S10" s="24">
        <f t="shared" si="5"/>
        <v>1.5887005649717514</v>
      </c>
      <c r="T10" s="10">
        <f t="shared" si="6"/>
        <v>1.4393998332870241</v>
      </c>
      <c r="U10" s="10">
        <f t="shared" si="7"/>
        <v>3.0281003982587755</v>
      </c>
      <c r="V10" s="18" t="str">
        <f t="shared" si="0"/>
        <v>Наблюдение</v>
      </c>
    </row>
    <row r="11" spans="1:22" ht="18" x14ac:dyDescent="0.45">
      <c r="A11" s="2">
        <v>11</v>
      </c>
      <c r="B11" s="2">
        <f>Лист2!B12</f>
        <v>4</v>
      </c>
      <c r="C11" s="2">
        <f>MAX(Лист2!$B$2:B11)</f>
        <v>5</v>
      </c>
      <c r="D11" s="2">
        <f>MIN(Лист2!$B$2:B11)</f>
        <v>1</v>
      </c>
      <c r="E11" s="2">
        <f t="shared" si="1"/>
        <v>0</v>
      </c>
      <c r="F11" s="2">
        <f t="shared" si="2"/>
        <v>0</v>
      </c>
      <c r="G11" s="2">
        <f t="shared" si="3"/>
        <v>0</v>
      </c>
      <c r="H11" s="10">
        <f t="shared" si="4"/>
        <v>9.0909090909090912E-2</v>
      </c>
      <c r="I11" s="2">
        <f t="shared" si="8"/>
        <v>66</v>
      </c>
      <c r="J11" s="2">
        <f t="shared" si="9"/>
        <v>506</v>
      </c>
      <c r="K11" s="2">
        <f t="shared" si="10"/>
        <v>33</v>
      </c>
      <c r="L11" s="2">
        <f t="shared" si="11"/>
        <v>225</v>
      </c>
      <c r="M11" s="2"/>
      <c r="N11" s="2"/>
      <c r="O11" s="2"/>
      <c r="P11" s="2">
        <v>10</v>
      </c>
      <c r="Q11" s="11">
        <f>Лист2!A11</f>
        <v>45607</v>
      </c>
      <c r="R11" s="12">
        <f>Лист2!B11</f>
        <v>5</v>
      </c>
      <c r="S11" s="24">
        <f t="shared" si="5"/>
        <v>1.5887005649717514</v>
      </c>
      <c r="T11" s="10">
        <f t="shared" si="6"/>
        <v>1.5993331480966935</v>
      </c>
      <c r="U11" s="10">
        <f t="shared" si="7"/>
        <v>3.1880337130684451</v>
      </c>
      <c r="V11" s="18" t="str">
        <f t="shared" si="0"/>
        <v>Наблюдение</v>
      </c>
    </row>
    <row r="12" spans="1:22" ht="18" x14ac:dyDescent="0.45">
      <c r="A12" s="2">
        <v>12</v>
      </c>
      <c r="B12" s="2">
        <f>Лист2!B13</f>
        <v>4</v>
      </c>
      <c r="C12" s="2">
        <f>MAX(Лист2!$B$2:B12)</f>
        <v>5</v>
      </c>
      <c r="D12" s="2">
        <f>MIN(Лист2!$B$2:B12)</f>
        <v>1</v>
      </c>
      <c r="E12" s="2">
        <f t="shared" si="1"/>
        <v>0</v>
      </c>
      <c r="F12" s="2">
        <f t="shared" si="2"/>
        <v>0</v>
      </c>
      <c r="G12" s="2">
        <f t="shared" si="3"/>
        <v>0</v>
      </c>
      <c r="H12" s="10">
        <f t="shared" si="4"/>
        <v>8.3333333333333329E-2</v>
      </c>
      <c r="I12" s="2">
        <f t="shared" si="8"/>
        <v>78</v>
      </c>
      <c r="J12" s="2">
        <f t="shared" si="9"/>
        <v>650</v>
      </c>
      <c r="K12" s="2">
        <f t="shared" si="10"/>
        <v>37</v>
      </c>
      <c r="L12" s="2">
        <f t="shared" si="11"/>
        <v>273</v>
      </c>
      <c r="M12" s="2"/>
      <c r="N12" s="2"/>
      <c r="O12" s="2"/>
      <c r="P12" s="2">
        <v>11</v>
      </c>
      <c r="Q12" s="11">
        <f>Лист2!A12</f>
        <v>45614</v>
      </c>
      <c r="R12" s="12">
        <f>Лист2!B12</f>
        <v>4</v>
      </c>
      <c r="S12" s="24">
        <f t="shared" si="5"/>
        <v>1.5887005649717514</v>
      </c>
      <c r="T12" s="10">
        <f t="shared" si="6"/>
        <v>1.7592664629063628</v>
      </c>
      <c r="U12" s="10">
        <f t="shared" si="7"/>
        <v>3.3479670278781142</v>
      </c>
      <c r="V12" s="18" t="str">
        <f t="shared" si="0"/>
        <v>Наблюдение</v>
      </c>
    </row>
    <row r="13" spans="1:22" ht="18" x14ac:dyDescent="0.45">
      <c r="A13" s="2">
        <v>13</v>
      </c>
      <c r="B13" s="2">
        <f>Лист2!B14</f>
        <v>2</v>
      </c>
      <c r="C13" s="2">
        <f>MAX(Лист2!$B$2:B13)</f>
        <v>5</v>
      </c>
      <c r="D13" s="2">
        <f>MIN(Лист2!$B$2:B13)</f>
        <v>1</v>
      </c>
      <c r="E13" s="2">
        <f t="shared" si="1"/>
        <v>0</v>
      </c>
      <c r="F13" s="2">
        <f t="shared" si="2"/>
        <v>0</v>
      </c>
      <c r="G13" s="2">
        <f t="shared" si="3"/>
        <v>0</v>
      </c>
      <c r="H13" s="10">
        <f t="shared" si="4"/>
        <v>7.6923076923076927E-2</v>
      </c>
      <c r="I13" s="2">
        <f t="shared" si="8"/>
        <v>91</v>
      </c>
      <c r="J13" s="2">
        <f t="shared" si="9"/>
        <v>819</v>
      </c>
      <c r="K13" s="2">
        <f t="shared" si="10"/>
        <v>39</v>
      </c>
      <c r="L13" s="2">
        <f t="shared" si="11"/>
        <v>299</v>
      </c>
      <c r="M13" s="2"/>
      <c r="N13" s="2"/>
      <c r="O13" s="2"/>
      <c r="P13" s="2">
        <v>12</v>
      </c>
      <c r="Q13" s="11">
        <f>Лист2!A13</f>
        <v>45621</v>
      </c>
      <c r="R13" s="12">
        <f>Лист2!B13</f>
        <v>4</v>
      </c>
      <c r="S13" s="24">
        <f t="shared" si="5"/>
        <v>1.5887005649717514</v>
      </c>
      <c r="T13" s="10">
        <f t="shared" si="6"/>
        <v>1.9191997777160323</v>
      </c>
      <c r="U13" s="10">
        <f t="shared" si="7"/>
        <v>3.5079003426877837</v>
      </c>
      <c r="V13" s="18" t="str">
        <f t="shared" si="0"/>
        <v>Наблюдение</v>
      </c>
    </row>
    <row r="14" spans="1:22" ht="18" x14ac:dyDescent="0.45">
      <c r="A14" s="2">
        <v>14</v>
      </c>
      <c r="B14" s="2">
        <f>Лист2!B15</f>
        <v>4</v>
      </c>
      <c r="C14" s="2">
        <f>MAX(Лист2!$B$2:B14)</f>
        <v>5</v>
      </c>
      <c r="D14" s="2">
        <f>MIN(Лист2!$B$2:B14)</f>
        <v>1</v>
      </c>
      <c r="E14" s="2">
        <f t="shared" si="1"/>
        <v>0</v>
      </c>
      <c r="F14" s="2">
        <f t="shared" si="2"/>
        <v>0</v>
      </c>
      <c r="G14" s="2">
        <f t="shared" si="3"/>
        <v>0</v>
      </c>
      <c r="H14" s="10">
        <f t="shared" si="4"/>
        <v>7.1428571428571425E-2</v>
      </c>
      <c r="I14" s="2">
        <f t="shared" si="8"/>
        <v>105</v>
      </c>
      <c r="J14" s="2">
        <f t="shared" si="9"/>
        <v>1015</v>
      </c>
      <c r="K14" s="2">
        <f t="shared" si="10"/>
        <v>43</v>
      </c>
      <c r="L14" s="2">
        <f t="shared" si="11"/>
        <v>355</v>
      </c>
      <c r="M14" s="2"/>
      <c r="N14" s="2"/>
      <c r="O14" s="2"/>
      <c r="P14" s="2">
        <v>13</v>
      </c>
      <c r="Q14" s="11">
        <f>Лист2!A14</f>
        <v>45635</v>
      </c>
      <c r="R14" s="12">
        <f>Лист2!B14</f>
        <v>2</v>
      </c>
      <c r="S14" s="24">
        <f t="shared" si="5"/>
        <v>1.5887005649717514</v>
      </c>
      <c r="T14" s="10">
        <f t="shared" si="6"/>
        <v>2.0791330925257014</v>
      </c>
      <c r="U14" s="10">
        <f t="shared" si="7"/>
        <v>3.6678336574974528</v>
      </c>
      <c r="V14" s="18" t="str">
        <f t="shared" si="0"/>
        <v>Наблюдение</v>
      </c>
    </row>
    <row r="15" spans="1:22" ht="18" x14ac:dyDescent="0.45">
      <c r="A15" s="2">
        <v>15</v>
      </c>
      <c r="B15" s="2">
        <f>Лист2!B16</f>
        <v>2</v>
      </c>
      <c r="C15" s="2">
        <f>MAX(Лист2!$B$2:B15)</f>
        <v>5</v>
      </c>
      <c r="D15" s="2">
        <f>MIN(Лист2!$B$2:B15)</f>
        <v>1</v>
      </c>
      <c r="E15" s="2">
        <f t="shared" si="1"/>
        <v>0</v>
      </c>
      <c r="F15" s="2">
        <f t="shared" si="2"/>
        <v>0</v>
      </c>
      <c r="G15" s="2">
        <f t="shared" si="3"/>
        <v>0</v>
      </c>
      <c r="H15" s="10">
        <f t="shared" si="4"/>
        <v>6.6666666666666666E-2</v>
      </c>
      <c r="I15" s="2">
        <f t="shared" si="8"/>
        <v>120</v>
      </c>
      <c r="J15" s="2">
        <f t="shared" si="9"/>
        <v>1240</v>
      </c>
      <c r="K15" s="2">
        <f t="shared" si="10"/>
        <v>45</v>
      </c>
      <c r="L15" s="2">
        <f t="shared" si="11"/>
        <v>385</v>
      </c>
      <c r="M15" s="2"/>
      <c r="N15" s="2"/>
      <c r="O15" s="2"/>
      <c r="P15" s="2">
        <v>14</v>
      </c>
      <c r="Q15" s="11">
        <f>Лист2!A15</f>
        <v>45642</v>
      </c>
      <c r="R15" s="12">
        <f>Лист2!B15</f>
        <v>4</v>
      </c>
      <c r="S15" s="24">
        <f t="shared" si="5"/>
        <v>1.5887005649717514</v>
      </c>
      <c r="T15" s="10">
        <f t="shared" si="6"/>
        <v>2.239066407335371</v>
      </c>
      <c r="U15" s="10">
        <f t="shared" si="7"/>
        <v>3.8277669723071224</v>
      </c>
      <c r="V15" s="18" t="str">
        <f t="shared" si="0"/>
        <v>Наблюдение</v>
      </c>
    </row>
    <row r="16" spans="1:22" ht="18" x14ac:dyDescent="0.45">
      <c r="A16" s="2">
        <v>16</v>
      </c>
      <c r="B16" s="2">
        <f>Лист2!B17</f>
        <v>5</v>
      </c>
      <c r="C16" s="2">
        <f>MAX(Лист2!$B$2:B16)</f>
        <v>5</v>
      </c>
      <c r="D16" s="2">
        <f>MIN(Лист2!$B$2:B16)</f>
        <v>1</v>
      </c>
      <c r="E16" s="2">
        <f t="shared" si="1"/>
        <v>0</v>
      </c>
      <c r="F16" s="2">
        <f t="shared" si="2"/>
        <v>0</v>
      </c>
      <c r="G16" s="2">
        <f t="shared" si="3"/>
        <v>0</v>
      </c>
      <c r="H16" s="10">
        <f t="shared" si="4"/>
        <v>6.25E-2</v>
      </c>
      <c r="I16" s="2">
        <f t="shared" si="8"/>
        <v>136</v>
      </c>
      <c r="J16" s="2">
        <f t="shared" si="9"/>
        <v>1496</v>
      </c>
      <c r="K16" s="2">
        <f t="shared" si="10"/>
        <v>50</v>
      </c>
      <c r="L16" s="2">
        <f t="shared" si="11"/>
        <v>465</v>
      </c>
      <c r="M16" s="2"/>
      <c r="N16" s="2"/>
      <c r="O16" s="2"/>
      <c r="P16" s="2">
        <v>15</v>
      </c>
      <c r="Q16" s="11">
        <f>Лист2!A16</f>
        <v>45649</v>
      </c>
      <c r="R16" s="12">
        <f>Лист2!B16</f>
        <v>2</v>
      </c>
      <c r="S16" s="24">
        <f t="shared" si="5"/>
        <v>1.5887005649717514</v>
      </c>
      <c r="T16" s="10">
        <f t="shared" si="6"/>
        <v>2.3989997221450401</v>
      </c>
      <c r="U16" s="10">
        <f t="shared" si="7"/>
        <v>3.9877002871167915</v>
      </c>
      <c r="V16" s="18" t="str">
        <f t="shared" si="0"/>
        <v>Наблюдение</v>
      </c>
    </row>
    <row r="17" spans="1:41" ht="18" x14ac:dyDescent="0.45">
      <c r="A17" s="2">
        <v>17</v>
      </c>
      <c r="B17" s="2">
        <f>Лист2!B18</f>
        <v>2</v>
      </c>
      <c r="C17" s="2">
        <f>MAX(Лист2!$B$2:B17)</f>
        <v>5</v>
      </c>
      <c r="D17" s="2">
        <f>MIN(Лист2!$B$2:B17)</f>
        <v>1</v>
      </c>
      <c r="E17" s="2">
        <f t="shared" si="1"/>
        <v>0</v>
      </c>
      <c r="F17" s="2">
        <f t="shared" si="2"/>
        <v>0</v>
      </c>
      <c r="G17" s="2">
        <f t="shared" si="3"/>
        <v>0</v>
      </c>
      <c r="H17" s="10">
        <f t="shared" si="4"/>
        <v>5.8823529411764705E-2</v>
      </c>
      <c r="I17" s="2">
        <f t="shared" si="8"/>
        <v>153</v>
      </c>
      <c r="J17" s="2">
        <f t="shared" si="9"/>
        <v>1785</v>
      </c>
      <c r="K17" s="2">
        <f t="shared" si="10"/>
        <v>52</v>
      </c>
      <c r="L17" s="2">
        <f t="shared" si="11"/>
        <v>499</v>
      </c>
      <c r="M17" s="2"/>
      <c r="N17" s="2"/>
      <c r="O17" s="2"/>
      <c r="P17" s="2">
        <v>16</v>
      </c>
      <c r="Q17" s="11">
        <f>Лист2!A17</f>
        <v>45656</v>
      </c>
      <c r="R17" s="12">
        <f>Лист2!B17</f>
        <v>5</v>
      </c>
      <c r="S17" s="24">
        <f t="shared" si="5"/>
        <v>1.5887005649717514</v>
      </c>
      <c r="T17" s="10">
        <f t="shared" si="6"/>
        <v>2.5589330369547096</v>
      </c>
      <c r="U17" s="10">
        <f t="shared" si="7"/>
        <v>4.1476336019264615</v>
      </c>
      <c r="V17" s="18" t="str">
        <f t="shared" si="0"/>
        <v>Наблюдение</v>
      </c>
    </row>
    <row r="18" spans="1:41" ht="18" x14ac:dyDescent="0.45">
      <c r="A18" s="2">
        <v>18</v>
      </c>
      <c r="B18" s="2">
        <f>Лист2!B19</f>
        <v>4</v>
      </c>
      <c r="C18" s="2">
        <f>MAX(Лист2!$B$2:B18)</f>
        <v>5</v>
      </c>
      <c r="D18" s="2">
        <f>MIN(Лист2!$B$2:B18)</f>
        <v>1</v>
      </c>
      <c r="E18" s="2">
        <f t="shared" si="1"/>
        <v>0</v>
      </c>
      <c r="F18" s="2">
        <f t="shared" si="2"/>
        <v>0</v>
      </c>
      <c r="G18" s="2">
        <f t="shared" si="3"/>
        <v>0</v>
      </c>
      <c r="H18" s="10">
        <f t="shared" si="4"/>
        <v>5.5555555555555552E-2</v>
      </c>
      <c r="I18" s="2">
        <f t="shared" si="8"/>
        <v>171</v>
      </c>
      <c r="J18" s="2">
        <f t="shared" si="9"/>
        <v>2109</v>
      </c>
      <c r="K18" s="2">
        <f t="shared" si="10"/>
        <v>56</v>
      </c>
      <c r="L18" s="2">
        <f t="shared" si="11"/>
        <v>571</v>
      </c>
      <c r="M18" s="2"/>
      <c r="N18" s="2"/>
      <c r="O18" s="2"/>
      <c r="P18" s="2">
        <v>17</v>
      </c>
      <c r="Q18" s="11">
        <f>Лист2!A18</f>
        <v>45663</v>
      </c>
      <c r="R18" s="12">
        <f>Лист2!B18</f>
        <v>2</v>
      </c>
      <c r="S18" s="24">
        <f t="shared" si="5"/>
        <v>1.5887005649717514</v>
      </c>
      <c r="T18" s="10">
        <f t="shared" si="6"/>
        <v>2.7188663517643792</v>
      </c>
      <c r="U18" s="10">
        <f t="shared" si="7"/>
        <v>4.3075669167361301</v>
      </c>
      <c r="V18" s="18" t="str">
        <f t="shared" si="0"/>
        <v>Наблюдение</v>
      </c>
    </row>
    <row r="19" spans="1:41" ht="18" x14ac:dyDescent="0.45">
      <c r="A19" s="2">
        <v>19</v>
      </c>
      <c r="B19" s="2">
        <f>Лист2!B20</f>
        <v>3</v>
      </c>
      <c r="C19" s="2">
        <f>MAX(Лист2!$B$2:B19)</f>
        <v>5</v>
      </c>
      <c r="D19" s="2">
        <f>MIN(Лист2!$B$2:B19)</f>
        <v>1</v>
      </c>
      <c r="E19" s="2">
        <f t="shared" si="1"/>
        <v>0</v>
      </c>
      <c r="F19" s="2">
        <f t="shared" si="2"/>
        <v>0</v>
      </c>
      <c r="G19" s="2">
        <f t="shared" si="3"/>
        <v>0</v>
      </c>
      <c r="H19" s="10">
        <f>1/A19</f>
        <v>5.2631578947368418E-2</v>
      </c>
      <c r="I19" s="2">
        <f t="shared" si="8"/>
        <v>190</v>
      </c>
      <c r="J19" s="2">
        <f t="shared" si="9"/>
        <v>2470</v>
      </c>
      <c r="K19" s="2">
        <f t="shared" si="10"/>
        <v>59</v>
      </c>
      <c r="L19" s="2">
        <f t="shared" si="11"/>
        <v>628</v>
      </c>
      <c r="M19" s="2"/>
      <c r="N19" s="2"/>
      <c r="O19" s="2"/>
      <c r="P19" s="2">
        <v>18</v>
      </c>
      <c r="Q19" s="11">
        <f>Лист2!A19</f>
        <v>45670</v>
      </c>
      <c r="R19" s="12">
        <f>Лист2!B19</f>
        <v>4</v>
      </c>
      <c r="S19" s="24">
        <f t="shared" si="5"/>
        <v>1.5887005649717514</v>
      </c>
      <c r="T19" s="10">
        <f t="shared" si="6"/>
        <v>2.8787996665740483</v>
      </c>
      <c r="U19" s="10">
        <f t="shared" si="7"/>
        <v>4.4675002315457997</v>
      </c>
      <c r="V19" s="18" t="str">
        <f t="shared" si="0"/>
        <v>Наблюдение</v>
      </c>
    </row>
    <row r="20" spans="1:41" ht="18" x14ac:dyDescent="0.45">
      <c r="A20" s="2">
        <v>20</v>
      </c>
      <c r="B20" s="2">
        <f>Лист2!B21</f>
        <v>4</v>
      </c>
      <c r="C20" s="2">
        <f>MAX(Лист2!$B$2:B20)</f>
        <v>5</v>
      </c>
      <c r="D20" s="2">
        <f>MIN(Лист2!$B$2:B20)</f>
        <v>1</v>
      </c>
      <c r="E20" s="2">
        <f t="shared" si="1"/>
        <v>0</v>
      </c>
      <c r="F20" s="2">
        <f t="shared" si="2"/>
        <v>0</v>
      </c>
      <c r="G20" s="2">
        <f t="shared" si="3"/>
        <v>0</v>
      </c>
      <c r="H20" s="10">
        <f t="shared" si="4"/>
        <v>0.05</v>
      </c>
      <c r="I20" s="2">
        <f t="shared" si="8"/>
        <v>210</v>
      </c>
      <c r="J20" s="2">
        <f t="shared" si="9"/>
        <v>2870</v>
      </c>
      <c r="K20" s="2">
        <f t="shared" si="10"/>
        <v>63</v>
      </c>
      <c r="L20" s="2">
        <f t="shared" si="11"/>
        <v>708</v>
      </c>
      <c r="M20" s="2"/>
      <c r="N20" s="2"/>
      <c r="O20" s="2"/>
      <c r="P20" s="2">
        <v>19</v>
      </c>
      <c r="Q20" s="11">
        <f>Лист2!A20</f>
        <v>45677</v>
      </c>
      <c r="R20" s="12">
        <f>Лист2!B20</f>
        <v>3</v>
      </c>
      <c r="S20" s="24">
        <f t="shared" si="5"/>
        <v>1.5887005649717514</v>
      </c>
      <c r="T20" s="10">
        <f t="shared" si="6"/>
        <v>3.0387329813837178</v>
      </c>
      <c r="U20" s="10">
        <f t="shared" si="7"/>
        <v>4.6274335463554692</v>
      </c>
      <c r="V20" s="18" t="str">
        <f t="shared" si="0"/>
        <v>Наблюдение</v>
      </c>
    </row>
    <row r="21" spans="1:41" ht="18" x14ac:dyDescent="0.45">
      <c r="A21" s="2">
        <v>21</v>
      </c>
      <c r="B21" s="2">
        <f>Лист2!B22</f>
        <v>1</v>
      </c>
      <c r="C21" s="2">
        <f>MAX(Лист2!$B$2:B21)</f>
        <v>5</v>
      </c>
      <c r="D21" s="2">
        <f>MIN(Лист2!$B$2:B21)</f>
        <v>1</v>
      </c>
      <c r="E21" s="2">
        <f t="shared" si="1"/>
        <v>0</v>
      </c>
      <c r="F21" s="2">
        <f t="shared" si="2"/>
        <v>0</v>
      </c>
      <c r="G21" s="2">
        <f t="shared" si="3"/>
        <v>0</v>
      </c>
      <c r="H21" s="10">
        <f t="shared" si="4"/>
        <v>4.7619047619047616E-2</v>
      </c>
      <c r="I21" s="2">
        <f t="shared" si="8"/>
        <v>231</v>
      </c>
      <c r="J21" s="2">
        <f t="shared" si="9"/>
        <v>3311</v>
      </c>
      <c r="K21" s="2">
        <f t="shared" si="10"/>
        <v>64</v>
      </c>
      <c r="L21" s="2">
        <f t="shared" si="11"/>
        <v>729</v>
      </c>
      <c r="M21" s="2"/>
      <c r="N21" s="2"/>
      <c r="O21" s="2"/>
      <c r="P21" s="2">
        <v>20</v>
      </c>
      <c r="Q21" s="11">
        <f>Лист2!A21</f>
        <v>45684</v>
      </c>
      <c r="R21" s="12">
        <f>Лист2!B21</f>
        <v>4</v>
      </c>
      <c r="S21" s="24">
        <f t="shared" si="5"/>
        <v>1.5887005649717514</v>
      </c>
      <c r="T21" s="10">
        <f t="shared" si="6"/>
        <v>3.1986662961933869</v>
      </c>
      <c r="U21" s="10">
        <f t="shared" si="7"/>
        <v>4.7873668611651379</v>
      </c>
      <c r="V21" s="18" t="str">
        <f t="shared" si="0"/>
        <v>Наблюдение</v>
      </c>
    </row>
    <row r="22" spans="1:41" ht="18" x14ac:dyDescent="0.45">
      <c r="A22" s="2">
        <v>22</v>
      </c>
      <c r="B22" s="2">
        <f>Лист2!B23</f>
        <v>7</v>
      </c>
      <c r="C22" s="2">
        <f>MAX(Лист2!$B$2:B22)</f>
        <v>5</v>
      </c>
      <c r="D22" s="2">
        <f>MIN(Лист2!$B$2:B22)</f>
        <v>1</v>
      </c>
      <c r="E22" s="2">
        <f t="shared" si="1"/>
        <v>1</v>
      </c>
      <c r="F22" s="2">
        <f t="shared" si="2"/>
        <v>0</v>
      </c>
      <c r="G22" s="2">
        <f t="shared" si="3"/>
        <v>1</v>
      </c>
      <c r="H22" s="10">
        <f t="shared" si="4"/>
        <v>4.5454545454545456E-2</v>
      </c>
      <c r="I22" s="2">
        <f t="shared" si="8"/>
        <v>253</v>
      </c>
      <c r="J22" s="2">
        <f t="shared" si="9"/>
        <v>3795</v>
      </c>
      <c r="K22" s="2">
        <f t="shared" si="10"/>
        <v>71</v>
      </c>
      <c r="L22" s="2">
        <f t="shared" si="11"/>
        <v>883</v>
      </c>
      <c r="M22" s="2"/>
      <c r="N22" s="2"/>
      <c r="O22" s="2"/>
      <c r="P22" s="2">
        <v>21</v>
      </c>
      <c r="Q22" s="11">
        <f>Лист2!A22</f>
        <v>45691</v>
      </c>
      <c r="R22" s="12">
        <f>Лист2!B22</f>
        <v>1</v>
      </c>
      <c r="S22" s="24">
        <f t="shared" si="5"/>
        <v>1.5887005649717514</v>
      </c>
      <c r="T22" s="10">
        <f t="shared" si="6"/>
        <v>3.3585996110030565</v>
      </c>
      <c r="U22" s="10">
        <f t="shared" si="7"/>
        <v>4.9473001759748083</v>
      </c>
      <c r="V22" s="18" t="str">
        <f t="shared" si="0"/>
        <v>Наблюдение</v>
      </c>
    </row>
    <row r="23" spans="1:41" ht="18" x14ac:dyDescent="0.45">
      <c r="A23" s="2">
        <v>23</v>
      </c>
      <c r="B23" s="2">
        <f>Лист2!B24</f>
        <v>8</v>
      </c>
      <c r="C23" s="2">
        <f>MAX(Лист2!$B$2:B23)</f>
        <v>7</v>
      </c>
      <c r="D23" s="2">
        <f>MIN(Лист2!$B$2:B23)</f>
        <v>1</v>
      </c>
      <c r="E23" s="2">
        <f t="shared" si="1"/>
        <v>1</v>
      </c>
      <c r="F23" s="2">
        <f t="shared" si="2"/>
        <v>0</v>
      </c>
      <c r="G23" s="2">
        <f t="shared" si="3"/>
        <v>1</v>
      </c>
      <c r="H23" s="10">
        <f t="shared" si="4"/>
        <v>4.3478260869565216E-2</v>
      </c>
      <c r="I23" s="2">
        <f t="shared" si="8"/>
        <v>276</v>
      </c>
      <c r="J23" s="2">
        <f t="shared" si="9"/>
        <v>4324</v>
      </c>
      <c r="K23" s="2">
        <f t="shared" si="10"/>
        <v>79</v>
      </c>
      <c r="L23" s="2">
        <f t="shared" si="11"/>
        <v>1067</v>
      </c>
      <c r="M23" s="2"/>
      <c r="N23" s="2"/>
      <c r="O23" s="2"/>
      <c r="P23" s="2">
        <v>22</v>
      </c>
      <c r="Q23" s="11">
        <f>Лист2!A23</f>
        <v>45698</v>
      </c>
      <c r="R23" s="12">
        <f>Лист2!B23</f>
        <v>7</v>
      </c>
      <c r="S23" s="24">
        <f t="shared" si="5"/>
        <v>1.5887005649717514</v>
      </c>
      <c r="T23" s="10">
        <f t="shared" si="6"/>
        <v>3.5185329258127256</v>
      </c>
      <c r="U23" s="10">
        <f t="shared" si="7"/>
        <v>5.107233490784477</v>
      </c>
      <c r="V23" s="18" t="str">
        <f t="shared" si="0"/>
        <v>Наблюдение</v>
      </c>
    </row>
    <row r="24" spans="1:41" ht="18" x14ac:dyDescent="0.45">
      <c r="A24" s="2">
        <v>24</v>
      </c>
      <c r="B24" s="2">
        <f>Лист2!B25</f>
        <v>4</v>
      </c>
      <c r="C24" s="2">
        <f>MAX(Лист2!$B$2:B24)</f>
        <v>8</v>
      </c>
      <c r="D24" s="2">
        <f>MIN(Лист2!$B$2:B24)</f>
        <v>1</v>
      </c>
      <c r="E24" s="2">
        <f t="shared" si="1"/>
        <v>0</v>
      </c>
      <c r="F24" s="2">
        <f t="shared" si="2"/>
        <v>0</v>
      </c>
      <c r="G24" s="2">
        <f t="shared" si="3"/>
        <v>0</v>
      </c>
      <c r="H24" s="10">
        <f t="shared" si="4"/>
        <v>4.1666666666666664E-2</v>
      </c>
      <c r="I24" s="2">
        <f t="shared" si="8"/>
        <v>300</v>
      </c>
      <c r="J24" s="2">
        <f t="shared" si="9"/>
        <v>4900</v>
      </c>
      <c r="K24" s="2">
        <f t="shared" si="10"/>
        <v>83</v>
      </c>
      <c r="L24" s="2">
        <f t="shared" si="11"/>
        <v>1163</v>
      </c>
      <c r="M24" s="2"/>
      <c r="N24" s="2"/>
      <c r="O24" s="2"/>
      <c r="P24" s="2">
        <v>23</v>
      </c>
      <c r="Q24" s="11">
        <f>Лист2!A24</f>
        <v>45712</v>
      </c>
      <c r="R24" s="12">
        <f>Лист2!B24</f>
        <v>8</v>
      </c>
      <c r="S24" s="24">
        <f t="shared" si="5"/>
        <v>1.5887005649717514</v>
      </c>
      <c r="T24" s="10">
        <f t="shared" si="6"/>
        <v>3.6784662406223951</v>
      </c>
      <c r="U24" s="10">
        <f t="shared" si="7"/>
        <v>5.2671668055941465</v>
      </c>
      <c r="V24" s="18" t="str">
        <f t="shared" si="0"/>
        <v>Наблюдение</v>
      </c>
    </row>
    <row r="25" spans="1:41" ht="18" x14ac:dyDescent="0.45">
      <c r="A25" s="2">
        <v>25</v>
      </c>
      <c r="B25" s="2">
        <f>Лист2!B26</f>
        <v>4</v>
      </c>
      <c r="C25" s="2">
        <f>MAX(Лист2!$B$2:B25)</f>
        <v>8</v>
      </c>
      <c r="D25" s="2">
        <f>MIN(Лист2!$B$2:B25)</f>
        <v>1</v>
      </c>
      <c r="E25" s="2">
        <f t="shared" si="1"/>
        <v>0</v>
      </c>
      <c r="F25" s="2">
        <f t="shared" si="2"/>
        <v>0</v>
      </c>
      <c r="G25" s="2">
        <f t="shared" si="3"/>
        <v>0</v>
      </c>
      <c r="H25" s="10">
        <f t="shared" si="4"/>
        <v>0.04</v>
      </c>
      <c r="I25" s="2">
        <f t="shared" si="8"/>
        <v>325</v>
      </c>
      <c r="J25" s="2">
        <f t="shared" si="9"/>
        <v>5525</v>
      </c>
      <c r="K25" s="2">
        <f t="shared" si="10"/>
        <v>87</v>
      </c>
      <c r="L25" s="2">
        <f t="shared" si="11"/>
        <v>1263</v>
      </c>
      <c r="M25" s="2"/>
      <c r="N25" s="2"/>
      <c r="O25" s="2"/>
      <c r="P25" s="2">
        <v>24</v>
      </c>
      <c r="Q25" s="11">
        <f>Лист2!A25</f>
        <v>45719</v>
      </c>
      <c r="R25" s="12">
        <f>Лист2!B25</f>
        <v>4</v>
      </c>
      <c r="S25" s="24">
        <f t="shared" si="5"/>
        <v>1.5887005649717514</v>
      </c>
      <c r="T25" s="10">
        <f t="shared" si="6"/>
        <v>3.8383995554320647</v>
      </c>
      <c r="U25" s="10">
        <f t="shared" si="7"/>
        <v>5.4271001204038161</v>
      </c>
      <c r="V25" s="18" t="str">
        <f t="shared" si="0"/>
        <v>Наблюдение</v>
      </c>
    </row>
    <row r="26" spans="1:41" ht="18" x14ac:dyDescent="0.45">
      <c r="A26" s="2">
        <v>26</v>
      </c>
      <c r="B26" s="2">
        <f>Лист2!B27</f>
        <v>8</v>
      </c>
      <c r="C26" s="2">
        <f>MAX(Лист2!$B$2:B26)</f>
        <v>8</v>
      </c>
      <c r="D26" s="2">
        <f>MIN(Лист2!$B$2:B26)</f>
        <v>1</v>
      </c>
      <c r="E26" s="2">
        <f t="shared" si="1"/>
        <v>0</v>
      </c>
      <c r="F26" s="2">
        <f t="shared" si="2"/>
        <v>0</v>
      </c>
      <c r="G26" s="2">
        <f t="shared" si="3"/>
        <v>0</v>
      </c>
      <c r="H26" s="10">
        <f t="shared" si="4"/>
        <v>3.8461538461538464E-2</v>
      </c>
      <c r="I26" s="2">
        <f t="shared" si="8"/>
        <v>351</v>
      </c>
      <c r="J26" s="2">
        <f t="shared" si="9"/>
        <v>6201</v>
      </c>
      <c r="K26" s="2">
        <f t="shared" si="10"/>
        <v>95</v>
      </c>
      <c r="L26" s="2">
        <f t="shared" si="11"/>
        <v>1471</v>
      </c>
      <c r="M26" s="2"/>
      <c r="N26" s="2"/>
      <c r="O26" s="2"/>
      <c r="P26" s="2">
        <v>25</v>
      </c>
      <c r="Q26" s="11">
        <f>Лист2!A26</f>
        <v>45726</v>
      </c>
      <c r="R26" s="12">
        <f>Лист2!B26</f>
        <v>4</v>
      </c>
      <c r="S26" s="24">
        <f t="shared" si="5"/>
        <v>1.5887005649717514</v>
      </c>
      <c r="T26" s="10">
        <f t="shared" si="6"/>
        <v>3.9983328702417338</v>
      </c>
      <c r="U26" s="10">
        <f t="shared" si="7"/>
        <v>5.5870334352134847</v>
      </c>
      <c r="V26" s="18" t="str">
        <f t="shared" si="0"/>
        <v>Наблюдение</v>
      </c>
    </row>
    <row r="27" spans="1:41" ht="18" x14ac:dyDescent="0.45">
      <c r="A27" s="2">
        <v>27</v>
      </c>
      <c r="B27" s="2">
        <f>Лист2!B28</f>
        <v>5</v>
      </c>
      <c r="C27" s="2">
        <f>MAX(Лист2!$B$2:B27)</f>
        <v>8</v>
      </c>
      <c r="D27" s="2">
        <f>MIN(Лист2!$B$2:B27)</f>
        <v>1</v>
      </c>
      <c r="E27" s="2">
        <f t="shared" si="1"/>
        <v>0</v>
      </c>
      <c r="F27" s="2">
        <f t="shared" si="2"/>
        <v>0</v>
      </c>
      <c r="G27" s="2">
        <f t="shared" si="3"/>
        <v>0</v>
      </c>
      <c r="H27" s="10">
        <f t="shared" si="4"/>
        <v>3.7037037037037035E-2</v>
      </c>
      <c r="I27" s="2">
        <f t="shared" si="8"/>
        <v>378</v>
      </c>
      <c r="J27" s="2">
        <f t="shared" si="9"/>
        <v>6930</v>
      </c>
      <c r="K27" s="2">
        <f t="shared" si="10"/>
        <v>100</v>
      </c>
      <c r="L27" s="2">
        <f t="shared" si="11"/>
        <v>1606</v>
      </c>
      <c r="M27" s="2"/>
      <c r="N27" s="2"/>
      <c r="O27" s="2"/>
      <c r="P27" s="2">
        <v>26</v>
      </c>
      <c r="Q27" s="11">
        <f>Лист2!A27</f>
        <v>45733</v>
      </c>
      <c r="R27" s="12">
        <f>Лист2!B27</f>
        <v>8</v>
      </c>
      <c r="S27" s="24">
        <f t="shared" si="5"/>
        <v>1.5887005649717514</v>
      </c>
      <c r="T27" s="10">
        <f t="shared" si="6"/>
        <v>4.1582661850514029</v>
      </c>
      <c r="U27" s="10">
        <f t="shared" si="7"/>
        <v>5.7469667500231543</v>
      </c>
      <c r="V27" s="18" t="str">
        <f t="shared" si="0"/>
        <v>Наблюдение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spans="1:41" ht="18" x14ac:dyDescent="0.45">
      <c r="A28" s="2">
        <v>28</v>
      </c>
      <c r="B28" s="2">
        <f>Лист2!B29</f>
        <v>8</v>
      </c>
      <c r="C28" s="2">
        <f>MAX(Лист2!$B$2:B28)</f>
        <v>8</v>
      </c>
      <c r="D28" s="2">
        <f>MIN(Лист2!$B$2:B28)</f>
        <v>1</v>
      </c>
      <c r="E28" s="2">
        <f t="shared" si="1"/>
        <v>0</v>
      </c>
      <c r="F28" s="2">
        <f t="shared" si="2"/>
        <v>0</v>
      </c>
      <c r="G28" s="2">
        <f t="shared" si="3"/>
        <v>0</v>
      </c>
      <c r="H28" s="10">
        <f t="shared" si="4"/>
        <v>3.5714285714285712E-2</v>
      </c>
      <c r="I28" s="2">
        <f t="shared" si="8"/>
        <v>406</v>
      </c>
      <c r="J28" s="2">
        <f t="shared" si="9"/>
        <v>7714</v>
      </c>
      <c r="K28" s="2">
        <f t="shared" si="10"/>
        <v>108</v>
      </c>
      <c r="L28" s="2">
        <f t="shared" si="11"/>
        <v>1830</v>
      </c>
      <c r="M28" s="2"/>
      <c r="N28" s="2"/>
      <c r="O28" s="2"/>
      <c r="P28" s="2">
        <v>27</v>
      </c>
      <c r="Q28" s="11">
        <f>Лист2!A28</f>
        <v>45740</v>
      </c>
      <c r="R28" s="12">
        <f>Лист2!B28</f>
        <v>5</v>
      </c>
      <c r="S28" s="24">
        <f t="shared" si="5"/>
        <v>1.5887005649717514</v>
      </c>
      <c r="T28" s="10">
        <f t="shared" si="6"/>
        <v>4.3181994998610724</v>
      </c>
      <c r="U28" s="10">
        <f t="shared" si="7"/>
        <v>5.9069000648328238</v>
      </c>
      <c r="V28" s="18" t="str">
        <f t="shared" si="0"/>
        <v>Наблюдение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spans="1:41" ht="18" x14ac:dyDescent="0.45">
      <c r="A29" s="2">
        <v>29</v>
      </c>
      <c r="B29" s="2">
        <f>Лист2!B30</f>
        <v>7</v>
      </c>
      <c r="C29" s="2">
        <f>MAX(Лист2!$B$2:B29)</f>
        <v>8</v>
      </c>
      <c r="D29" s="2">
        <f>MIN(Лист2!$B$2:B29)</f>
        <v>1</v>
      </c>
      <c r="E29" s="2">
        <f t="shared" si="1"/>
        <v>0</v>
      </c>
      <c r="F29" s="2">
        <f t="shared" si="2"/>
        <v>0</v>
      </c>
      <c r="G29" s="2">
        <f t="shared" si="3"/>
        <v>0</v>
      </c>
      <c r="H29" s="10">
        <f t="shared" si="4"/>
        <v>3.4482758620689655E-2</v>
      </c>
      <c r="I29" s="2">
        <f t="shared" si="8"/>
        <v>435</v>
      </c>
      <c r="J29" s="2">
        <f t="shared" si="9"/>
        <v>8555</v>
      </c>
      <c r="K29" s="2">
        <f t="shared" si="10"/>
        <v>115</v>
      </c>
      <c r="L29" s="2">
        <f t="shared" si="11"/>
        <v>2033</v>
      </c>
      <c r="M29" s="2"/>
      <c r="N29" s="2"/>
      <c r="O29" s="2"/>
      <c r="P29" s="2">
        <v>28</v>
      </c>
      <c r="Q29" s="11">
        <f>Лист2!A29</f>
        <v>45747</v>
      </c>
      <c r="R29" s="12">
        <f>Лист2!B29</f>
        <v>8</v>
      </c>
      <c r="S29" s="24">
        <f t="shared" si="5"/>
        <v>1.5887005649717514</v>
      </c>
      <c r="T29" s="10">
        <f t="shared" si="6"/>
        <v>4.478132814670742</v>
      </c>
      <c r="U29" s="10">
        <f t="shared" si="7"/>
        <v>6.0668333796424934</v>
      </c>
      <c r="V29" s="18" t="str">
        <f t="shared" si="0"/>
        <v>Наблюдение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 spans="1:41" ht="25" customHeight="1" x14ac:dyDescent="0.45">
      <c r="A30" s="2">
        <v>30</v>
      </c>
      <c r="B30" s="2">
        <f>Лист2!B31</f>
        <v>2</v>
      </c>
      <c r="C30" s="2">
        <f>MAX(Лист2!$B$2:B30)</f>
        <v>8</v>
      </c>
      <c r="D30" s="2">
        <f>MIN(Лист2!$B$2:B30)</f>
        <v>1</v>
      </c>
      <c r="E30" s="2">
        <f t="shared" si="1"/>
        <v>0</v>
      </c>
      <c r="F30" s="2">
        <f t="shared" si="2"/>
        <v>0</v>
      </c>
      <c r="G30" s="2">
        <f t="shared" si="3"/>
        <v>0</v>
      </c>
      <c r="H30" s="10">
        <f t="shared" si="4"/>
        <v>3.3333333333333333E-2</v>
      </c>
      <c r="I30" s="2">
        <f t="shared" si="8"/>
        <v>465</v>
      </c>
      <c r="J30" s="2">
        <f t="shared" si="9"/>
        <v>9455</v>
      </c>
      <c r="K30" s="2">
        <f t="shared" si="10"/>
        <v>117</v>
      </c>
      <c r="L30" s="2">
        <f t="shared" si="11"/>
        <v>2093</v>
      </c>
      <c r="M30" s="2"/>
      <c r="N30" s="2"/>
      <c r="O30" s="2"/>
      <c r="P30" s="2">
        <v>29</v>
      </c>
      <c r="Q30" s="11">
        <f>Лист2!A30</f>
        <v>45754</v>
      </c>
      <c r="R30" s="12">
        <f>Лист2!B30</f>
        <v>7</v>
      </c>
      <c r="S30" s="24">
        <f t="shared" si="5"/>
        <v>1.5887005649717514</v>
      </c>
      <c r="T30" s="10">
        <f t="shared" si="6"/>
        <v>4.6380661294804115</v>
      </c>
      <c r="U30" s="10">
        <f t="shared" si="7"/>
        <v>6.2267666944521629</v>
      </c>
      <c r="V30" s="18" t="str">
        <f t="shared" si="0"/>
        <v>Наблюдение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 spans="1:41" ht="18" x14ac:dyDescent="0.45">
      <c r="A31" s="2">
        <v>31</v>
      </c>
      <c r="B31" s="2">
        <f>Лист2!B32</f>
        <v>7</v>
      </c>
      <c r="C31" s="2">
        <f>MAX(Лист2!$B$2:B31)</f>
        <v>8</v>
      </c>
      <c r="D31" s="2">
        <f>MIN(Лист2!$B$2:B31)</f>
        <v>1</v>
      </c>
      <c r="E31" s="2">
        <f t="shared" si="1"/>
        <v>0</v>
      </c>
      <c r="F31" s="2">
        <f t="shared" si="2"/>
        <v>0</v>
      </c>
      <c r="G31" s="2">
        <f t="shared" si="3"/>
        <v>0</v>
      </c>
      <c r="H31" s="10">
        <f t="shared" si="4"/>
        <v>3.2258064516129031E-2</v>
      </c>
      <c r="I31" s="2">
        <f t="shared" si="8"/>
        <v>496</v>
      </c>
      <c r="J31" s="2">
        <f t="shared" si="9"/>
        <v>10416</v>
      </c>
      <c r="K31" s="2">
        <f t="shared" si="10"/>
        <v>124</v>
      </c>
      <c r="L31" s="2">
        <f t="shared" si="11"/>
        <v>2310</v>
      </c>
      <c r="M31" s="2"/>
      <c r="N31" s="2"/>
      <c r="O31" s="2"/>
      <c r="P31" s="2">
        <v>30</v>
      </c>
      <c r="Q31" s="11">
        <f>Лист2!A31</f>
        <v>45761</v>
      </c>
      <c r="R31" s="12">
        <f>Лист2!B31</f>
        <v>2</v>
      </c>
      <c r="S31" s="24">
        <f t="shared" si="5"/>
        <v>1.5887005649717514</v>
      </c>
      <c r="T31" s="10">
        <f t="shared" si="6"/>
        <v>4.7979994442900802</v>
      </c>
      <c r="U31" s="10">
        <f t="shared" si="7"/>
        <v>6.3867000092618316</v>
      </c>
      <c r="V31" s="18" t="str">
        <f t="shared" si="0"/>
        <v>Наблюдение</v>
      </c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spans="1:41" ht="18" x14ac:dyDescent="0.45">
      <c r="A32" s="2">
        <v>32</v>
      </c>
      <c r="B32" s="2">
        <f>Лист2!B33</f>
        <v>9</v>
      </c>
      <c r="C32" s="2">
        <f>MAX(Лист2!$B$2:B32)</f>
        <v>8</v>
      </c>
      <c r="D32" s="2">
        <f>MIN(Лист2!$B$2:B32)</f>
        <v>1</v>
      </c>
      <c r="E32" s="2">
        <f t="shared" si="1"/>
        <v>1</v>
      </c>
      <c r="F32" s="2">
        <f t="shared" si="2"/>
        <v>0</v>
      </c>
      <c r="G32" s="2">
        <f t="shared" si="3"/>
        <v>1</v>
      </c>
      <c r="H32" s="10">
        <f t="shared" si="4"/>
        <v>3.125E-2</v>
      </c>
      <c r="I32" s="2">
        <f t="shared" si="8"/>
        <v>528</v>
      </c>
      <c r="J32" s="2">
        <f t="shared" si="9"/>
        <v>11440</v>
      </c>
      <c r="K32" s="2">
        <f t="shared" si="10"/>
        <v>133</v>
      </c>
      <c r="L32" s="2">
        <f t="shared" si="11"/>
        <v>2598</v>
      </c>
      <c r="M32" s="2"/>
      <c r="N32" s="2"/>
      <c r="O32" s="2"/>
      <c r="P32" s="2">
        <v>31</v>
      </c>
      <c r="Q32" s="11">
        <f>Лист2!A32</f>
        <v>45768</v>
      </c>
      <c r="R32" s="12">
        <f>Лист2!B32</f>
        <v>7</v>
      </c>
      <c r="S32" s="24">
        <f t="shared" si="5"/>
        <v>1.5887005649717514</v>
      </c>
      <c r="T32" s="10">
        <f t="shared" si="6"/>
        <v>4.9579327590997497</v>
      </c>
      <c r="U32" s="10">
        <f t="shared" si="7"/>
        <v>6.5466333240715011</v>
      </c>
      <c r="V32" s="18" t="str">
        <f t="shared" si="0"/>
        <v>Наблюдение</v>
      </c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 spans="1:41" ht="18" x14ac:dyDescent="0.45">
      <c r="A33" s="2">
        <v>33</v>
      </c>
      <c r="B33" s="2">
        <f>Лист2!B34</f>
        <v>6</v>
      </c>
      <c r="C33" s="2">
        <f>MAX(Лист2!$B$2:B33)</f>
        <v>9</v>
      </c>
      <c r="D33" s="2">
        <f>MIN(Лист2!$B$2:B33)</f>
        <v>1</v>
      </c>
      <c r="E33" s="2">
        <f t="shared" si="1"/>
        <v>0</v>
      </c>
      <c r="F33" s="2">
        <f t="shared" si="2"/>
        <v>0</v>
      </c>
      <c r="G33" s="2">
        <f t="shared" si="3"/>
        <v>0</v>
      </c>
      <c r="H33" s="10">
        <f t="shared" si="4"/>
        <v>3.0303030303030304E-2</v>
      </c>
      <c r="I33" s="2">
        <f t="shared" si="8"/>
        <v>561</v>
      </c>
      <c r="J33" s="2">
        <f t="shared" si="9"/>
        <v>12529</v>
      </c>
      <c r="K33" s="2">
        <f t="shared" si="10"/>
        <v>139</v>
      </c>
      <c r="L33" s="2">
        <f t="shared" si="11"/>
        <v>2796</v>
      </c>
      <c r="M33" s="2"/>
      <c r="N33" s="2"/>
      <c r="O33" s="2"/>
      <c r="P33" s="2">
        <v>32</v>
      </c>
      <c r="Q33" s="11">
        <f>Лист2!A33</f>
        <v>45775</v>
      </c>
      <c r="R33" s="12">
        <f>Лист2!B33</f>
        <v>9</v>
      </c>
      <c r="S33" s="24">
        <f t="shared" si="5"/>
        <v>1.5887005649717514</v>
      </c>
      <c r="T33" s="10">
        <f t="shared" si="6"/>
        <v>5.1178660739094193</v>
      </c>
      <c r="U33" s="10">
        <f t="shared" si="7"/>
        <v>6.7065666388811707</v>
      </c>
      <c r="V33" s="18" t="str">
        <f t="shared" si="0"/>
        <v>Наблюдение</v>
      </c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ht="18" x14ac:dyDescent="0.45">
      <c r="A34" s="2">
        <v>34</v>
      </c>
      <c r="B34" s="2">
        <f>Лист2!B35</f>
        <v>8</v>
      </c>
      <c r="C34" s="2">
        <f>MAX(Лист2!$B$2:B34)</f>
        <v>9</v>
      </c>
      <c r="D34" s="2">
        <f>MIN(Лист2!$B$2:B34)</f>
        <v>1</v>
      </c>
      <c r="E34" s="2">
        <f t="shared" ref="E34:E60" si="12">IF(B34&gt;C34,1,0)</f>
        <v>0</v>
      </c>
      <c r="F34" s="2">
        <f t="shared" ref="F34:F60" si="13">IF(B34&lt;D34,1,0)</f>
        <v>0</v>
      </c>
      <c r="G34" s="2">
        <f t="shared" ref="G34:G60" si="14">E34-F34</f>
        <v>0</v>
      </c>
      <c r="H34" s="10">
        <f t="shared" ref="H34:H60" si="15">1/A34</f>
        <v>2.9411764705882353E-2</v>
      </c>
      <c r="I34" s="2">
        <f t="shared" si="8"/>
        <v>595</v>
      </c>
      <c r="J34" s="2">
        <f t="shared" si="9"/>
        <v>13685</v>
      </c>
      <c r="K34" s="2">
        <f t="shared" si="10"/>
        <v>147</v>
      </c>
      <c r="L34" s="2">
        <f t="shared" si="11"/>
        <v>3068</v>
      </c>
      <c r="M34" s="2"/>
      <c r="N34" s="2"/>
      <c r="O34" s="2"/>
      <c r="P34" s="2">
        <v>33</v>
      </c>
      <c r="Q34" s="11">
        <f>Лист2!A34</f>
        <v>45782</v>
      </c>
      <c r="R34" s="12">
        <f>Лист2!B34</f>
        <v>6</v>
      </c>
      <c r="S34" s="24">
        <f t="shared" si="5"/>
        <v>1.5887005649717514</v>
      </c>
      <c r="T34" s="10">
        <f t="shared" si="6"/>
        <v>5.2777993887190888</v>
      </c>
      <c r="U34" s="10">
        <f t="shared" ref="U34:U65" si="16">S34+T34</f>
        <v>6.8664999536908402</v>
      </c>
      <c r="V34" s="18" t="str">
        <f t="shared" ref="V34:V65" si="17">IF(P34&lt;=60,"Наблюдение","Упреждение")</f>
        <v>Наблюдение</v>
      </c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ht="18" x14ac:dyDescent="0.45">
      <c r="A35" s="2">
        <v>35</v>
      </c>
      <c r="B35" s="2">
        <f>Лист2!B36</f>
        <v>5</v>
      </c>
      <c r="C35" s="2">
        <f>MAX(Лист2!$B$2:B35)</f>
        <v>9</v>
      </c>
      <c r="D35" s="2">
        <f>MIN(Лист2!$B$2:B35)</f>
        <v>1</v>
      </c>
      <c r="E35" s="2">
        <f t="shared" si="12"/>
        <v>0</v>
      </c>
      <c r="F35" s="2">
        <f t="shared" si="13"/>
        <v>0</v>
      </c>
      <c r="G35" s="2">
        <f t="shared" si="14"/>
        <v>0</v>
      </c>
      <c r="H35" s="10">
        <f t="shared" si="15"/>
        <v>2.8571428571428571E-2</v>
      </c>
      <c r="I35" s="2">
        <f t="shared" si="8"/>
        <v>630</v>
      </c>
      <c r="J35" s="2">
        <f t="shared" si="9"/>
        <v>14910</v>
      </c>
      <c r="K35" s="2">
        <f t="shared" si="10"/>
        <v>152</v>
      </c>
      <c r="L35" s="2">
        <f t="shared" si="11"/>
        <v>3243</v>
      </c>
      <c r="M35" s="2"/>
      <c r="N35" s="2"/>
      <c r="O35" s="2"/>
      <c r="P35" s="2">
        <v>34</v>
      </c>
      <c r="Q35" s="11">
        <f>Лист2!A35</f>
        <v>45789</v>
      </c>
      <c r="R35" s="12">
        <f>Лист2!B35</f>
        <v>8</v>
      </c>
      <c r="S35" s="24">
        <f t="shared" si="5"/>
        <v>1.5887005649717514</v>
      </c>
      <c r="T35" s="10">
        <f t="shared" si="6"/>
        <v>5.4377327035287584</v>
      </c>
      <c r="U35" s="10">
        <f t="shared" si="16"/>
        <v>7.0264332685005098</v>
      </c>
      <c r="V35" s="18" t="str">
        <f t="shared" si="17"/>
        <v>Наблюдение</v>
      </c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:41" ht="18" x14ac:dyDescent="0.45">
      <c r="A36" s="2">
        <v>36</v>
      </c>
      <c r="B36" s="2">
        <f>Лист2!B37</f>
        <v>10</v>
      </c>
      <c r="C36" s="2">
        <f>MAX(Лист2!$B$2:B36)</f>
        <v>9</v>
      </c>
      <c r="D36" s="2">
        <f>MIN(Лист2!$B$2:B36)</f>
        <v>1</v>
      </c>
      <c r="E36" s="2">
        <f t="shared" si="12"/>
        <v>1</v>
      </c>
      <c r="F36" s="2">
        <f t="shared" si="13"/>
        <v>0</v>
      </c>
      <c r="G36" s="2">
        <f t="shared" si="14"/>
        <v>1</v>
      </c>
      <c r="H36" s="10">
        <f t="shared" si="15"/>
        <v>2.7777777777777776E-2</v>
      </c>
      <c r="I36" s="2">
        <f t="shared" si="8"/>
        <v>666</v>
      </c>
      <c r="J36" s="2">
        <f t="shared" si="9"/>
        <v>16206</v>
      </c>
      <c r="K36" s="2">
        <f t="shared" si="10"/>
        <v>162</v>
      </c>
      <c r="L36" s="2">
        <f t="shared" si="11"/>
        <v>3603</v>
      </c>
      <c r="M36" s="2"/>
      <c r="N36" s="2"/>
      <c r="O36" s="2"/>
      <c r="P36" s="2">
        <v>35</v>
      </c>
      <c r="Q36" s="11">
        <f>Лист2!A36</f>
        <v>45796</v>
      </c>
      <c r="R36" s="12">
        <f>Лист2!B36</f>
        <v>5</v>
      </c>
      <c r="S36" s="24">
        <f t="shared" si="5"/>
        <v>1.5887005649717514</v>
      </c>
      <c r="T36" s="10">
        <f t="shared" si="6"/>
        <v>5.597666018338427</v>
      </c>
      <c r="U36" s="10">
        <f t="shared" si="16"/>
        <v>7.1863665833101784</v>
      </c>
      <c r="V36" s="18" t="str">
        <f t="shared" si="17"/>
        <v>Наблюдение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ht="18" x14ac:dyDescent="0.45">
      <c r="A37" s="2">
        <v>37</v>
      </c>
      <c r="B37" s="2">
        <f>Лист2!B38</f>
        <v>8</v>
      </c>
      <c r="C37" s="2">
        <f>MAX(Лист2!$B$2:B37)</f>
        <v>10</v>
      </c>
      <c r="D37" s="2">
        <f>MIN(Лист2!$B$2:B37)</f>
        <v>1</v>
      </c>
      <c r="E37" s="2">
        <f t="shared" si="12"/>
        <v>0</v>
      </c>
      <c r="F37" s="2">
        <f t="shared" si="13"/>
        <v>0</v>
      </c>
      <c r="G37" s="2">
        <f t="shared" si="14"/>
        <v>0</v>
      </c>
      <c r="H37" s="10">
        <f t="shared" si="15"/>
        <v>2.7027027027027029E-2</v>
      </c>
      <c r="I37" s="2">
        <f t="shared" si="8"/>
        <v>703</v>
      </c>
      <c r="J37" s="2">
        <f t="shared" si="9"/>
        <v>17575</v>
      </c>
      <c r="K37" s="2">
        <f t="shared" si="10"/>
        <v>170</v>
      </c>
      <c r="L37" s="2">
        <f t="shared" si="11"/>
        <v>3899</v>
      </c>
      <c r="M37" s="2"/>
      <c r="N37" s="2"/>
      <c r="O37" s="2"/>
      <c r="P37" s="2">
        <v>36</v>
      </c>
      <c r="Q37" s="11">
        <f>Лист2!A37</f>
        <v>45803</v>
      </c>
      <c r="R37" s="12">
        <f>Лист2!B37</f>
        <v>10</v>
      </c>
      <c r="S37" s="24">
        <f t="shared" si="5"/>
        <v>1.5887005649717514</v>
      </c>
      <c r="T37" s="10">
        <f t="shared" si="6"/>
        <v>5.7575993331480966</v>
      </c>
      <c r="U37" s="10">
        <f t="shared" si="16"/>
        <v>7.346299898119848</v>
      </c>
      <c r="V37" s="18" t="str">
        <f t="shared" si="17"/>
        <v>Наблюдение</v>
      </c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ht="18" x14ac:dyDescent="0.45">
      <c r="A38" s="2">
        <v>38</v>
      </c>
      <c r="B38" s="2">
        <f>Лист2!B39</f>
        <v>9</v>
      </c>
      <c r="C38" s="2">
        <f>MAX(Лист2!$B$2:B38)</f>
        <v>10</v>
      </c>
      <c r="D38" s="2">
        <f>MIN(Лист2!$B$2:B38)</f>
        <v>1</v>
      </c>
      <c r="E38" s="2">
        <f t="shared" si="12"/>
        <v>0</v>
      </c>
      <c r="F38" s="2">
        <f t="shared" si="13"/>
        <v>0</v>
      </c>
      <c r="G38" s="2">
        <f t="shared" si="14"/>
        <v>0</v>
      </c>
      <c r="H38" s="10">
        <f t="shared" si="15"/>
        <v>2.6315789473684209E-2</v>
      </c>
      <c r="I38" s="2">
        <f t="shared" si="8"/>
        <v>741</v>
      </c>
      <c r="J38" s="2">
        <f t="shared" si="9"/>
        <v>19019</v>
      </c>
      <c r="K38" s="2">
        <f t="shared" si="10"/>
        <v>179</v>
      </c>
      <c r="L38" s="2">
        <f t="shared" si="11"/>
        <v>4241</v>
      </c>
      <c r="M38" s="2"/>
      <c r="N38" s="2"/>
      <c r="O38" s="2"/>
      <c r="P38" s="2">
        <v>37</v>
      </c>
      <c r="Q38" s="11">
        <f>Лист2!A38</f>
        <v>45810</v>
      </c>
      <c r="R38" s="12">
        <f>Лист2!B38</f>
        <v>8</v>
      </c>
      <c r="S38" s="24">
        <f t="shared" si="5"/>
        <v>1.5887005649717514</v>
      </c>
      <c r="T38" s="10">
        <f t="shared" si="6"/>
        <v>5.9175326479577661</v>
      </c>
      <c r="U38" s="10">
        <f t="shared" si="16"/>
        <v>7.5062332129295175</v>
      </c>
      <c r="V38" s="18" t="str">
        <f t="shared" si="17"/>
        <v>Наблюдение</v>
      </c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ht="18" x14ac:dyDescent="0.45">
      <c r="A39" s="2">
        <v>39</v>
      </c>
      <c r="B39" s="2">
        <f>Лист2!B40</f>
        <v>8</v>
      </c>
      <c r="C39" s="2">
        <f>MAX(Лист2!$B$2:B39)</f>
        <v>10</v>
      </c>
      <c r="D39" s="2">
        <f>MIN(Лист2!$B$2:B39)</f>
        <v>1</v>
      </c>
      <c r="E39" s="2">
        <f t="shared" si="12"/>
        <v>0</v>
      </c>
      <c r="F39" s="2">
        <f t="shared" si="13"/>
        <v>0</v>
      </c>
      <c r="G39" s="2">
        <f t="shared" si="14"/>
        <v>0</v>
      </c>
      <c r="H39" s="10">
        <f t="shared" si="15"/>
        <v>2.564102564102564E-2</v>
      </c>
      <c r="I39" s="2">
        <f t="shared" si="8"/>
        <v>780</v>
      </c>
      <c r="J39" s="2">
        <f t="shared" si="9"/>
        <v>20540</v>
      </c>
      <c r="K39" s="2">
        <f t="shared" si="10"/>
        <v>187</v>
      </c>
      <c r="L39" s="2">
        <f t="shared" si="11"/>
        <v>4553</v>
      </c>
      <c r="M39" s="2"/>
      <c r="N39" s="2"/>
      <c r="O39" s="2"/>
      <c r="P39" s="2">
        <v>38</v>
      </c>
      <c r="Q39" s="11">
        <f>Лист2!A39</f>
        <v>45817</v>
      </c>
      <c r="R39" s="12">
        <f>Лист2!B39</f>
        <v>9</v>
      </c>
      <c r="S39" s="24">
        <f t="shared" si="5"/>
        <v>1.5887005649717514</v>
      </c>
      <c r="T39" s="10">
        <f t="shared" si="6"/>
        <v>6.0774659627674357</v>
      </c>
      <c r="U39" s="10">
        <f t="shared" si="16"/>
        <v>7.6661665277391871</v>
      </c>
      <c r="V39" s="18" t="str">
        <f t="shared" si="17"/>
        <v>Наблюдение</v>
      </c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:41" ht="18" x14ac:dyDescent="0.45">
      <c r="A40" s="2">
        <v>40</v>
      </c>
      <c r="B40" s="2">
        <f>Лист2!B41</f>
        <v>7</v>
      </c>
      <c r="C40" s="2">
        <f>MAX(Лист2!$B$2:B40)</f>
        <v>10</v>
      </c>
      <c r="D40" s="2">
        <f>MIN(Лист2!$B$2:B40)</f>
        <v>1</v>
      </c>
      <c r="E40" s="2">
        <f t="shared" si="12"/>
        <v>0</v>
      </c>
      <c r="F40" s="2">
        <f t="shared" si="13"/>
        <v>0</v>
      </c>
      <c r="G40" s="2">
        <f t="shared" si="14"/>
        <v>0</v>
      </c>
      <c r="H40" s="10">
        <f t="shared" si="15"/>
        <v>2.5000000000000001E-2</v>
      </c>
      <c r="I40" s="2">
        <f t="shared" si="8"/>
        <v>820</v>
      </c>
      <c r="J40" s="2">
        <f t="shared" si="9"/>
        <v>22140</v>
      </c>
      <c r="K40" s="2">
        <f t="shared" si="10"/>
        <v>194</v>
      </c>
      <c r="L40" s="2">
        <f t="shared" si="11"/>
        <v>4833</v>
      </c>
      <c r="M40" s="2"/>
      <c r="N40" s="2"/>
      <c r="O40" s="2"/>
      <c r="P40" s="2">
        <v>39</v>
      </c>
      <c r="Q40" s="11">
        <f>Лист2!A40</f>
        <v>45824</v>
      </c>
      <c r="R40" s="12">
        <f>Лист2!B40</f>
        <v>8</v>
      </c>
      <c r="S40" s="24">
        <f t="shared" si="5"/>
        <v>1.5887005649717514</v>
      </c>
      <c r="T40" s="10">
        <f t="shared" si="6"/>
        <v>6.2373992775771043</v>
      </c>
      <c r="U40" s="10">
        <f t="shared" si="16"/>
        <v>7.8260998425488557</v>
      </c>
      <c r="V40" s="18" t="str">
        <f t="shared" si="17"/>
        <v>Наблюдение</v>
      </c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 spans="1:41" ht="18" x14ac:dyDescent="0.45">
      <c r="A41" s="2">
        <v>41</v>
      </c>
      <c r="B41" s="2">
        <f>Лист2!B42</f>
        <v>10</v>
      </c>
      <c r="C41" s="2">
        <f>MAX(Лист2!$B$2:B41)</f>
        <v>10</v>
      </c>
      <c r="D41" s="2">
        <f>MIN(Лист2!$B$2:B41)</f>
        <v>1</v>
      </c>
      <c r="E41" s="2">
        <f t="shared" si="12"/>
        <v>0</v>
      </c>
      <c r="F41" s="2">
        <f t="shared" si="13"/>
        <v>0</v>
      </c>
      <c r="G41" s="2">
        <f t="shared" si="14"/>
        <v>0</v>
      </c>
      <c r="H41" s="10">
        <f t="shared" si="15"/>
        <v>2.4390243902439025E-2</v>
      </c>
      <c r="I41" s="2">
        <f t="shared" si="8"/>
        <v>861</v>
      </c>
      <c r="J41" s="2">
        <f t="shared" si="9"/>
        <v>23821</v>
      </c>
      <c r="K41" s="2">
        <f t="shared" si="10"/>
        <v>204</v>
      </c>
      <c r="L41" s="2">
        <f t="shared" si="11"/>
        <v>5243</v>
      </c>
      <c r="M41" s="2"/>
      <c r="N41" s="2"/>
      <c r="O41" s="2"/>
      <c r="P41" s="2">
        <v>40</v>
      </c>
      <c r="Q41" s="11">
        <f>Лист2!A41</f>
        <v>45831</v>
      </c>
      <c r="R41" s="12">
        <f>Лист2!B41</f>
        <v>7</v>
      </c>
      <c r="S41" s="24">
        <f t="shared" si="5"/>
        <v>1.5887005649717514</v>
      </c>
      <c r="T41" s="10">
        <f t="shared" si="6"/>
        <v>6.3973325923867739</v>
      </c>
      <c r="U41" s="10">
        <f t="shared" si="16"/>
        <v>7.9860331573585253</v>
      </c>
      <c r="V41" s="18" t="str">
        <f t="shared" si="17"/>
        <v>Наблюдение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spans="1:41" ht="18" x14ac:dyDescent="0.45">
      <c r="A42" s="2">
        <v>42</v>
      </c>
      <c r="B42" s="2">
        <f>Лист2!B43</f>
        <v>7</v>
      </c>
      <c r="C42" s="2">
        <f>MAX(Лист2!$B$2:B42)</f>
        <v>10</v>
      </c>
      <c r="D42" s="2">
        <f>MIN(Лист2!$B$2:B42)</f>
        <v>1</v>
      </c>
      <c r="E42" s="2">
        <f t="shared" si="12"/>
        <v>0</v>
      </c>
      <c r="F42" s="2">
        <f t="shared" si="13"/>
        <v>0</v>
      </c>
      <c r="G42" s="2">
        <f t="shared" si="14"/>
        <v>0</v>
      </c>
      <c r="H42" s="10">
        <f t="shared" si="15"/>
        <v>2.3809523809523808E-2</v>
      </c>
      <c r="I42" s="2">
        <f t="shared" si="8"/>
        <v>903</v>
      </c>
      <c r="J42" s="2">
        <f t="shared" si="9"/>
        <v>25585</v>
      </c>
      <c r="K42" s="2">
        <f t="shared" si="10"/>
        <v>211</v>
      </c>
      <c r="L42" s="2">
        <f t="shared" si="11"/>
        <v>5537</v>
      </c>
      <c r="M42" s="2"/>
      <c r="N42" s="2"/>
      <c r="O42" s="2"/>
      <c r="P42" s="2">
        <v>41</v>
      </c>
      <c r="Q42" s="11">
        <f>Лист2!A42</f>
        <v>45838</v>
      </c>
      <c r="R42" s="12">
        <f>Лист2!B42</f>
        <v>10</v>
      </c>
      <c r="S42" s="24">
        <f t="shared" si="5"/>
        <v>1.5887005649717514</v>
      </c>
      <c r="T42" s="10">
        <f t="shared" si="6"/>
        <v>6.5572659071964434</v>
      </c>
      <c r="U42" s="10">
        <f t="shared" si="16"/>
        <v>8.1459664721681939</v>
      </c>
      <c r="V42" s="18" t="str">
        <f t="shared" si="17"/>
        <v>Наблюдение</v>
      </c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 ht="18" x14ac:dyDescent="0.45">
      <c r="A43" s="2">
        <v>43</v>
      </c>
      <c r="B43" s="2">
        <f>Лист2!B44</f>
        <v>4</v>
      </c>
      <c r="C43" s="2">
        <f>MAX(Лист2!$B$2:B43)</f>
        <v>10</v>
      </c>
      <c r="D43" s="2">
        <f>MIN(Лист2!$B$2:B43)</f>
        <v>1</v>
      </c>
      <c r="E43" s="2">
        <f t="shared" si="12"/>
        <v>0</v>
      </c>
      <c r="F43" s="2">
        <f t="shared" si="13"/>
        <v>0</v>
      </c>
      <c r="G43" s="2">
        <f t="shared" si="14"/>
        <v>0</v>
      </c>
      <c r="H43" s="10">
        <f t="shared" si="15"/>
        <v>2.3255813953488372E-2</v>
      </c>
      <c r="I43" s="2">
        <f t="shared" si="8"/>
        <v>946</v>
      </c>
      <c r="J43" s="2">
        <f t="shared" si="9"/>
        <v>27434</v>
      </c>
      <c r="K43" s="2">
        <f t="shared" si="10"/>
        <v>215</v>
      </c>
      <c r="L43" s="2">
        <f t="shared" si="11"/>
        <v>5709</v>
      </c>
      <c r="M43" s="2"/>
      <c r="N43" s="2"/>
      <c r="O43" s="2"/>
      <c r="P43" s="2">
        <v>42</v>
      </c>
      <c r="Q43" s="11">
        <f>Лист2!A43</f>
        <v>45845</v>
      </c>
      <c r="R43" s="12">
        <f>Лист2!B43</f>
        <v>7</v>
      </c>
      <c r="S43" s="24">
        <f t="shared" si="5"/>
        <v>1.5887005649717514</v>
      </c>
      <c r="T43" s="10">
        <f t="shared" si="6"/>
        <v>6.717199222006113</v>
      </c>
      <c r="U43" s="10">
        <f t="shared" si="16"/>
        <v>8.3058997869778644</v>
      </c>
      <c r="V43" s="18" t="str">
        <f t="shared" si="17"/>
        <v>Наблюдение</v>
      </c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 spans="1:41" ht="18" x14ac:dyDescent="0.45">
      <c r="A44" s="2">
        <v>44</v>
      </c>
      <c r="B44" s="2">
        <f>Лист2!B45</f>
        <v>7</v>
      </c>
      <c r="C44" s="2">
        <f>MAX(Лист2!$B$2:B44)</f>
        <v>10</v>
      </c>
      <c r="D44" s="2">
        <f>MIN(Лист2!$B$2:B44)</f>
        <v>1</v>
      </c>
      <c r="E44" s="2">
        <f t="shared" si="12"/>
        <v>0</v>
      </c>
      <c r="F44" s="2">
        <f t="shared" si="13"/>
        <v>0</v>
      </c>
      <c r="G44" s="2">
        <f t="shared" si="14"/>
        <v>0</v>
      </c>
      <c r="H44" s="10">
        <f t="shared" si="15"/>
        <v>2.2727272727272728E-2</v>
      </c>
      <c r="I44" s="2">
        <f t="shared" si="8"/>
        <v>990</v>
      </c>
      <c r="J44" s="2">
        <f t="shared" si="9"/>
        <v>29370</v>
      </c>
      <c r="K44" s="2">
        <f t="shared" si="10"/>
        <v>222</v>
      </c>
      <c r="L44" s="2">
        <f t="shared" si="11"/>
        <v>6017</v>
      </c>
      <c r="M44" s="2"/>
      <c r="N44" s="2"/>
      <c r="O44" s="2"/>
      <c r="P44" s="2">
        <v>43</v>
      </c>
      <c r="Q44" s="11">
        <f>Лист2!A44</f>
        <v>45852</v>
      </c>
      <c r="R44" s="12">
        <f>Лист2!B44</f>
        <v>4</v>
      </c>
      <c r="S44" s="24">
        <f t="shared" si="5"/>
        <v>1.5887005649717514</v>
      </c>
      <c r="T44" s="10">
        <f t="shared" si="6"/>
        <v>6.8771325368157825</v>
      </c>
      <c r="U44" s="10">
        <f t="shared" si="16"/>
        <v>8.4658331017875348</v>
      </c>
      <c r="V44" s="18" t="str">
        <f t="shared" si="17"/>
        <v>Наблюдение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:41" ht="18" x14ac:dyDescent="0.45">
      <c r="A45" s="2">
        <v>45</v>
      </c>
      <c r="B45" s="2">
        <f>Лист2!B46</f>
        <v>9</v>
      </c>
      <c r="C45" s="2">
        <f>MAX(Лист2!$B$2:B45)</f>
        <v>10</v>
      </c>
      <c r="D45" s="2">
        <f>MIN(Лист2!$B$2:B45)</f>
        <v>1</v>
      </c>
      <c r="E45" s="2">
        <f t="shared" si="12"/>
        <v>0</v>
      </c>
      <c r="F45" s="2">
        <f t="shared" si="13"/>
        <v>0</v>
      </c>
      <c r="G45" s="2">
        <f t="shared" si="14"/>
        <v>0</v>
      </c>
      <c r="H45" s="10">
        <f t="shared" si="15"/>
        <v>2.2222222222222223E-2</v>
      </c>
      <c r="I45" s="2">
        <f t="shared" si="8"/>
        <v>1035</v>
      </c>
      <c r="J45" s="2">
        <f t="shared" si="9"/>
        <v>31395</v>
      </c>
      <c r="K45" s="2">
        <f t="shared" si="10"/>
        <v>231</v>
      </c>
      <c r="L45" s="2">
        <f t="shared" si="11"/>
        <v>6422</v>
      </c>
      <c r="M45" s="2"/>
      <c r="N45" s="2"/>
      <c r="O45" s="2"/>
      <c r="P45" s="2">
        <v>44</v>
      </c>
      <c r="Q45" s="11">
        <f>Лист2!A45</f>
        <v>45859</v>
      </c>
      <c r="R45" s="12">
        <f>Лист2!B45</f>
        <v>7</v>
      </c>
      <c r="S45" s="24">
        <f t="shared" si="5"/>
        <v>1.5887005649717514</v>
      </c>
      <c r="T45" s="10">
        <f t="shared" si="6"/>
        <v>7.0370658516254512</v>
      </c>
      <c r="U45" s="10">
        <f t="shared" si="16"/>
        <v>8.6257664165972017</v>
      </c>
      <c r="V45" s="18" t="str">
        <f t="shared" si="17"/>
        <v>Наблюдение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ht="18" x14ac:dyDescent="0.45">
      <c r="A46" s="2">
        <v>46</v>
      </c>
      <c r="B46" s="2">
        <f>Лист2!B47</f>
        <v>8</v>
      </c>
      <c r="C46" s="2">
        <f>MAX(Лист2!$B$2:B46)</f>
        <v>10</v>
      </c>
      <c r="D46" s="2">
        <f>MIN(Лист2!$B$2:B46)</f>
        <v>1</v>
      </c>
      <c r="E46" s="2">
        <f t="shared" si="12"/>
        <v>0</v>
      </c>
      <c r="F46" s="2">
        <f t="shared" si="13"/>
        <v>0</v>
      </c>
      <c r="G46" s="2">
        <f t="shared" si="14"/>
        <v>0</v>
      </c>
      <c r="H46" s="10">
        <f t="shared" si="15"/>
        <v>2.1739130434782608E-2</v>
      </c>
      <c r="I46" s="2">
        <f t="shared" si="8"/>
        <v>1081</v>
      </c>
      <c r="J46" s="2">
        <f t="shared" si="9"/>
        <v>33511</v>
      </c>
      <c r="K46" s="2">
        <f t="shared" si="10"/>
        <v>239</v>
      </c>
      <c r="L46" s="2">
        <f t="shared" si="11"/>
        <v>6790</v>
      </c>
      <c r="M46" s="2"/>
      <c r="N46" s="2"/>
      <c r="O46" s="2"/>
      <c r="P46" s="2">
        <v>45</v>
      </c>
      <c r="Q46" s="11">
        <f>Лист2!A46</f>
        <v>45866</v>
      </c>
      <c r="R46" s="12">
        <f>Лист2!B46</f>
        <v>9</v>
      </c>
      <c r="S46" s="24">
        <f t="shared" si="5"/>
        <v>1.5887005649717514</v>
      </c>
      <c r="T46" s="10">
        <f t="shared" si="6"/>
        <v>7.1969991664351207</v>
      </c>
      <c r="U46" s="10">
        <f t="shared" si="16"/>
        <v>8.7856997314068721</v>
      </c>
      <c r="V46" s="18" t="str">
        <f t="shared" si="17"/>
        <v>Наблюдение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ht="18" x14ac:dyDescent="0.45">
      <c r="A47" s="2">
        <v>47</v>
      </c>
      <c r="B47" s="2">
        <f>Лист2!B48</f>
        <v>9</v>
      </c>
      <c r="C47" s="2">
        <f>MAX(Лист2!$B$2:B47)</f>
        <v>10</v>
      </c>
      <c r="D47" s="2">
        <f>MIN(Лист2!$B$2:B47)</f>
        <v>1</v>
      </c>
      <c r="E47" s="2">
        <f t="shared" si="12"/>
        <v>0</v>
      </c>
      <c r="F47" s="2">
        <f t="shared" si="13"/>
        <v>0</v>
      </c>
      <c r="G47" s="2">
        <f t="shared" si="14"/>
        <v>0</v>
      </c>
      <c r="H47" s="10">
        <f t="shared" si="15"/>
        <v>2.1276595744680851E-2</v>
      </c>
      <c r="I47" s="2">
        <f t="shared" si="8"/>
        <v>1128</v>
      </c>
      <c r="J47" s="2">
        <f t="shared" si="9"/>
        <v>35720</v>
      </c>
      <c r="K47" s="2">
        <f t="shared" si="10"/>
        <v>248</v>
      </c>
      <c r="L47" s="2">
        <f t="shared" si="11"/>
        <v>7213</v>
      </c>
      <c r="M47" s="2"/>
      <c r="N47" s="2"/>
      <c r="O47" s="2"/>
      <c r="P47" s="2">
        <v>46</v>
      </c>
      <c r="Q47" s="11">
        <f>Лист2!A47</f>
        <v>45873</v>
      </c>
      <c r="R47" s="12">
        <f>Лист2!B47</f>
        <v>8</v>
      </c>
      <c r="S47" s="24">
        <f t="shared" si="5"/>
        <v>1.5887005649717514</v>
      </c>
      <c r="T47" s="10">
        <f t="shared" si="6"/>
        <v>7.3569324812447903</v>
      </c>
      <c r="U47" s="10">
        <f t="shared" si="16"/>
        <v>8.9456330462165425</v>
      </c>
      <c r="V47" s="18" t="str">
        <f t="shared" si="17"/>
        <v>Наблюдение</v>
      </c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spans="1:41" ht="18" x14ac:dyDescent="0.45">
      <c r="A48" s="2">
        <v>48</v>
      </c>
      <c r="B48" s="2">
        <f>Лист2!B49</f>
        <v>14</v>
      </c>
      <c r="C48" s="2">
        <f>MAX(Лист2!$B$2:B48)</f>
        <v>10</v>
      </c>
      <c r="D48" s="2">
        <f>MIN(Лист2!$B$2:B48)</f>
        <v>1</v>
      </c>
      <c r="E48" s="2">
        <f t="shared" si="12"/>
        <v>1</v>
      </c>
      <c r="F48" s="2">
        <f t="shared" si="13"/>
        <v>0</v>
      </c>
      <c r="G48" s="2">
        <f t="shared" si="14"/>
        <v>1</v>
      </c>
      <c r="H48" s="10">
        <f t="shared" si="15"/>
        <v>2.0833333333333332E-2</v>
      </c>
      <c r="I48" s="2">
        <f t="shared" si="8"/>
        <v>1176</v>
      </c>
      <c r="J48" s="2">
        <f t="shared" si="9"/>
        <v>38024</v>
      </c>
      <c r="K48" s="2">
        <f t="shared" si="10"/>
        <v>262</v>
      </c>
      <c r="L48" s="2">
        <f t="shared" si="11"/>
        <v>7885</v>
      </c>
      <c r="M48" s="2"/>
      <c r="N48" s="2"/>
      <c r="O48" s="2"/>
      <c r="P48" s="2">
        <v>47</v>
      </c>
      <c r="Q48" s="11">
        <f>Лист2!A48</f>
        <v>45880</v>
      </c>
      <c r="R48" s="12">
        <f>Лист2!B48</f>
        <v>9</v>
      </c>
      <c r="S48" s="24">
        <f t="shared" si="5"/>
        <v>1.5887005649717514</v>
      </c>
      <c r="T48" s="10">
        <f t="shared" si="6"/>
        <v>7.5168657960544598</v>
      </c>
      <c r="U48" s="10">
        <f t="shared" si="16"/>
        <v>9.1055663610262112</v>
      </c>
      <c r="V48" s="18" t="str">
        <f t="shared" si="17"/>
        <v>Наблюдение</v>
      </c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 ht="18" x14ac:dyDescent="0.45">
      <c r="A49" s="2">
        <v>49</v>
      </c>
      <c r="B49" s="2">
        <f>Лист2!B50</f>
        <v>9</v>
      </c>
      <c r="C49" s="2">
        <f>MAX(Лист2!$B$2:B49)</f>
        <v>14</v>
      </c>
      <c r="D49" s="2">
        <f>MIN(Лист2!$B$2:B49)</f>
        <v>1</v>
      </c>
      <c r="E49" s="2">
        <f t="shared" si="12"/>
        <v>0</v>
      </c>
      <c r="F49" s="2">
        <f t="shared" si="13"/>
        <v>0</v>
      </c>
      <c r="G49" s="2">
        <f t="shared" si="14"/>
        <v>0</v>
      </c>
      <c r="H49" s="10">
        <f t="shared" si="15"/>
        <v>2.0408163265306121E-2</v>
      </c>
      <c r="I49" s="2">
        <f t="shared" si="8"/>
        <v>1225</v>
      </c>
      <c r="J49" s="2">
        <f t="shared" si="9"/>
        <v>40425</v>
      </c>
      <c r="K49" s="2">
        <f t="shared" si="10"/>
        <v>271</v>
      </c>
      <c r="L49" s="2">
        <f t="shared" si="11"/>
        <v>8326</v>
      </c>
      <c r="M49" s="2"/>
      <c r="N49" s="2"/>
      <c r="O49" s="2"/>
      <c r="P49" s="2">
        <v>48</v>
      </c>
      <c r="Q49" s="11">
        <f>Лист2!A49</f>
        <v>45887</v>
      </c>
      <c r="R49" s="12">
        <f>Лист2!B49</f>
        <v>14</v>
      </c>
      <c r="S49" s="24">
        <f t="shared" si="5"/>
        <v>1.5887005649717514</v>
      </c>
      <c r="T49" s="10">
        <f t="shared" si="6"/>
        <v>7.6767991108641294</v>
      </c>
      <c r="U49" s="10">
        <f t="shared" si="16"/>
        <v>9.2654996758358799</v>
      </c>
      <c r="V49" s="18" t="str">
        <f t="shared" si="17"/>
        <v>Наблюдение</v>
      </c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ht="18" x14ac:dyDescent="0.45">
      <c r="A50" s="2">
        <v>50</v>
      </c>
      <c r="B50" s="2">
        <f>Лист2!B51</f>
        <v>12</v>
      </c>
      <c r="C50" s="2">
        <f>MAX(Лист2!$B$2:B50)</f>
        <v>14</v>
      </c>
      <c r="D50" s="2">
        <f>MIN(Лист2!$B$2:B50)</f>
        <v>1</v>
      </c>
      <c r="E50" s="2">
        <f t="shared" si="12"/>
        <v>0</v>
      </c>
      <c r="F50" s="2">
        <f t="shared" si="13"/>
        <v>0</v>
      </c>
      <c r="G50" s="2">
        <f t="shared" si="14"/>
        <v>0</v>
      </c>
      <c r="H50" s="10">
        <f t="shared" si="15"/>
        <v>0.02</v>
      </c>
      <c r="I50" s="2">
        <f t="shared" si="8"/>
        <v>1275</v>
      </c>
      <c r="J50" s="2">
        <f t="shared" si="9"/>
        <v>42925</v>
      </c>
      <c r="K50" s="2">
        <f t="shared" si="10"/>
        <v>283</v>
      </c>
      <c r="L50" s="2">
        <f t="shared" si="11"/>
        <v>8926</v>
      </c>
      <c r="M50" s="2"/>
      <c r="N50" s="2"/>
      <c r="O50" s="2"/>
      <c r="P50" s="2">
        <v>49</v>
      </c>
      <c r="Q50" s="11">
        <f>Лист2!A50</f>
        <v>45894</v>
      </c>
      <c r="R50" s="12">
        <f>Лист2!B50</f>
        <v>9</v>
      </c>
      <c r="S50" s="24">
        <f t="shared" si="5"/>
        <v>1.5887005649717514</v>
      </c>
      <c r="T50" s="10">
        <f t="shared" si="6"/>
        <v>7.836732425673798</v>
      </c>
      <c r="U50" s="10">
        <f t="shared" si="16"/>
        <v>9.4254329906455503</v>
      </c>
      <c r="V50" s="18" t="str">
        <f t="shared" si="17"/>
        <v>Наблюдение</v>
      </c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ht="18" x14ac:dyDescent="0.45">
      <c r="A51" s="2">
        <v>51</v>
      </c>
      <c r="B51" s="2">
        <f>Лист2!B52</f>
        <v>9</v>
      </c>
      <c r="C51" s="2">
        <f>MAX(Лист2!$B$2:B51)</f>
        <v>14</v>
      </c>
      <c r="D51" s="2">
        <f>MIN(Лист2!$B$2:B51)</f>
        <v>1</v>
      </c>
      <c r="E51" s="2">
        <f t="shared" si="12"/>
        <v>0</v>
      </c>
      <c r="F51" s="2">
        <f t="shared" si="13"/>
        <v>0</v>
      </c>
      <c r="G51" s="2">
        <f t="shared" si="14"/>
        <v>0</v>
      </c>
      <c r="H51" s="10">
        <f t="shared" si="15"/>
        <v>1.9607843137254902E-2</v>
      </c>
      <c r="I51" s="2">
        <f t="shared" si="8"/>
        <v>1326</v>
      </c>
      <c r="J51" s="2">
        <f t="shared" si="9"/>
        <v>45526</v>
      </c>
      <c r="K51" s="2">
        <f t="shared" si="10"/>
        <v>292</v>
      </c>
      <c r="L51" s="2">
        <f t="shared" si="11"/>
        <v>9385</v>
      </c>
      <c r="M51" s="2"/>
      <c r="N51" s="2"/>
      <c r="O51" s="2"/>
      <c r="P51" s="2">
        <v>50</v>
      </c>
      <c r="Q51" s="11">
        <f>Лист2!A51</f>
        <v>45901</v>
      </c>
      <c r="R51" s="12">
        <f>Лист2!B51</f>
        <v>12</v>
      </c>
      <c r="S51" s="24">
        <f t="shared" si="5"/>
        <v>1.5887005649717514</v>
      </c>
      <c r="T51" s="10">
        <f t="shared" si="6"/>
        <v>7.9966657404834676</v>
      </c>
      <c r="U51" s="10">
        <f t="shared" si="16"/>
        <v>9.5853663054552189</v>
      </c>
      <c r="V51" s="18" t="str">
        <f t="shared" si="17"/>
        <v>Наблюдение</v>
      </c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ht="18" x14ac:dyDescent="0.45">
      <c r="A52" s="2">
        <v>52</v>
      </c>
      <c r="B52" s="2">
        <f>Лист2!B53</f>
        <v>11</v>
      </c>
      <c r="C52" s="2">
        <f>MAX(Лист2!$B$2:B52)</f>
        <v>14</v>
      </c>
      <c r="D52" s="2">
        <f>MIN(Лист2!$B$2:B52)</f>
        <v>1</v>
      </c>
      <c r="E52" s="2">
        <f t="shared" si="12"/>
        <v>0</v>
      </c>
      <c r="F52" s="2">
        <f t="shared" si="13"/>
        <v>0</v>
      </c>
      <c r="G52" s="2">
        <f t="shared" si="14"/>
        <v>0</v>
      </c>
      <c r="H52" s="10">
        <f t="shared" si="15"/>
        <v>1.9230769230769232E-2</v>
      </c>
      <c r="I52" s="2">
        <f t="shared" si="8"/>
        <v>1378</v>
      </c>
      <c r="J52" s="2">
        <f t="shared" si="9"/>
        <v>48230</v>
      </c>
      <c r="K52" s="2">
        <f t="shared" si="10"/>
        <v>303</v>
      </c>
      <c r="L52" s="2">
        <f t="shared" si="11"/>
        <v>9957</v>
      </c>
      <c r="M52" s="2"/>
      <c r="N52" s="2"/>
      <c r="O52" s="2"/>
      <c r="P52" s="2">
        <v>51</v>
      </c>
      <c r="Q52" s="11">
        <f>Лист2!A52</f>
        <v>45908</v>
      </c>
      <c r="R52" s="12">
        <f>Лист2!B52</f>
        <v>9</v>
      </c>
      <c r="S52" s="24">
        <f t="shared" si="5"/>
        <v>1.5887005649717514</v>
      </c>
      <c r="T52" s="10">
        <f t="shared" si="6"/>
        <v>8.1565990552931371</v>
      </c>
      <c r="U52" s="10">
        <f t="shared" si="16"/>
        <v>9.7452996202648876</v>
      </c>
      <c r="V52" s="18" t="str">
        <f t="shared" si="17"/>
        <v>Наблюдение</v>
      </c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 spans="1:41" ht="18" x14ac:dyDescent="0.45">
      <c r="A53" s="2">
        <v>53</v>
      </c>
      <c r="B53" s="2">
        <f>Лист2!B54</f>
        <v>15</v>
      </c>
      <c r="C53" s="2">
        <f>MAX(Лист2!$B$2:B53)</f>
        <v>14</v>
      </c>
      <c r="D53" s="2">
        <f>MIN(Лист2!$B$2:B53)</f>
        <v>1</v>
      </c>
      <c r="E53" s="2">
        <f t="shared" si="12"/>
        <v>1</v>
      </c>
      <c r="F53" s="2">
        <f t="shared" si="13"/>
        <v>0</v>
      </c>
      <c r="G53" s="2">
        <f t="shared" si="14"/>
        <v>1</v>
      </c>
      <c r="H53" s="10">
        <f t="shared" si="15"/>
        <v>1.8867924528301886E-2</v>
      </c>
      <c r="I53" s="2">
        <f t="shared" si="8"/>
        <v>1431</v>
      </c>
      <c r="J53" s="2">
        <f t="shared" si="9"/>
        <v>51039</v>
      </c>
      <c r="K53" s="2">
        <f t="shared" si="10"/>
        <v>318</v>
      </c>
      <c r="L53" s="2">
        <f t="shared" si="11"/>
        <v>10752</v>
      </c>
      <c r="M53" s="2"/>
      <c r="N53" s="2"/>
      <c r="O53" s="2"/>
      <c r="P53" s="2">
        <v>52</v>
      </c>
      <c r="Q53" s="11">
        <f>Лист2!A53</f>
        <v>45915</v>
      </c>
      <c r="R53" s="12">
        <f>Лист2!B53</f>
        <v>11</v>
      </c>
      <c r="S53" s="24">
        <f t="shared" si="5"/>
        <v>1.5887005649717514</v>
      </c>
      <c r="T53" s="10">
        <f t="shared" si="6"/>
        <v>8.3165323701028058</v>
      </c>
      <c r="U53" s="10">
        <f t="shared" si="16"/>
        <v>9.905232935074558</v>
      </c>
      <c r="V53" s="18" t="str">
        <f t="shared" si="17"/>
        <v>Наблюдение</v>
      </c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spans="1:41" ht="18" x14ac:dyDescent="0.45">
      <c r="A54" s="2">
        <v>54</v>
      </c>
      <c r="B54" s="2">
        <f>Лист2!B55</f>
        <v>8</v>
      </c>
      <c r="C54" s="2">
        <f>MAX(Лист2!$B$2:B54)</f>
        <v>15</v>
      </c>
      <c r="D54" s="2">
        <f>MIN(Лист2!$B$2:B54)</f>
        <v>1</v>
      </c>
      <c r="E54" s="2">
        <f t="shared" si="12"/>
        <v>0</v>
      </c>
      <c r="F54" s="2">
        <f t="shared" si="13"/>
        <v>0</v>
      </c>
      <c r="G54" s="2">
        <f t="shared" si="14"/>
        <v>0</v>
      </c>
      <c r="H54" s="10">
        <f t="shared" si="15"/>
        <v>1.8518518518518517E-2</v>
      </c>
      <c r="I54" s="2">
        <f t="shared" si="8"/>
        <v>1485</v>
      </c>
      <c r="J54" s="2">
        <f t="shared" si="9"/>
        <v>53955</v>
      </c>
      <c r="K54" s="2">
        <f t="shared" si="10"/>
        <v>326</v>
      </c>
      <c r="L54" s="2">
        <f t="shared" si="11"/>
        <v>11184</v>
      </c>
      <c r="M54" s="2"/>
      <c r="N54" s="2"/>
      <c r="O54" s="2"/>
      <c r="P54" s="2">
        <v>53</v>
      </c>
      <c r="Q54" s="11">
        <f>Лист2!A54</f>
        <v>45922</v>
      </c>
      <c r="R54" s="12">
        <f>Лист2!B54</f>
        <v>15</v>
      </c>
      <c r="S54" s="24">
        <f t="shared" si="5"/>
        <v>1.5887005649717514</v>
      </c>
      <c r="T54" s="10">
        <f t="shared" si="6"/>
        <v>8.4764656849124762</v>
      </c>
      <c r="U54" s="10">
        <f t="shared" si="16"/>
        <v>10.065166249884228</v>
      </c>
      <c r="V54" s="18" t="str">
        <f t="shared" si="17"/>
        <v>Наблюдение</v>
      </c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</row>
    <row r="55" spans="1:41" ht="18" x14ac:dyDescent="0.45">
      <c r="A55" s="2">
        <v>55</v>
      </c>
      <c r="B55" s="2">
        <f>Лист2!B56</f>
        <v>14</v>
      </c>
      <c r="C55" s="2">
        <f>MAX(Лист2!$B$2:B55)</f>
        <v>15</v>
      </c>
      <c r="D55" s="2">
        <f>MIN(Лист2!$B$2:B55)</f>
        <v>1</v>
      </c>
      <c r="E55" s="2">
        <f t="shared" si="12"/>
        <v>0</v>
      </c>
      <c r="F55" s="2">
        <f t="shared" si="13"/>
        <v>0</v>
      </c>
      <c r="G55" s="2">
        <f t="shared" si="14"/>
        <v>0</v>
      </c>
      <c r="H55" s="10">
        <f t="shared" si="15"/>
        <v>1.8181818181818181E-2</v>
      </c>
      <c r="I55" s="2">
        <f t="shared" si="8"/>
        <v>1540</v>
      </c>
      <c r="J55" s="2">
        <f t="shared" si="9"/>
        <v>56980</v>
      </c>
      <c r="K55" s="2">
        <f t="shared" si="10"/>
        <v>340</v>
      </c>
      <c r="L55" s="2">
        <f t="shared" si="11"/>
        <v>11954</v>
      </c>
      <c r="M55" s="2"/>
      <c r="N55" s="2"/>
      <c r="O55" s="2"/>
      <c r="P55" s="2">
        <v>54</v>
      </c>
      <c r="Q55" s="11">
        <f>Лист2!A55</f>
        <v>45929</v>
      </c>
      <c r="R55" s="12">
        <f>Лист2!B55</f>
        <v>8</v>
      </c>
      <c r="S55" s="24">
        <f t="shared" si="5"/>
        <v>1.5887005649717514</v>
      </c>
      <c r="T55" s="10">
        <f t="shared" si="6"/>
        <v>8.6363989997221449</v>
      </c>
      <c r="U55" s="10">
        <f t="shared" si="16"/>
        <v>10.225099564693895</v>
      </c>
      <c r="V55" s="18" t="str">
        <f t="shared" si="17"/>
        <v>Наблюдение</v>
      </c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</row>
    <row r="56" spans="1:41" ht="18" x14ac:dyDescent="0.45">
      <c r="A56" s="2">
        <v>56</v>
      </c>
      <c r="B56" s="2">
        <f>Лист2!B57</f>
        <v>15</v>
      </c>
      <c r="C56" s="2">
        <f>MAX(Лист2!$B$2:B56)</f>
        <v>15</v>
      </c>
      <c r="D56" s="2">
        <f>MIN(Лист2!$B$2:B56)</f>
        <v>1</v>
      </c>
      <c r="E56" s="2">
        <f t="shared" si="12"/>
        <v>0</v>
      </c>
      <c r="F56" s="2">
        <f t="shared" si="13"/>
        <v>0</v>
      </c>
      <c r="G56" s="2">
        <f t="shared" si="14"/>
        <v>0</v>
      </c>
      <c r="H56" s="10">
        <f t="shared" si="15"/>
        <v>1.7857142857142856E-2</v>
      </c>
      <c r="I56" s="2">
        <f t="shared" si="8"/>
        <v>1596</v>
      </c>
      <c r="J56" s="2">
        <f t="shared" si="9"/>
        <v>60116</v>
      </c>
      <c r="K56" s="2">
        <f t="shared" si="10"/>
        <v>355</v>
      </c>
      <c r="L56" s="2">
        <f t="shared" si="11"/>
        <v>12794</v>
      </c>
      <c r="M56" s="2"/>
      <c r="N56" s="2"/>
      <c r="O56" s="2"/>
      <c r="P56" s="2">
        <v>55</v>
      </c>
      <c r="Q56" s="11">
        <f>Лист2!A56</f>
        <v>45936</v>
      </c>
      <c r="R56" s="12">
        <f>Лист2!B56</f>
        <v>14</v>
      </c>
      <c r="S56" s="24">
        <f t="shared" si="5"/>
        <v>1.5887005649717514</v>
      </c>
      <c r="T56" s="10">
        <f t="shared" si="6"/>
        <v>8.7963323145318135</v>
      </c>
      <c r="U56" s="10">
        <f t="shared" si="16"/>
        <v>10.385032879503566</v>
      </c>
      <c r="V56" s="18" t="str">
        <f t="shared" si="17"/>
        <v>Наблюдение</v>
      </c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</row>
    <row r="57" spans="1:41" ht="18" x14ac:dyDescent="0.45">
      <c r="A57" s="2">
        <v>57</v>
      </c>
      <c r="B57" s="2">
        <f>Лист2!B58</f>
        <v>9</v>
      </c>
      <c r="C57" s="2">
        <f>MAX(Лист2!$B$2:B57)</f>
        <v>15</v>
      </c>
      <c r="D57" s="2">
        <f>MIN(Лист2!$B$2:B57)</f>
        <v>1</v>
      </c>
      <c r="E57" s="2">
        <f t="shared" si="12"/>
        <v>0</v>
      </c>
      <c r="F57" s="2">
        <f t="shared" si="13"/>
        <v>0</v>
      </c>
      <c r="G57" s="2">
        <f t="shared" si="14"/>
        <v>0</v>
      </c>
      <c r="H57" s="10">
        <f t="shared" si="15"/>
        <v>1.7543859649122806E-2</v>
      </c>
      <c r="I57" s="2">
        <f t="shared" si="8"/>
        <v>1653</v>
      </c>
      <c r="J57" s="2">
        <f t="shared" si="9"/>
        <v>63365</v>
      </c>
      <c r="K57" s="2">
        <f t="shared" si="10"/>
        <v>364</v>
      </c>
      <c r="L57" s="2">
        <f t="shared" si="11"/>
        <v>13307</v>
      </c>
      <c r="M57" s="2"/>
      <c r="N57" s="2"/>
      <c r="O57" s="2"/>
      <c r="P57" s="2">
        <v>56</v>
      </c>
      <c r="Q57" s="11">
        <f>Лист2!A57</f>
        <v>45943</v>
      </c>
      <c r="R57" s="12">
        <f>Лист2!B57</f>
        <v>15</v>
      </c>
      <c r="S57" s="24">
        <f t="shared" si="5"/>
        <v>1.5887005649717514</v>
      </c>
      <c r="T57" s="10">
        <f t="shared" si="6"/>
        <v>8.956265629341484</v>
      </c>
      <c r="U57" s="10">
        <f t="shared" si="16"/>
        <v>10.544966194313236</v>
      </c>
      <c r="V57" s="18" t="str">
        <f t="shared" si="17"/>
        <v>Наблюдение</v>
      </c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</row>
    <row r="58" spans="1:41" ht="18" x14ac:dyDescent="0.45">
      <c r="A58" s="2">
        <v>58</v>
      </c>
      <c r="B58" s="2">
        <f>Лист2!B59</f>
        <v>13</v>
      </c>
      <c r="C58" s="2">
        <f>MAX(Лист2!$B$2:B58)</f>
        <v>15</v>
      </c>
      <c r="D58" s="2">
        <f>MIN(Лист2!$B$2:B58)</f>
        <v>1</v>
      </c>
      <c r="E58" s="2">
        <f t="shared" si="12"/>
        <v>0</v>
      </c>
      <c r="F58" s="2">
        <f t="shared" si="13"/>
        <v>0</v>
      </c>
      <c r="G58" s="2">
        <f t="shared" si="14"/>
        <v>0</v>
      </c>
      <c r="H58" s="10">
        <f t="shared" si="15"/>
        <v>1.7241379310344827E-2</v>
      </c>
      <c r="I58" s="2">
        <f t="shared" si="8"/>
        <v>1711</v>
      </c>
      <c r="J58" s="2">
        <f t="shared" si="9"/>
        <v>66729</v>
      </c>
      <c r="K58" s="2">
        <f t="shared" si="10"/>
        <v>377</v>
      </c>
      <c r="L58" s="2">
        <f t="shared" si="11"/>
        <v>14061</v>
      </c>
      <c r="M58" s="2"/>
      <c r="N58" s="2"/>
      <c r="O58" s="2"/>
      <c r="P58" s="2">
        <v>57</v>
      </c>
      <c r="Q58" s="11">
        <f>Лист2!A58</f>
        <v>45950</v>
      </c>
      <c r="R58" s="12">
        <f>Лист2!B58</f>
        <v>9</v>
      </c>
      <c r="S58" s="24">
        <f t="shared" si="5"/>
        <v>1.5887005649717514</v>
      </c>
      <c r="T58" s="10">
        <f t="shared" si="6"/>
        <v>9.1161989441511526</v>
      </c>
      <c r="U58" s="10">
        <f t="shared" si="16"/>
        <v>10.704899509122903</v>
      </c>
      <c r="V58" s="18" t="str">
        <f t="shared" si="17"/>
        <v>Наблюдение</v>
      </c>
    </row>
    <row r="59" spans="1:41" ht="18" x14ac:dyDescent="0.45">
      <c r="A59" s="2">
        <v>59</v>
      </c>
      <c r="B59" s="2">
        <f>Лист2!B60</f>
        <v>9</v>
      </c>
      <c r="C59" s="2">
        <f>MAX(Лист2!$B$2:B59)</f>
        <v>15</v>
      </c>
      <c r="D59" s="2">
        <f>MIN(Лист2!$B$2:B59)</f>
        <v>1</v>
      </c>
      <c r="E59" s="2">
        <f t="shared" si="12"/>
        <v>0</v>
      </c>
      <c r="F59" s="2">
        <f t="shared" si="13"/>
        <v>0</v>
      </c>
      <c r="G59" s="2">
        <f t="shared" si="14"/>
        <v>0</v>
      </c>
      <c r="H59" s="10">
        <f t="shared" si="15"/>
        <v>1.6949152542372881E-2</v>
      </c>
      <c r="I59" s="2">
        <f t="shared" si="8"/>
        <v>1770</v>
      </c>
      <c r="J59" s="2">
        <f t="shared" si="9"/>
        <v>70210</v>
      </c>
      <c r="K59" s="2">
        <f t="shared" si="10"/>
        <v>386</v>
      </c>
      <c r="L59" s="2">
        <f t="shared" si="11"/>
        <v>14592</v>
      </c>
      <c r="M59" s="2"/>
      <c r="N59" s="2"/>
      <c r="O59" s="2"/>
      <c r="P59" s="2">
        <v>58</v>
      </c>
      <c r="Q59" s="11">
        <f>Лист2!A59</f>
        <v>45957</v>
      </c>
      <c r="R59" s="12">
        <f>Лист2!B59</f>
        <v>13</v>
      </c>
      <c r="S59" s="24">
        <f t="shared" si="5"/>
        <v>1.5887005649717514</v>
      </c>
      <c r="T59" s="10">
        <f t="shared" si="6"/>
        <v>9.2761322589608231</v>
      </c>
      <c r="U59" s="10">
        <f t="shared" si="16"/>
        <v>10.864832823932574</v>
      </c>
      <c r="V59" s="18" t="str">
        <f t="shared" si="17"/>
        <v>Наблюдение</v>
      </c>
    </row>
    <row r="60" spans="1:41" ht="18" x14ac:dyDescent="0.45">
      <c r="A60" s="2">
        <v>60</v>
      </c>
      <c r="B60" s="2">
        <f>Лист2!B61</f>
        <v>2</v>
      </c>
      <c r="C60" s="2">
        <f>MAX(Лист2!$B$2:B60)</f>
        <v>15</v>
      </c>
      <c r="D60" s="2">
        <f>MIN(Лист2!$B$2:B60)</f>
        <v>1</v>
      </c>
      <c r="E60" s="2">
        <f t="shared" si="12"/>
        <v>0</v>
      </c>
      <c r="F60" s="2">
        <f t="shared" si="13"/>
        <v>0</v>
      </c>
      <c r="G60" s="2">
        <f t="shared" si="14"/>
        <v>0</v>
      </c>
      <c r="H60" s="10">
        <f t="shared" si="15"/>
        <v>1.6666666666666666E-2</v>
      </c>
      <c r="I60" s="2">
        <f t="shared" si="8"/>
        <v>1830</v>
      </c>
      <c r="J60" s="2">
        <f t="shared" si="9"/>
        <v>73810</v>
      </c>
      <c r="K60" s="2">
        <f t="shared" si="10"/>
        <v>388</v>
      </c>
      <c r="L60" s="2">
        <f t="shared" si="11"/>
        <v>14712</v>
      </c>
      <c r="M60" s="2"/>
      <c r="N60" s="2"/>
      <c r="O60" s="2"/>
      <c r="P60" s="2">
        <v>59</v>
      </c>
      <c r="Q60" s="11">
        <f>Лист2!A60</f>
        <v>45964</v>
      </c>
      <c r="R60" s="12">
        <f>Лист2!B60</f>
        <v>9</v>
      </c>
      <c r="S60" s="24">
        <f t="shared" si="5"/>
        <v>1.5887005649717514</v>
      </c>
      <c r="T60" s="10">
        <f t="shared" si="6"/>
        <v>9.4360655737704917</v>
      </c>
      <c r="U60" s="10">
        <f t="shared" si="16"/>
        <v>11.024766138742244</v>
      </c>
      <c r="V60" s="18" t="str">
        <f t="shared" si="17"/>
        <v>Наблюдение</v>
      </c>
    </row>
    <row r="61" spans="1:41" ht="18" x14ac:dyDescent="0.45">
      <c r="A61" s="22"/>
      <c r="P61" s="13">
        <v>60</v>
      </c>
      <c r="Q61" s="14">
        <f>Лист2!A61</f>
        <v>45971</v>
      </c>
      <c r="R61" s="15">
        <f>Лист2!B61</f>
        <v>2</v>
      </c>
      <c r="S61" s="24">
        <f t="shared" si="5"/>
        <v>1.5887005649717514</v>
      </c>
      <c r="T61" s="10">
        <f t="shared" si="6"/>
        <v>9.5959988885801604</v>
      </c>
      <c r="U61" s="10">
        <f t="shared" si="16"/>
        <v>11.184699453551911</v>
      </c>
      <c r="V61" s="19" t="str">
        <f t="shared" si="17"/>
        <v>Наблюдение</v>
      </c>
      <c r="W61" s="21">
        <v>0</v>
      </c>
    </row>
    <row r="62" spans="1:41" ht="18" x14ac:dyDescent="0.45">
      <c r="P62" s="2">
        <v>61</v>
      </c>
      <c r="Q62" s="2">
        <f>Лист2!A62</f>
        <v>45978</v>
      </c>
      <c r="R62" s="15"/>
      <c r="S62" s="24">
        <f t="shared" si="5"/>
        <v>1.5887005649717514</v>
      </c>
      <c r="T62" s="10">
        <f t="shared" si="6"/>
        <v>9.7559322033898308</v>
      </c>
      <c r="U62" s="10">
        <f t="shared" si="16"/>
        <v>11.344632768361581</v>
      </c>
      <c r="V62" s="17" t="str">
        <f t="shared" si="17"/>
        <v>Упреждение</v>
      </c>
      <c r="W62" s="20">
        <v>20</v>
      </c>
    </row>
    <row r="63" spans="1:41" ht="18" x14ac:dyDescent="0.45">
      <c r="P63" s="2">
        <v>62</v>
      </c>
      <c r="Q63" s="2">
        <f>Лист2!A63</f>
        <v>45985</v>
      </c>
      <c r="R63" s="15"/>
      <c r="S63" s="24">
        <f t="shared" si="5"/>
        <v>1.5887005649717514</v>
      </c>
      <c r="T63" s="10">
        <f t="shared" si="6"/>
        <v>9.9158655181994995</v>
      </c>
      <c r="U63" s="10">
        <f t="shared" si="16"/>
        <v>11.504566083171252</v>
      </c>
      <c r="V63" s="17" t="str">
        <f t="shared" si="17"/>
        <v>Упреждение</v>
      </c>
    </row>
    <row r="64" spans="1:41" ht="18" x14ac:dyDescent="0.45">
      <c r="P64" s="2">
        <v>63</v>
      </c>
      <c r="Q64" s="2">
        <f>Лист2!A64</f>
        <v>45992</v>
      </c>
      <c r="R64" s="15"/>
      <c r="S64" s="24">
        <f t="shared" si="5"/>
        <v>1.5887005649717514</v>
      </c>
      <c r="T64" s="10">
        <f t="shared" si="6"/>
        <v>10.07579883300917</v>
      </c>
      <c r="U64" s="10">
        <f t="shared" si="16"/>
        <v>11.664499397980922</v>
      </c>
      <c r="V64" s="17" t="str">
        <f t="shared" si="17"/>
        <v>Упреждение</v>
      </c>
    </row>
    <row r="65" spans="16:22" ht="18" x14ac:dyDescent="0.45">
      <c r="P65" s="2">
        <v>64</v>
      </c>
      <c r="Q65" s="2">
        <f>Лист2!A65</f>
        <v>45999</v>
      </c>
      <c r="R65" s="15"/>
      <c r="S65" s="24">
        <f t="shared" si="5"/>
        <v>1.5887005649717514</v>
      </c>
      <c r="T65" s="10">
        <f t="shared" si="6"/>
        <v>10.235732147818839</v>
      </c>
      <c r="U65" s="10">
        <f t="shared" si="16"/>
        <v>11.824432712790589</v>
      </c>
      <c r="V65" s="17" t="str">
        <f t="shared" si="17"/>
        <v>Упреждение</v>
      </c>
    </row>
    <row r="66" spans="16:22" ht="18" x14ac:dyDescent="0.45">
      <c r="P66" s="2">
        <v>65</v>
      </c>
      <c r="Q66" s="2">
        <f>Лист2!A66</f>
        <v>46006</v>
      </c>
      <c r="R66" s="15"/>
      <c r="S66" s="24">
        <f t="shared" si="5"/>
        <v>1.5887005649717514</v>
      </c>
      <c r="T66" s="10">
        <f t="shared" si="6"/>
        <v>10.395665462628507</v>
      </c>
      <c r="U66" s="10">
        <f t="shared" ref="U66:U97" si="18">S66+T66</f>
        <v>11.984366027600259</v>
      </c>
      <c r="V66" s="17" t="str">
        <f t="shared" ref="V66:V100" si="19">IF(P66&lt;=60,"Наблюдение","Упреждение")</f>
        <v>Упреждение</v>
      </c>
    </row>
    <row r="67" spans="16:22" ht="18" x14ac:dyDescent="0.45">
      <c r="P67" s="2">
        <v>66</v>
      </c>
      <c r="Q67" s="2">
        <f>Лист2!A67</f>
        <v>46013</v>
      </c>
      <c r="R67" s="15"/>
      <c r="S67" s="24">
        <f t="shared" ref="S67:S100" si="20">$M$2</f>
        <v>1.5887005649717514</v>
      </c>
      <c r="T67" s="10">
        <f t="shared" ref="T67:T100" si="21">$N$2*P67</f>
        <v>10.555598777438178</v>
      </c>
      <c r="U67" s="10">
        <f t="shared" si="18"/>
        <v>12.14429934240993</v>
      </c>
      <c r="V67" s="17" t="str">
        <f t="shared" si="19"/>
        <v>Упреждение</v>
      </c>
    </row>
    <row r="68" spans="16:22" ht="18" x14ac:dyDescent="0.45">
      <c r="P68" s="2">
        <v>67</v>
      </c>
      <c r="Q68" s="2">
        <f>Лист2!A68</f>
        <v>46020</v>
      </c>
      <c r="R68" s="15"/>
      <c r="S68" s="24">
        <f t="shared" si="20"/>
        <v>1.5887005649717514</v>
      </c>
      <c r="T68" s="10">
        <f t="shared" si="21"/>
        <v>10.715532092247846</v>
      </c>
      <c r="U68" s="10">
        <f t="shared" si="18"/>
        <v>12.304232657219597</v>
      </c>
      <c r="V68" s="17" t="str">
        <f t="shared" si="19"/>
        <v>Упреждение</v>
      </c>
    </row>
    <row r="69" spans="16:22" ht="18" x14ac:dyDescent="0.45">
      <c r="P69" s="2">
        <v>68</v>
      </c>
      <c r="Q69" s="2">
        <f>Лист2!A69</f>
        <v>46027</v>
      </c>
      <c r="R69" s="15"/>
      <c r="S69" s="24">
        <f t="shared" si="20"/>
        <v>1.5887005649717514</v>
      </c>
      <c r="T69" s="10">
        <f t="shared" si="21"/>
        <v>10.875465407057517</v>
      </c>
      <c r="U69" s="10">
        <f t="shared" si="18"/>
        <v>12.464165972029267</v>
      </c>
      <c r="V69" s="17" t="str">
        <f t="shared" si="19"/>
        <v>Упреждение</v>
      </c>
    </row>
    <row r="70" spans="16:22" ht="18" x14ac:dyDescent="0.45">
      <c r="P70" s="2">
        <v>69</v>
      </c>
      <c r="Q70" s="2">
        <f>Лист2!A70</f>
        <v>46034</v>
      </c>
      <c r="R70" s="15"/>
      <c r="S70" s="24">
        <f t="shared" si="20"/>
        <v>1.5887005649717514</v>
      </c>
      <c r="T70" s="10">
        <f t="shared" si="21"/>
        <v>11.035398721867185</v>
      </c>
      <c r="U70" s="10">
        <f t="shared" si="18"/>
        <v>12.624099286838938</v>
      </c>
      <c r="V70" s="17" t="str">
        <f t="shared" si="19"/>
        <v>Упреждение</v>
      </c>
    </row>
    <row r="71" spans="16:22" ht="18" x14ac:dyDescent="0.45">
      <c r="P71" s="2">
        <v>70</v>
      </c>
      <c r="Q71" s="2">
        <f>Лист2!A71</f>
        <v>46041</v>
      </c>
      <c r="R71" s="15"/>
      <c r="S71" s="24">
        <f t="shared" si="20"/>
        <v>1.5887005649717514</v>
      </c>
      <c r="T71" s="10">
        <f t="shared" si="21"/>
        <v>11.195332036676854</v>
      </c>
      <c r="U71" s="10">
        <f t="shared" si="18"/>
        <v>12.784032601648605</v>
      </c>
      <c r="V71" s="17" t="str">
        <f t="shared" si="19"/>
        <v>Упреждение</v>
      </c>
    </row>
    <row r="72" spans="16:22" ht="18" x14ac:dyDescent="0.45">
      <c r="P72" s="2">
        <v>71</v>
      </c>
      <c r="Q72" s="2">
        <f>Лист2!A72</f>
        <v>46048</v>
      </c>
      <c r="R72" s="15"/>
      <c r="S72" s="24">
        <f t="shared" si="20"/>
        <v>1.5887005649717514</v>
      </c>
      <c r="T72" s="10">
        <f t="shared" si="21"/>
        <v>11.355265351486524</v>
      </c>
      <c r="U72" s="10">
        <f t="shared" si="18"/>
        <v>12.943965916458275</v>
      </c>
      <c r="V72" s="17" t="str">
        <f t="shared" si="19"/>
        <v>Упреждение</v>
      </c>
    </row>
    <row r="73" spans="16:22" ht="18" x14ac:dyDescent="0.45">
      <c r="P73" s="2">
        <v>72</v>
      </c>
      <c r="Q73" s="2">
        <f>Лист2!A73</f>
        <v>46055</v>
      </c>
      <c r="R73" s="15"/>
      <c r="S73" s="24">
        <f t="shared" si="20"/>
        <v>1.5887005649717514</v>
      </c>
      <c r="T73" s="10">
        <f t="shared" si="21"/>
        <v>11.515198666296193</v>
      </c>
      <c r="U73" s="10">
        <f t="shared" si="18"/>
        <v>13.103899231267945</v>
      </c>
      <c r="V73" s="17" t="str">
        <f t="shared" si="19"/>
        <v>Упреждение</v>
      </c>
    </row>
    <row r="74" spans="16:22" ht="18" x14ac:dyDescent="0.45">
      <c r="P74" s="2">
        <v>73</v>
      </c>
      <c r="Q74" s="2">
        <f>Лист2!A74</f>
        <v>46062</v>
      </c>
      <c r="R74" s="15"/>
      <c r="S74" s="24">
        <f t="shared" si="20"/>
        <v>1.5887005649717514</v>
      </c>
      <c r="T74" s="10">
        <f t="shared" si="21"/>
        <v>11.675131981105864</v>
      </c>
      <c r="U74" s="10">
        <f t="shared" si="18"/>
        <v>13.263832546077616</v>
      </c>
      <c r="V74" s="17" t="str">
        <f t="shared" si="19"/>
        <v>Упреждение</v>
      </c>
    </row>
    <row r="75" spans="16:22" ht="18" x14ac:dyDescent="0.45">
      <c r="P75" s="2">
        <v>74</v>
      </c>
      <c r="Q75" s="2">
        <f>Лист2!A75</f>
        <v>46069</v>
      </c>
      <c r="R75" s="15"/>
      <c r="S75" s="24">
        <f t="shared" si="20"/>
        <v>1.5887005649717514</v>
      </c>
      <c r="T75" s="10">
        <f t="shared" si="21"/>
        <v>11.835065295915532</v>
      </c>
      <c r="U75" s="10">
        <f t="shared" si="18"/>
        <v>13.423765860887283</v>
      </c>
      <c r="V75" s="17" t="str">
        <f t="shared" si="19"/>
        <v>Упреждение</v>
      </c>
    </row>
    <row r="76" spans="16:22" ht="18" x14ac:dyDescent="0.45">
      <c r="P76" s="2">
        <v>75</v>
      </c>
      <c r="Q76" s="2">
        <f>Лист2!A76</f>
        <v>46076</v>
      </c>
      <c r="R76" s="15"/>
      <c r="S76" s="24">
        <f t="shared" si="20"/>
        <v>1.5887005649717514</v>
      </c>
      <c r="T76" s="10">
        <f t="shared" si="21"/>
        <v>11.994998610725201</v>
      </c>
      <c r="U76" s="10">
        <f t="shared" si="18"/>
        <v>13.583699175696953</v>
      </c>
      <c r="V76" s="17" t="str">
        <f t="shared" si="19"/>
        <v>Упреждение</v>
      </c>
    </row>
    <row r="77" spans="16:22" ht="18" x14ac:dyDescent="0.45">
      <c r="P77" s="2">
        <v>76</v>
      </c>
      <c r="Q77" s="2">
        <f>Лист2!A77</f>
        <v>46083</v>
      </c>
      <c r="R77" s="15"/>
      <c r="S77" s="24">
        <f t="shared" si="20"/>
        <v>1.5887005649717514</v>
      </c>
      <c r="T77" s="10">
        <f t="shared" si="21"/>
        <v>12.154931925534871</v>
      </c>
      <c r="U77" s="10">
        <f t="shared" si="18"/>
        <v>13.743632490506624</v>
      </c>
      <c r="V77" s="17" t="str">
        <f t="shared" si="19"/>
        <v>Упреждение</v>
      </c>
    </row>
    <row r="78" spans="16:22" ht="18" x14ac:dyDescent="0.45">
      <c r="P78" s="2">
        <v>77</v>
      </c>
      <c r="Q78" s="2">
        <f>Лист2!A78</f>
        <v>46090</v>
      </c>
      <c r="R78" s="15"/>
      <c r="S78" s="24">
        <f t="shared" si="20"/>
        <v>1.5887005649717514</v>
      </c>
      <c r="T78" s="10">
        <f t="shared" si="21"/>
        <v>12.31486524034454</v>
      </c>
      <c r="U78" s="10">
        <f t="shared" si="18"/>
        <v>13.90356580531629</v>
      </c>
      <c r="V78" s="17" t="str">
        <f t="shared" si="19"/>
        <v>Упреждение</v>
      </c>
    </row>
    <row r="79" spans="16:22" ht="18" x14ac:dyDescent="0.45">
      <c r="P79" s="2">
        <v>78</v>
      </c>
      <c r="Q79" s="2">
        <f>Лист2!A79</f>
        <v>46097</v>
      </c>
      <c r="R79" s="15"/>
      <c r="S79" s="24">
        <f t="shared" si="20"/>
        <v>1.5887005649717514</v>
      </c>
      <c r="T79" s="10">
        <f t="shared" si="21"/>
        <v>12.474798555154209</v>
      </c>
      <c r="U79" s="10">
        <f t="shared" si="18"/>
        <v>14.063499120125961</v>
      </c>
      <c r="V79" s="17" t="str">
        <f t="shared" si="19"/>
        <v>Упреждение</v>
      </c>
    </row>
    <row r="80" spans="16:22" ht="18" x14ac:dyDescent="0.45">
      <c r="P80" s="2">
        <v>79</v>
      </c>
      <c r="Q80" s="2">
        <f>Лист2!A80</f>
        <v>46104</v>
      </c>
      <c r="R80" s="15"/>
      <c r="S80" s="24">
        <f t="shared" si="20"/>
        <v>1.5887005649717514</v>
      </c>
      <c r="T80" s="10">
        <f t="shared" si="21"/>
        <v>12.634731869963879</v>
      </c>
      <c r="U80" s="10">
        <f t="shared" si="18"/>
        <v>14.223432434935631</v>
      </c>
      <c r="V80" s="17" t="str">
        <f t="shared" si="19"/>
        <v>Упреждение</v>
      </c>
    </row>
    <row r="81" spans="16:22" ht="18" x14ac:dyDescent="0.45">
      <c r="P81" s="2">
        <v>80</v>
      </c>
      <c r="Q81" s="2">
        <f>Лист2!A81</f>
        <v>46111</v>
      </c>
      <c r="R81" s="15"/>
      <c r="S81" s="24">
        <f t="shared" si="20"/>
        <v>1.5887005649717514</v>
      </c>
      <c r="T81" s="10">
        <f t="shared" si="21"/>
        <v>12.794665184773548</v>
      </c>
      <c r="U81" s="10">
        <f t="shared" si="18"/>
        <v>14.383365749745298</v>
      </c>
      <c r="V81" s="17" t="str">
        <f t="shared" si="19"/>
        <v>Упреждение</v>
      </c>
    </row>
    <row r="82" spans="16:22" ht="18" x14ac:dyDescent="0.45">
      <c r="P82" s="2">
        <v>81</v>
      </c>
      <c r="Q82" s="2">
        <f>Лист2!A82</f>
        <v>46118</v>
      </c>
      <c r="R82" s="15"/>
      <c r="S82" s="24">
        <f t="shared" si="20"/>
        <v>1.5887005649717514</v>
      </c>
      <c r="T82" s="10">
        <f t="shared" si="21"/>
        <v>12.954598499583218</v>
      </c>
      <c r="U82" s="10">
        <f t="shared" si="18"/>
        <v>14.543299064554969</v>
      </c>
      <c r="V82" s="17" t="str">
        <f t="shared" si="19"/>
        <v>Упреждение</v>
      </c>
    </row>
    <row r="83" spans="16:22" ht="18" x14ac:dyDescent="0.45">
      <c r="P83" s="2">
        <v>82</v>
      </c>
      <c r="Q83" s="2">
        <f>Лист2!A83</f>
        <v>46125</v>
      </c>
      <c r="R83" s="15"/>
      <c r="S83" s="24">
        <f t="shared" si="20"/>
        <v>1.5887005649717514</v>
      </c>
      <c r="T83" s="10">
        <f t="shared" si="21"/>
        <v>13.114531814392887</v>
      </c>
      <c r="U83" s="10">
        <f t="shared" si="18"/>
        <v>14.703232379364639</v>
      </c>
      <c r="V83" s="17" t="str">
        <f t="shared" si="19"/>
        <v>Упреждение</v>
      </c>
    </row>
    <row r="84" spans="16:22" ht="18" x14ac:dyDescent="0.45">
      <c r="P84" s="2">
        <v>83</v>
      </c>
      <c r="Q84" s="2">
        <f>Лист2!A84</f>
        <v>46132</v>
      </c>
      <c r="R84" s="15"/>
      <c r="S84" s="24">
        <f t="shared" si="20"/>
        <v>1.5887005649717514</v>
      </c>
      <c r="T84" s="10">
        <f t="shared" si="21"/>
        <v>13.274465129202556</v>
      </c>
      <c r="U84" s="10">
        <f t="shared" si="18"/>
        <v>14.863165694174306</v>
      </c>
      <c r="V84" s="17" t="str">
        <f t="shared" si="19"/>
        <v>Упреждение</v>
      </c>
    </row>
    <row r="85" spans="16:22" ht="18" x14ac:dyDescent="0.45">
      <c r="P85" s="2">
        <v>84</v>
      </c>
      <c r="Q85" s="2">
        <f>Лист2!A85</f>
        <v>46139</v>
      </c>
      <c r="R85" s="15"/>
      <c r="S85" s="24">
        <f t="shared" si="20"/>
        <v>1.5887005649717514</v>
      </c>
      <c r="T85" s="10">
        <f t="shared" si="21"/>
        <v>13.434398444012226</v>
      </c>
      <c r="U85" s="10">
        <f t="shared" si="18"/>
        <v>15.023099008983976</v>
      </c>
      <c r="V85" s="17" t="str">
        <f t="shared" si="19"/>
        <v>Упреждение</v>
      </c>
    </row>
    <row r="86" spans="16:22" ht="18" x14ac:dyDescent="0.45">
      <c r="P86" s="2">
        <v>85</v>
      </c>
      <c r="Q86" s="2">
        <f>Лист2!A86</f>
        <v>46146</v>
      </c>
      <c r="R86" s="15"/>
      <c r="S86" s="24">
        <f t="shared" si="20"/>
        <v>1.5887005649717514</v>
      </c>
      <c r="T86" s="10">
        <f t="shared" si="21"/>
        <v>13.594331758821895</v>
      </c>
      <c r="U86" s="10">
        <f t="shared" si="18"/>
        <v>15.183032323793647</v>
      </c>
      <c r="V86" s="17" t="str">
        <f t="shared" si="19"/>
        <v>Упреждение</v>
      </c>
    </row>
    <row r="87" spans="16:22" ht="18" x14ac:dyDescent="0.45">
      <c r="P87" s="2">
        <v>86</v>
      </c>
      <c r="Q87" s="2">
        <f>Лист2!A87</f>
        <v>46153</v>
      </c>
      <c r="R87" s="15"/>
      <c r="S87" s="24">
        <f t="shared" si="20"/>
        <v>1.5887005649717514</v>
      </c>
      <c r="T87" s="10">
        <f t="shared" si="21"/>
        <v>13.754265073631565</v>
      </c>
      <c r="U87" s="10">
        <f t="shared" si="18"/>
        <v>15.342965638603317</v>
      </c>
      <c r="V87" s="17" t="str">
        <f t="shared" si="19"/>
        <v>Упреждение</v>
      </c>
    </row>
    <row r="88" spans="16:22" ht="18" x14ac:dyDescent="0.45">
      <c r="P88" s="2">
        <v>87</v>
      </c>
      <c r="Q88" s="2">
        <f>Лист2!A88</f>
        <v>46160</v>
      </c>
      <c r="R88" s="15"/>
      <c r="S88" s="24">
        <f t="shared" si="20"/>
        <v>1.5887005649717514</v>
      </c>
      <c r="T88" s="10">
        <f t="shared" si="21"/>
        <v>13.914198388441234</v>
      </c>
      <c r="U88" s="10">
        <f t="shared" si="18"/>
        <v>15.502898953412984</v>
      </c>
      <c r="V88" s="17" t="str">
        <f t="shared" si="19"/>
        <v>Упреждение</v>
      </c>
    </row>
    <row r="89" spans="16:22" ht="18" x14ac:dyDescent="0.45">
      <c r="P89" s="2">
        <v>88</v>
      </c>
      <c r="Q89" s="2">
        <f>Лист2!A89</f>
        <v>46167</v>
      </c>
      <c r="R89" s="15"/>
      <c r="S89" s="24">
        <f t="shared" si="20"/>
        <v>1.5887005649717514</v>
      </c>
      <c r="T89" s="10">
        <f t="shared" si="21"/>
        <v>14.074131703250902</v>
      </c>
      <c r="U89" s="10">
        <f t="shared" si="18"/>
        <v>15.662832268222655</v>
      </c>
      <c r="V89" s="17" t="str">
        <f t="shared" si="19"/>
        <v>Упреждение</v>
      </c>
    </row>
    <row r="90" spans="16:22" ht="18" x14ac:dyDescent="0.45">
      <c r="P90" s="2">
        <v>89</v>
      </c>
      <c r="Q90" s="2">
        <f>Лист2!A90</f>
        <v>46174</v>
      </c>
      <c r="R90" s="15"/>
      <c r="S90" s="24">
        <f t="shared" si="20"/>
        <v>1.5887005649717514</v>
      </c>
      <c r="T90" s="10">
        <f t="shared" si="21"/>
        <v>14.234065018060573</v>
      </c>
      <c r="U90" s="10">
        <f t="shared" si="18"/>
        <v>15.822765583032325</v>
      </c>
      <c r="V90" s="17" t="str">
        <f t="shared" si="19"/>
        <v>Упреждение</v>
      </c>
    </row>
    <row r="91" spans="16:22" ht="18" x14ac:dyDescent="0.45">
      <c r="P91" s="2">
        <v>90</v>
      </c>
      <c r="Q91" s="2">
        <f>Лист2!A91</f>
        <v>46181</v>
      </c>
      <c r="R91" s="15"/>
      <c r="S91" s="24">
        <f t="shared" si="20"/>
        <v>1.5887005649717514</v>
      </c>
      <c r="T91" s="10">
        <f t="shared" si="21"/>
        <v>14.393998332870241</v>
      </c>
      <c r="U91" s="10">
        <f t="shared" si="18"/>
        <v>15.982698897841992</v>
      </c>
      <c r="V91" s="17" t="str">
        <f t="shared" si="19"/>
        <v>Упреждение</v>
      </c>
    </row>
    <row r="92" spans="16:22" ht="18" x14ac:dyDescent="0.45">
      <c r="P92" s="2">
        <v>91</v>
      </c>
      <c r="Q92" s="2">
        <f>Лист2!A92</f>
        <v>46188</v>
      </c>
      <c r="R92" s="15"/>
      <c r="S92" s="24">
        <f t="shared" si="20"/>
        <v>1.5887005649717514</v>
      </c>
      <c r="T92" s="10">
        <f t="shared" si="21"/>
        <v>14.553931647679912</v>
      </c>
      <c r="U92" s="10">
        <f t="shared" si="18"/>
        <v>16.142632212651662</v>
      </c>
      <c r="V92" s="17" t="str">
        <f t="shared" si="19"/>
        <v>Упреждение</v>
      </c>
    </row>
    <row r="93" spans="16:22" ht="18" x14ac:dyDescent="0.45">
      <c r="P93" s="2">
        <v>92</v>
      </c>
      <c r="Q93" s="2">
        <f>Лист2!A93</f>
        <v>46195</v>
      </c>
      <c r="R93" s="15"/>
      <c r="S93" s="24">
        <f t="shared" si="20"/>
        <v>1.5887005649717514</v>
      </c>
      <c r="T93" s="10">
        <f t="shared" si="21"/>
        <v>14.713864962489581</v>
      </c>
      <c r="U93" s="10">
        <f t="shared" si="18"/>
        <v>16.302565527461333</v>
      </c>
      <c r="V93" s="17" t="str">
        <f t="shared" si="19"/>
        <v>Упреждение</v>
      </c>
    </row>
    <row r="94" spans="16:22" ht="18" x14ac:dyDescent="0.45">
      <c r="P94" s="2">
        <v>93</v>
      </c>
      <c r="Q94" s="2">
        <f>Лист2!A94</f>
        <v>46202</v>
      </c>
      <c r="R94" s="15"/>
      <c r="S94" s="24">
        <f t="shared" si="20"/>
        <v>1.5887005649717514</v>
      </c>
      <c r="T94" s="10">
        <f t="shared" si="21"/>
        <v>14.873798277299249</v>
      </c>
      <c r="U94" s="10">
        <f t="shared" si="18"/>
        <v>16.462498842271</v>
      </c>
      <c r="V94" s="17" t="str">
        <f t="shared" si="19"/>
        <v>Упреждение</v>
      </c>
    </row>
    <row r="95" spans="16:22" ht="18" x14ac:dyDescent="0.45">
      <c r="P95" s="2">
        <v>94</v>
      </c>
      <c r="Q95" s="2">
        <f>Лист2!A95</f>
        <v>46209</v>
      </c>
      <c r="R95" s="15"/>
      <c r="S95" s="24">
        <f t="shared" si="20"/>
        <v>1.5887005649717514</v>
      </c>
      <c r="T95" s="10">
        <f t="shared" si="21"/>
        <v>15.03373159210892</v>
      </c>
      <c r="U95" s="10">
        <f t="shared" si="18"/>
        <v>16.62243215708067</v>
      </c>
      <c r="V95" s="17" t="str">
        <f t="shared" si="19"/>
        <v>Упреждение</v>
      </c>
    </row>
    <row r="96" spans="16:22" ht="18" x14ac:dyDescent="0.45">
      <c r="P96" s="2">
        <v>95</v>
      </c>
      <c r="Q96" s="2">
        <f>Лист2!A96</f>
        <v>46216</v>
      </c>
      <c r="R96" s="15"/>
      <c r="S96" s="24">
        <f t="shared" si="20"/>
        <v>1.5887005649717514</v>
      </c>
      <c r="T96" s="10">
        <f t="shared" si="21"/>
        <v>15.193664906918588</v>
      </c>
      <c r="U96" s="10">
        <f t="shared" si="18"/>
        <v>16.782365471890341</v>
      </c>
      <c r="V96" s="17" t="str">
        <f t="shared" si="19"/>
        <v>Упреждение</v>
      </c>
    </row>
    <row r="97" spans="16:22" ht="18" x14ac:dyDescent="0.45">
      <c r="P97" s="2">
        <v>96</v>
      </c>
      <c r="Q97" s="2">
        <f>Лист2!A97</f>
        <v>46223</v>
      </c>
      <c r="R97" s="15"/>
      <c r="S97" s="24">
        <f t="shared" si="20"/>
        <v>1.5887005649717514</v>
      </c>
      <c r="T97" s="10">
        <f t="shared" si="21"/>
        <v>15.353598221728259</v>
      </c>
      <c r="U97" s="10">
        <f t="shared" si="18"/>
        <v>16.942298786700011</v>
      </c>
      <c r="V97" s="17" t="str">
        <f t="shared" si="19"/>
        <v>Упреждение</v>
      </c>
    </row>
    <row r="98" spans="16:22" ht="18" x14ac:dyDescent="0.45">
      <c r="P98" s="2">
        <v>97</v>
      </c>
      <c r="Q98" s="2">
        <f>Лист2!A98</f>
        <v>46230</v>
      </c>
      <c r="R98" s="15"/>
      <c r="S98" s="24">
        <f t="shared" si="20"/>
        <v>1.5887005649717514</v>
      </c>
      <c r="T98" s="10">
        <f t="shared" si="21"/>
        <v>15.513531536537927</v>
      </c>
      <c r="U98" s="10">
        <f t="shared" ref="U98:U100" si="22">S98+T98</f>
        <v>17.102232101509678</v>
      </c>
      <c r="V98" s="17" t="str">
        <f t="shared" si="19"/>
        <v>Упреждение</v>
      </c>
    </row>
    <row r="99" spans="16:22" ht="18" x14ac:dyDescent="0.45">
      <c r="P99" s="2">
        <v>98</v>
      </c>
      <c r="Q99" s="2">
        <f>Лист2!A99</f>
        <v>46237</v>
      </c>
      <c r="R99" s="15"/>
      <c r="S99" s="24">
        <f t="shared" si="20"/>
        <v>1.5887005649717514</v>
      </c>
      <c r="T99" s="10">
        <f t="shared" si="21"/>
        <v>15.673464851347596</v>
      </c>
      <c r="U99" s="10">
        <f t="shared" si="22"/>
        <v>17.262165416319348</v>
      </c>
      <c r="V99" s="17" t="str">
        <f t="shared" si="19"/>
        <v>Упреждение</v>
      </c>
    </row>
    <row r="100" spans="16:22" ht="18" x14ac:dyDescent="0.45">
      <c r="P100" s="2">
        <v>99</v>
      </c>
      <c r="Q100" s="2">
        <f>Лист2!A100</f>
        <v>46244</v>
      </c>
      <c r="R100" s="15"/>
      <c r="S100" s="24">
        <f t="shared" si="20"/>
        <v>1.5887005649717514</v>
      </c>
      <c r="T100" s="10">
        <f t="shared" si="21"/>
        <v>15.833398166157266</v>
      </c>
      <c r="U100" s="10">
        <f t="shared" si="22"/>
        <v>17.422098731129019</v>
      </c>
      <c r="V100" s="17" t="str">
        <f t="shared" si="19"/>
        <v>Упреждение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showGridLines="0" tabSelected="1" topLeftCell="U1" workbookViewId="0">
      <pane ySplit="50" topLeftCell="A51" activePane="bottomLeft" state="frozen"/>
      <selection pane="bottomLeft" activeCell="F9" sqref="F9"/>
    </sheetView>
  </sheetViews>
  <sheetFormatPr defaultRowHeight="14.6" x14ac:dyDescent="0.4"/>
  <cols>
    <col min="1" max="1" width="14" customWidth="1"/>
    <col min="2" max="2" width="16" customWidth="1"/>
    <col min="3" max="20" width="18" customWidth="1"/>
  </cols>
  <sheetData>
    <row r="1" spans="1:20" ht="48" customHeight="1" x14ac:dyDescent="0.4">
      <c r="A1" s="5" t="s">
        <v>1186</v>
      </c>
      <c r="B1" s="5" t="s">
        <v>1180</v>
      </c>
      <c r="C1" s="5" t="s">
        <v>1187</v>
      </c>
      <c r="D1" s="5" t="s">
        <v>1188</v>
      </c>
      <c r="E1" s="5" t="s">
        <v>1189</v>
      </c>
      <c r="F1" s="5" t="s">
        <v>1190</v>
      </c>
      <c r="G1" s="5" t="s">
        <v>1191</v>
      </c>
      <c r="H1" s="5" t="s">
        <v>1192</v>
      </c>
      <c r="I1" s="5" t="s">
        <v>1193</v>
      </c>
      <c r="J1" s="5" t="s">
        <v>1194</v>
      </c>
      <c r="K1" s="5" t="s">
        <v>1195</v>
      </c>
      <c r="L1" s="5" t="s">
        <v>1196</v>
      </c>
      <c r="M1" s="5" t="s">
        <v>1197</v>
      </c>
      <c r="N1" s="5" t="s">
        <v>1198</v>
      </c>
      <c r="O1" s="5" t="s">
        <v>1168</v>
      </c>
      <c r="P1" s="5" t="s">
        <v>1199</v>
      </c>
      <c r="Q1" s="5" t="s">
        <v>1200</v>
      </c>
      <c r="R1" s="5" t="s">
        <v>1201</v>
      </c>
      <c r="S1" s="5" t="s">
        <v>1202</v>
      </c>
      <c r="T1" s="5" t="s">
        <v>1203</v>
      </c>
    </row>
    <row r="2" spans="1:20" x14ac:dyDescent="0.4">
      <c r="A2">
        <v>1</v>
      </c>
      <c r="B2">
        <f>Лист2!A2</f>
        <v>45537</v>
      </c>
      <c r="C2">
        <f>Лист2!B2</f>
        <v>1</v>
      </c>
      <c r="E2" s="6">
        <f>'Итоги 60 39'!$B$6+'Итоги 60 39'!$B$5*A2</f>
        <v>1.7502732240437175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4">
      <c r="A3">
        <v>2</v>
      </c>
      <c r="B3">
        <f>Лист2!A3</f>
        <v>45544</v>
      </c>
      <c r="C3">
        <f>Лист2!B3</f>
        <v>2</v>
      </c>
      <c r="E3" s="6">
        <f>'Итоги 60 39'!$B$6+'Итоги 60 39'!$B$5*A3</f>
        <v>1.9101509678614448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4">
      <c r="A4">
        <v>3</v>
      </c>
      <c r="B4">
        <f>Лист2!A4</f>
        <v>45551</v>
      </c>
      <c r="C4">
        <f>Лист2!B4</f>
        <v>3</v>
      </c>
      <c r="E4" s="6">
        <f>'Итоги 60 39'!$B$6+'Итоги 60 39'!$B$5*A4</f>
        <v>2.0700287116791718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4">
      <c r="A5">
        <v>4</v>
      </c>
      <c r="B5">
        <f>Лист2!A5</f>
        <v>45565</v>
      </c>
      <c r="C5">
        <f>Лист2!B5</f>
        <v>1</v>
      </c>
      <c r="E5" s="6">
        <f>'Итоги 60 39'!$B$6+'Итоги 60 39'!$B$5*A5</f>
        <v>2.229906455496899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4">
      <c r="A6">
        <v>5</v>
      </c>
      <c r="B6">
        <f>Лист2!A6</f>
        <v>45572</v>
      </c>
      <c r="C6">
        <f>Лист2!B6</f>
        <v>5</v>
      </c>
      <c r="E6" s="6">
        <f>'Итоги 60 39'!$B$6+'Итоги 60 39'!$B$5*A6</f>
        <v>2.3897841993146258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4">
      <c r="A7">
        <v>6</v>
      </c>
      <c r="B7">
        <f>Лист2!A7</f>
        <v>45579</v>
      </c>
      <c r="C7">
        <f>Лист2!B7</f>
        <v>5</v>
      </c>
      <c r="E7" s="6">
        <f>'Итоги 60 39'!$B$6+'Итоги 60 39'!$B$5*A7</f>
        <v>2.5496619431323531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4">
      <c r="A8">
        <v>7</v>
      </c>
      <c r="B8">
        <f>Лист2!A8</f>
        <v>45586</v>
      </c>
      <c r="C8">
        <f>Лист2!B8</f>
        <v>2</v>
      </c>
      <c r="E8" s="6">
        <f>'Итоги 60 39'!$B$6+'Итоги 60 39'!$B$5*A8</f>
        <v>2.7095396869500803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4">
      <c r="A9">
        <v>8</v>
      </c>
      <c r="B9">
        <f>Лист2!A9</f>
        <v>45593</v>
      </c>
      <c r="C9">
        <f>Лист2!B9</f>
        <v>2</v>
      </c>
      <c r="E9" s="6">
        <f>'Итоги 60 39'!$B$6+'Итоги 60 39'!$B$5*A9</f>
        <v>2.8694174307678075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4">
      <c r="A10">
        <v>9</v>
      </c>
      <c r="B10">
        <f>Лист2!A10</f>
        <v>45600</v>
      </c>
      <c r="C10">
        <f>Лист2!B10</f>
        <v>3</v>
      </c>
      <c r="E10" s="6">
        <f>'Итоги 60 39'!$B$6+'Итоги 60 39'!$B$5*A10</f>
        <v>3.0292951745855343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4">
      <c r="A11">
        <v>10</v>
      </c>
      <c r="B11">
        <f>Лист2!A11</f>
        <v>45607</v>
      </c>
      <c r="C11">
        <f>Лист2!B11</f>
        <v>5</v>
      </c>
      <c r="E11" s="6">
        <f>'Итоги 60 39'!$B$6+'Итоги 60 39'!$B$5*A11</f>
        <v>3.1891729184032616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4">
      <c r="A12">
        <v>11</v>
      </c>
      <c r="B12">
        <f>Лист2!A12</f>
        <v>45614</v>
      </c>
      <c r="C12">
        <f>Лист2!B12</f>
        <v>4</v>
      </c>
      <c r="E12" s="6">
        <f>'Итоги 60 39'!$B$6+'Итоги 60 39'!$B$5*A12</f>
        <v>3.3490506622209884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4">
      <c r="A13">
        <v>12</v>
      </c>
      <c r="B13">
        <f>Лист2!A13</f>
        <v>45621</v>
      </c>
      <c r="C13">
        <f>Лист2!B13</f>
        <v>4</v>
      </c>
      <c r="E13" s="6">
        <f>'Итоги 60 39'!$B$6+'Итоги 60 39'!$B$5*A13</f>
        <v>3.5089284060387156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4">
      <c r="A14">
        <v>13</v>
      </c>
      <c r="B14">
        <f>Лист2!A14</f>
        <v>45635</v>
      </c>
      <c r="C14">
        <f>Лист2!B14</f>
        <v>2</v>
      </c>
      <c r="E14" s="6">
        <f>'Итоги 60 39'!$B$6+'Итоги 60 39'!$B$5*A14</f>
        <v>3.6688061498564428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4">
      <c r="A15">
        <v>14</v>
      </c>
      <c r="B15">
        <f>Лист2!A15</f>
        <v>45642</v>
      </c>
      <c r="C15">
        <f>Лист2!B15</f>
        <v>4</v>
      </c>
      <c r="E15" s="6">
        <f>'Итоги 60 39'!$B$6+'Итоги 60 39'!$B$5*A15</f>
        <v>3.8286838936741701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4">
      <c r="A16">
        <v>15</v>
      </c>
      <c r="B16">
        <f>Лист2!A16</f>
        <v>45649</v>
      </c>
      <c r="C16">
        <f>Лист2!B16</f>
        <v>2</v>
      </c>
      <c r="E16" s="6">
        <f>'Итоги 60 39'!$B$6+'Итоги 60 39'!$B$5*A16</f>
        <v>3.9885616374918968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4">
      <c r="A17">
        <v>16</v>
      </c>
      <c r="B17">
        <f>Лист2!A17</f>
        <v>45656</v>
      </c>
      <c r="C17">
        <f>Лист2!B17</f>
        <v>5</v>
      </c>
      <c r="E17" s="6">
        <f>'Итоги 60 39'!$B$6+'Итоги 60 39'!$B$5*A17</f>
        <v>4.1484393813096236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4">
      <c r="A18">
        <v>17</v>
      </c>
      <c r="B18">
        <f>Лист2!A18</f>
        <v>45663</v>
      </c>
      <c r="C18">
        <f>Лист2!B18</f>
        <v>2</v>
      </c>
      <c r="E18" s="6">
        <f>'Итоги 60 39'!$B$6+'Итоги 60 39'!$B$5*A18</f>
        <v>4.3083171251273509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4">
      <c r="A19">
        <v>18</v>
      </c>
      <c r="B19">
        <f>Лист2!A19</f>
        <v>45670</v>
      </c>
      <c r="C19">
        <f>Лист2!B19</f>
        <v>4</v>
      </c>
      <c r="E19" s="6">
        <f>'Итоги 60 39'!$B$6+'Итоги 60 39'!$B$5*A19</f>
        <v>4.4681948689450781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4">
      <c r="A20">
        <v>19</v>
      </c>
      <c r="B20">
        <f>Лист2!A20</f>
        <v>45677</v>
      </c>
      <c r="C20">
        <f>Лист2!B20</f>
        <v>3</v>
      </c>
      <c r="E20" s="6">
        <f>'Итоги 60 39'!$B$6+'Итоги 60 39'!$B$5*A20</f>
        <v>4.6280726127628053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4">
      <c r="A21">
        <v>20</v>
      </c>
      <c r="B21">
        <f>Лист2!A21</f>
        <v>45684</v>
      </c>
      <c r="C21">
        <f>Лист2!B21</f>
        <v>4</v>
      </c>
      <c r="E21" s="6">
        <f>'Итоги 60 39'!$B$6+'Итоги 60 39'!$B$5*A21</f>
        <v>4.7879503565805326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4">
      <c r="A22">
        <v>21</v>
      </c>
      <c r="B22">
        <f>Лист2!A22</f>
        <v>45691</v>
      </c>
      <c r="C22">
        <f>Лист2!B22</f>
        <v>1</v>
      </c>
      <c r="E22" s="6">
        <f>'Итоги 60 39'!$B$6+'Итоги 60 39'!$B$5*A22</f>
        <v>4.9478281003982598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4">
      <c r="A23">
        <v>22</v>
      </c>
      <c r="B23">
        <f>Лист2!A23</f>
        <v>45698</v>
      </c>
      <c r="C23">
        <f>Лист2!B23</f>
        <v>7</v>
      </c>
      <c r="E23" s="6">
        <f>'Итоги 60 39'!$B$6+'Итоги 60 39'!$B$5*A23</f>
        <v>5.1077058442159871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4">
      <c r="A24">
        <v>23</v>
      </c>
      <c r="B24">
        <f>Лист2!A24</f>
        <v>45712</v>
      </c>
      <c r="C24">
        <f>Лист2!B24</f>
        <v>8</v>
      </c>
      <c r="E24" s="6">
        <f>'Итоги 60 39'!$B$6+'Итоги 60 39'!$B$5*A24</f>
        <v>5.2675835880337143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4">
      <c r="A25">
        <v>24</v>
      </c>
      <c r="B25">
        <f>Лист2!A25</f>
        <v>45719</v>
      </c>
      <c r="C25">
        <f>Лист2!B25</f>
        <v>4</v>
      </c>
      <c r="E25" s="6">
        <f>'Итоги 60 39'!$B$6+'Итоги 60 39'!$B$5*A25</f>
        <v>5.4274613318514406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4">
      <c r="A26">
        <v>25</v>
      </c>
      <c r="B26">
        <f>Лист2!A26</f>
        <v>45726</v>
      </c>
      <c r="C26">
        <f>Лист2!B26</f>
        <v>4</v>
      </c>
      <c r="E26" s="6">
        <f>'Итоги 60 39'!$B$6+'Итоги 60 39'!$B$5*A26</f>
        <v>5.5873390756691679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4">
      <c r="A27">
        <v>26</v>
      </c>
      <c r="B27">
        <f>Лист2!A27</f>
        <v>45733</v>
      </c>
      <c r="C27">
        <f>Лист2!B27</f>
        <v>8</v>
      </c>
      <c r="E27" s="6">
        <f>'Итоги 60 39'!$B$6+'Итоги 60 39'!$B$5*A27</f>
        <v>5.7472168194868951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4">
      <c r="A28">
        <v>27</v>
      </c>
      <c r="B28">
        <f>Лист2!A28</f>
        <v>45740</v>
      </c>
      <c r="C28">
        <f>Лист2!B28</f>
        <v>5</v>
      </c>
      <c r="E28" s="6">
        <f>'Итоги 60 39'!$B$6+'Итоги 60 39'!$B$5*A28</f>
        <v>5.9070945633046223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4">
      <c r="A29">
        <v>28</v>
      </c>
      <c r="B29">
        <f>Лист2!A29</f>
        <v>45747</v>
      </c>
      <c r="C29">
        <f>Лист2!B29</f>
        <v>8</v>
      </c>
      <c r="E29" s="6">
        <f>'Итоги 60 39'!$B$6+'Итоги 60 39'!$B$5*A29</f>
        <v>6.0669723071223496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4">
      <c r="A30">
        <v>29</v>
      </c>
      <c r="B30">
        <f>Лист2!A30</f>
        <v>45754</v>
      </c>
      <c r="C30">
        <f>Лист2!B30</f>
        <v>7</v>
      </c>
      <c r="E30" s="6">
        <f>'Итоги 60 39'!$B$6+'Итоги 60 39'!$B$5*A30</f>
        <v>6.2268500509400759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4">
      <c r="A31">
        <v>30</v>
      </c>
      <c r="B31">
        <f>Лист2!A31</f>
        <v>45761</v>
      </c>
      <c r="C31">
        <f>Лист2!B31</f>
        <v>2</v>
      </c>
      <c r="E31" s="6">
        <f>'Итоги 60 39'!$B$6+'Итоги 60 39'!$B$5*A31</f>
        <v>6.3867277947578032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4">
      <c r="A32">
        <v>31</v>
      </c>
      <c r="B32">
        <f>Лист2!A32</f>
        <v>45768</v>
      </c>
      <c r="C32">
        <f>Лист2!B32</f>
        <v>7</v>
      </c>
      <c r="E32" s="6">
        <f>'Итоги 60 39'!$B$6+'Итоги 60 39'!$B$5*A32</f>
        <v>6.5466055385755304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4">
      <c r="A33">
        <v>32</v>
      </c>
      <c r="B33">
        <f>Лист2!A33</f>
        <v>45775</v>
      </c>
      <c r="C33">
        <f>Лист2!B33</f>
        <v>9</v>
      </c>
      <c r="E33" s="6">
        <f>'Итоги 60 39'!$B$6+'Итоги 60 39'!$B$5*A33</f>
        <v>6.7064832823932576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4">
      <c r="A34">
        <v>33</v>
      </c>
      <c r="B34">
        <f>Лист2!A34</f>
        <v>45782</v>
      </c>
      <c r="C34">
        <f>Лист2!B34</f>
        <v>6</v>
      </c>
      <c r="E34" s="6">
        <f>'Итоги 60 39'!$B$6+'Итоги 60 39'!$B$5*A34</f>
        <v>6.8663610262109849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4">
      <c r="A35">
        <v>34</v>
      </c>
      <c r="B35">
        <f>Лист2!A35</f>
        <v>45789</v>
      </c>
      <c r="C35">
        <f>Лист2!B35</f>
        <v>8</v>
      </c>
      <c r="E35" s="6">
        <f>'Итоги 60 39'!$B$6+'Итоги 60 39'!$B$5*A35</f>
        <v>7.0262387700287121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4">
      <c r="A36">
        <v>35</v>
      </c>
      <c r="B36">
        <f>Лист2!A36</f>
        <v>45796</v>
      </c>
      <c r="C36">
        <f>Лист2!B36</f>
        <v>5</v>
      </c>
      <c r="E36" s="6">
        <f>'Итоги 60 39'!$B$6+'Итоги 60 39'!$B$5*A36</f>
        <v>7.1861165138464393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4">
      <c r="A37">
        <v>36</v>
      </c>
      <c r="B37">
        <f>Лист2!A37</f>
        <v>45803</v>
      </c>
      <c r="C37">
        <f>Лист2!B37</f>
        <v>10</v>
      </c>
      <c r="E37" s="6">
        <f>'Итоги 60 39'!$B$6+'Итоги 60 39'!$B$5*A37</f>
        <v>7.3459942576641657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4">
      <c r="A38">
        <v>37</v>
      </c>
      <c r="B38">
        <f>Лист2!A38</f>
        <v>45810</v>
      </c>
      <c r="C38">
        <f>Лист2!B38</f>
        <v>8</v>
      </c>
      <c r="E38" s="6">
        <f>'Итоги 60 39'!$B$6+'Итоги 60 39'!$B$5*A38</f>
        <v>7.5058720014818929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4">
      <c r="A39">
        <v>38</v>
      </c>
      <c r="B39">
        <f>Лист2!A39</f>
        <v>45817</v>
      </c>
      <c r="C39">
        <f>Лист2!B39</f>
        <v>9</v>
      </c>
      <c r="E39" s="6">
        <f>'Итоги 60 39'!$B$6+'Итоги 60 39'!$B$5*A39</f>
        <v>7.6657497452996202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4">
      <c r="A40">
        <v>39</v>
      </c>
      <c r="B40">
        <f>Лист2!A40</f>
        <v>45824</v>
      </c>
      <c r="C40">
        <f>Лист2!B40</f>
        <v>8</v>
      </c>
      <c r="E40" s="6">
        <f>'Итоги 60 39'!$B$6+'Итоги 60 39'!$B$5*A40</f>
        <v>7.8256274891173474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4">
      <c r="A41">
        <v>40</v>
      </c>
      <c r="B41">
        <f>Лист2!A41</f>
        <v>45831</v>
      </c>
      <c r="C41">
        <f>Лист2!B41</f>
        <v>7</v>
      </c>
      <c r="E41" s="6">
        <f>'Итоги 60 39'!$B$6+'Итоги 60 39'!$B$5*A41</f>
        <v>7.9855052329350746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4">
      <c r="A42">
        <v>41</v>
      </c>
      <c r="B42">
        <f>Лист2!A42</f>
        <v>45838</v>
      </c>
      <c r="C42">
        <f>Лист2!B42</f>
        <v>10</v>
      </c>
      <c r="E42" s="6">
        <f>'Итоги 60 39'!$B$6+'Итоги 60 39'!$B$5*A42</f>
        <v>8.1453829767528028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4">
      <c r="A43">
        <v>42</v>
      </c>
      <c r="B43">
        <f>Лист2!A43</f>
        <v>45845</v>
      </c>
      <c r="C43">
        <f>Лист2!B43</f>
        <v>7</v>
      </c>
      <c r="E43" s="6">
        <f>'Итоги 60 39'!$B$6+'Итоги 60 39'!$B$5*A43</f>
        <v>8.3052607205705282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4">
      <c r="A44">
        <v>43</v>
      </c>
      <c r="B44">
        <f>Лист2!A44</f>
        <v>45852</v>
      </c>
      <c r="C44">
        <f>Лист2!B44</f>
        <v>4</v>
      </c>
      <c r="E44" s="6">
        <f>'Итоги 60 39'!$B$6+'Итоги 60 39'!$B$5*A44</f>
        <v>8.4651384643882555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4">
      <c r="A45">
        <v>44</v>
      </c>
      <c r="B45">
        <f>Лист2!A45</f>
        <v>45859</v>
      </c>
      <c r="C45">
        <f>Лист2!B45</f>
        <v>7</v>
      </c>
      <c r="E45" s="6">
        <f>'Итоги 60 39'!$B$6+'Итоги 60 39'!$B$5*A45</f>
        <v>8.6250162082059827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4">
      <c r="A46">
        <v>45</v>
      </c>
      <c r="B46">
        <f>Лист2!A46</f>
        <v>45866</v>
      </c>
      <c r="C46">
        <f>Лист2!B46</f>
        <v>9</v>
      </c>
      <c r="E46" s="6">
        <f>'Итоги 60 39'!$B$6+'Итоги 60 39'!$B$5*A46</f>
        <v>8.7848939520237099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4">
      <c r="A47">
        <v>46</v>
      </c>
      <c r="B47">
        <f>Лист2!A47</f>
        <v>45873</v>
      </c>
      <c r="C47">
        <f>Лист2!B47</f>
        <v>8</v>
      </c>
      <c r="E47" s="6">
        <f>'Итоги 60 39'!$B$6+'Итоги 60 39'!$B$5*A47</f>
        <v>8.9447716958414372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4">
      <c r="A48">
        <v>47</v>
      </c>
      <c r="B48">
        <f>Лист2!A48</f>
        <v>45880</v>
      </c>
      <c r="C48">
        <f>Лист2!B48</f>
        <v>9</v>
      </c>
      <c r="E48" s="6">
        <f>'Итоги 60 39'!$B$6+'Итоги 60 39'!$B$5*A48</f>
        <v>9.1046494396591644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4">
      <c r="A49">
        <v>48</v>
      </c>
      <c r="B49">
        <f>Лист2!A49</f>
        <v>45887</v>
      </c>
      <c r="C49">
        <f>Лист2!B49</f>
        <v>14</v>
      </c>
      <c r="E49" s="6">
        <f>'Итоги 60 39'!$B$6+'Итоги 60 39'!$B$5*A49</f>
        <v>9.2645271834768899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4">
      <c r="A50">
        <v>49</v>
      </c>
      <c r="B50">
        <f>Лист2!A50</f>
        <v>45894</v>
      </c>
      <c r="C50">
        <f>Лист2!B50</f>
        <v>9</v>
      </c>
      <c r="E50" s="6">
        <f>'Итоги 60 39'!$B$6+'Итоги 60 39'!$B$5*A50</f>
        <v>9.4244049272946171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4">
      <c r="A51">
        <v>50</v>
      </c>
      <c r="B51">
        <f>Лист2!A51</f>
        <v>45901</v>
      </c>
      <c r="C51">
        <f>Лист2!B51</f>
        <v>12</v>
      </c>
      <c r="E51" s="6">
        <f>'Итоги 60 39'!$B$6+'Итоги 60 39'!$B$5*A51</f>
        <v>9.5842826711123443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4">
      <c r="A52">
        <v>51</v>
      </c>
      <c r="B52">
        <f>Лист2!A52</f>
        <v>45908</v>
      </c>
      <c r="C52">
        <f>Лист2!B52</f>
        <v>9</v>
      </c>
      <c r="E52" s="6">
        <f>'Итоги 60 39'!$B$6+'Итоги 60 39'!$B$5*A52</f>
        <v>9.7441604149300716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4">
      <c r="A53">
        <v>52</v>
      </c>
      <c r="B53">
        <f>Лист2!A53</f>
        <v>45915</v>
      </c>
      <c r="C53">
        <f>Лист2!B53</f>
        <v>11</v>
      </c>
      <c r="E53" s="6">
        <f>'Итоги 60 39'!$B$6+'Итоги 60 39'!$B$5*A53</f>
        <v>9.9040381587477988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4">
      <c r="A54">
        <v>53</v>
      </c>
      <c r="B54">
        <f>Лист2!A54</f>
        <v>45922</v>
      </c>
      <c r="C54">
        <f>Лист2!B54</f>
        <v>15</v>
      </c>
      <c r="E54" s="6">
        <f>'Итоги 60 39'!$B$6+'Итоги 60 39'!$B$5*A54</f>
        <v>10.063915902565526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4">
      <c r="A55">
        <v>54</v>
      </c>
      <c r="B55">
        <f>Лист2!A55</f>
        <v>45929</v>
      </c>
      <c r="C55">
        <f>Лист2!B55</f>
        <v>8</v>
      </c>
      <c r="E55" s="6">
        <f>'Итоги 60 39'!$B$6+'Итоги 60 39'!$B$5*A55</f>
        <v>10.223793646383253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4">
      <c r="A56">
        <v>55</v>
      </c>
      <c r="B56">
        <f>Лист2!A56</f>
        <v>45936</v>
      </c>
      <c r="C56">
        <f>Лист2!B56</f>
        <v>14</v>
      </c>
      <c r="E56" s="6">
        <f>'Итоги 60 39'!$B$6+'Итоги 60 39'!$B$5*A56</f>
        <v>10.383671390200981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4">
      <c r="A57">
        <v>56</v>
      </c>
      <c r="B57">
        <f>Лист2!A57</f>
        <v>45943</v>
      </c>
      <c r="C57">
        <f>Лист2!B57</f>
        <v>15</v>
      </c>
      <c r="E57" s="6">
        <f>'Итоги 60 39'!$B$6+'Итоги 60 39'!$B$5*A57</f>
        <v>10.543549134018708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4">
      <c r="A58">
        <v>57</v>
      </c>
      <c r="B58">
        <f>Лист2!A58</f>
        <v>45950</v>
      </c>
      <c r="C58">
        <f>Лист2!B58</f>
        <v>9</v>
      </c>
      <c r="E58" s="6">
        <f>'Итоги 60 39'!$B$6+'Итоги 60 39'!$B$5*A58</f>
        <v>10.703426877836435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4">
      <c r="A59">
        <v>58</v>
      </c>
      <c r="B59">
        <f>Лист2!A59</f>
        <v>45957</v>
      </c>
      <c r="C59">
        <f>Лист2!B59</f>
        <v>13</v>
      </c>
      <c r="E59" s="6">
        <f>'Итоги 60 39'!$B$6+'Итоги 60 39'!$B$5*A59</f>
        <v>10.863304621654162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4">
      <c r="A60">
        <v>59</v>
      </c>
      <c r="B60">
        <f>Лист2!A60</f>
        <v>45964</v>
      </c>
      <c r="C60">
        <f>Лист2!B60</f>
        <v>9</v>
      </c>
      <c r="E60" s="6">
        <f>'Итоги 60 39'!$B$6+'Итоги 60 39'!$B$5*A60</f>
        <v>11.023182365471889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4">
      <c r="A61">
        <v>60</v>
      </c>
      <c r="B61">
        <f>Лист2!A61</f>
        <v>45971</v>
      </c>
      <c r="C61">
        <f>Лист2!B61</f>
        <v>2</v>
      </c>
      <c r="E61" s="6">
        <f>'Итоги 60 39'!$B$6+'Итоги 60 39'!$B$5*A61</f>
        <v>11.183060109289617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4">
      <c r="A62">
        <v>61</v>
      </c>
      <c r="B62">
        <f>Лист2!A62</f>
        <v>45978</v>
      </c>
      <c r="D62">
        <f>Лист2!B62</f>
        <v>22</v>
      </c>
      <c r="E62" s="6">
        <f>'Итоги 60 39'!$B$6+'Итоги 60 39'!$B$5*A62</f>
        <v>11.342937853107344</v>
      </c>
      <c r="F62" s="7">
        <f t="shared" ref="F62:F100" si="0">ROUND(E62,0)</f>
        <v>11</v>
      </c>
      <c r="G62" s="6">
        <f>E62-$C$61</f>
        <v>9.3429378531073439</v>
      </c>
      <c r="H62" s="6">
        <f t="shared" ref="H62:H100" si="1">E62-$C$61</f>
        <v>9.3429378531073439</v>
      </c>
      <c r="I62" s="6">
        <f>SUM($E$62:E62)</f>
        <v>11.342937853107344</v>
      </c>
      <c r="J62" s="6">
        <f t="shared" ref="J62:J100" si="2">I62-(A62-60)*$C$61</f>
        <v>9.3429378531073439</v>
      </c>
      <c r="K62" s="6">
        <f>E62/$C$61*100</f>
        <v>567.1468926553672</v>
      </c>
      <c r="L62" s="6">
        <f t="shared" ref="L62:L100" si="3">E62/$C$61*100</f>
        <v>567.1468926553672</v>
      </c>
      <c r="M62" s="6">
        <f t="shared" ref="M62:M100" si="4">K62-100</f>
        <v>467.1468926553672</v>
      </c>
      <c r="N62" s="6">
        <f t="shared" ref="N62:N100" si="5">L62-100</f>
        <v>467.1468926553672</v>
      </c>
      <c r="O62" s="6">
        <f t="shared" ref="O62:O100" si="6">ABS(D62-E62)</f>
        <v>10.657062146892656</v>
      </c>
      <c r="P62" s="6">
        <f t="shared" ref="P62:P100" si="7">IF(D62=0,"",O62/D62*100)</f>
        <v>48.441191576784796</v>
      </c>
      <c r="Q62" s="6">
        <f t="shared" ref="Q62:Q100" si="8">(D62-E62)^2</f>
        <v>113.5729736027323</v>
      </c>
      <c r="R62" s="6">
        <f t="shared" ref="R62:R100" si="9">IF(D62+E62=0,0,200*ABS(D62-E62)/(ABS(D62)+ABS(E62)))</f>
        <v>63.92395411491605</v>
      </c>
      <c r="S62" s="6">
        <f>$C$61+(A62-60)*'Итоги 60 39'!$B$22</f>
        <v>2.0169491525423728</v>
      </c>
      <c r="T62" s="6">
        <f t="shared" ref="T62:T100" si="10">SUM($C$2:$C$61)+I62</f>
        <v>399.34293785310734</v>
      </c>
    </row>
    <row r="63" spans="1:20" x14ac:dyDescent="0.4">
      <c r="A63">
        <v>62</v>
      </c>
      <c r="B63">
        <f>Лист2!A63</f>
        <v>45985</v>
      </c>
      <c r="D63">
        <f>Лист2!B63</f>
        <v>21</v>
      </c>
      <c r="E63" s="6">
        <f>'Итоги 60 39'!$B$6+'Итоги 60 39'!$B$5*A63</f>
        <v>11.502815596925071</v>
      </c>
      <c r="F63" s="7">
        <f t="shared" si="0"/>
        <v>12</v>
      </c>
      <c r="G63" s="6">
        <f t="shared" ref="G63:G100" si="11">E63-E62</f>
        <v>0.15987774381772724</v>
      </c>
      <c r="H63" s="6">
        <f t="shared" si="1"/>
        <v>9.5028155969250712</v>
      </c>
      <c r="I63" s="6">
        <f>SUM($E$62:E63)</f>
        <v>22.845753450032415</v>
      </c>
      <c r="J63" s="6">
        <f t="shared" si="2"/>
        <v>18.845753450032415</v>
      </c>
      <c r="K63" s="6">
        <f t="shared" ref="K63:K100" si="12">E63/E62*100</f>
        <v>101.40949149054828</v>
      </c>
      <c r="L63" s="6">
        <f t="shared" si="3"/>
        <v>575.14077984625351</v>
      </c>
      <c r="M63" s="6">
        <f t="shared" si="4"/>
        <v>1.4094914905482767</v>
      </c>
      <c r="N63" s="6">
        <f t="shared" si="5"/>
        <v>475.14077984625351</v>
      </c>
      <c r="O63" s="6">
        <f t="shared" si="6"/>
        <v>9.4971844030749288</v>
      </c>
      <c r="P63" s="6">
        <f t="shared" si="7"/>
        <v>45.224687633690138</v>
      </c>
      <c r="Q63" s="6">
        <f t="shared" si="8"/>
        <v>90.196511586009692</v>
      </c>
      <c r="R63" s="6">
        <f t="shared" si="9"/>
        <v>58.439148908523535</v>
      </c>
      <c r="S63" s="6">
        <f>$C$61+(A63-60)*'Итоги 60 39'!$B$22</f>
        <v>2.0338983050847457</v>
      </c>
      <c r="T63" s="6">
        <f t="shared" si="10"/>
        <v>410.84575345003242</v>
      </c>
    </row>
    <row r="64" spans="1:20" x14ac:dyDescent="0.4">
      <c r="A64">
        <v>63</v>
      </c>
      <c r="B64">
        <f>Лист2!A64</f>
        <v>45992</v>
      </c>
      <c r="D64">
        <f>Лист2!B64</f>
        <v>19</v>
      </c>
      <c r="E64" s="6">
        <f>'Итоги 60 39'!$B$6+'Итоги 60 39'!$B$5*A64</f>
        <v>11.662693340742798</v>
      </c>
      <c r="F64" s="7">
        <f t="shared" si="0"/>
        <v>12</v>
      </c>
      <c r="G64" s="6">
        <f t="shared" si="11"/>
        <v>0.15987774381772724</v>
      </c>
      <c r="H64" s="6">
        <f t="shared" si="1"/>
        <v>9.6626933407427984</v>
      </c>
      <c r="I64" s="6">
        <f>SUM($E$62:E64)</f>
        <v>34.50844679077521</v>
      </c>
      <c r="J64" s="6">
        <f t="shared" si="2"/>
        <v>28.50844679077521</v>
      </c>
      <c r="K64" s="6">
        <f t="shared" si="12"/>
        <v>101.38990095486244</v>
      </c>
      <c r="L64" s="6">
        <f t="shared" si="3"/>
        <v>583.13466703713993</v>
      </c>
      <c r="M64" s="6">
        <f t="shared" si="4"/>
        <v>1.3899009548624406</v>
      </c>
      <c r="N64" s="6">
        <f t="shared" si="5"/>
        <v>483.13466703713993</v>
      </c>
      <c r="O64" s="6">
        <f t="shared" si="6"/>
        <v>7.3373066592572016</v>
      </c>
      <c r="P64" s="6">
        <f t="shared" si="7"/>
        <v>38.61740346977475</v>
      </c>
      <c r="Q64" s="6">
        <f t="shared" si="8"/>
        <v>53.836069011980079</v>
      </c>
      <c r="R64" s="6">
        <f t="shared" si="9"/>
        <v>47.858200698291668</v>
      </c>
      <c r="S64" s="6">
        <f>$C$61+(A64-60)*'Итоги 60 39'!$B$22</f>
        <v>2.0508474576271185</v>
      </c>
      <c r="T64" s="6">
        <f t="shared" si="10"/>
        <v>422.50844679077522</v>
      </c>
    </row>
    <row r="65" spans="1:20" x14ac:dyDescent="0.4">
      <c r="A65">
        <v>64</v>
      </c>
      <c r="B65">
        <f>Лист2!A65</f>
        <v>45999</v>
      </c>
      <c r="D65">
        <f>Лист2!B65</f>
        <v>21</v>
      </c>
      <c r="E65" s="6">
        <f>'Итоги 60 39'!$B$6+'Итоги 60 39'!$B$5*A65</f>
        <v>11.822571084560526</v>
      </c>
      <c r="F65" s="7">
        <f t="shared" si="0"/>
        <v>12</v>
      </c>
      <c r="G65" s="6">
        <f t="shared" si="11"/>
        <v>0.15987774381772724</v>
      </c>
      <c r="H65" s="6">
        <f t="shared" si="1"/>
        <v>9.8225710845605256</v>
      </c>
      <c r="I65" s="6">
        <f>SUM($E$62:E65)</f>
        <v>46.331017875335732</v>
      </c>
      <c r="J65" s="6">
        <f t="shared" si="2"/>
        <v>38.331017875335732</v>
      </c>
      <c r="K65" s="6">
        <f t="shared" si="12"/>
        <v>101.37084753192649</v>
      </c>
      <c r="L65" s="6">
        <f t="shared" si="3"/>
        <v>591.12855422802625</v>
      </c>
      <c r="M65" s="6">
        <f t="shared" si="4"/>
        <v>1.3708475319264863</v>
      </c>
      <c r="N65" s="6">
        <f t="shared" si="5"/>
        <v>491.12855422802625</v>
      </c>
      <c r="O65" s="6">
        <f t="shared" si="6"/>
        <v>9.1774289154394744</v>
      </c>
      <c r="P65" s="6">
        <f t="shared" si="7"/>
        <v>43.702042454473691</v>
      </c>
      <c r="Q65" s="6">
        <f t="shared" si="8"/>
        <v>84.225201497944568</v>
      </c>
      <c r="R65" s="6">
        <f t="shared" si="9"/>
        <v>55.921450466483805</v>
      </c>
      <c r="S65" s="6">
        <f>$C$61+(A65-60)*'Итоги 60 39'!$B$22</f>
        <v>2.0677966101694913</v>
      </c>
      <c r="T65" s="6">
        <f t="shared" si="10"/>
        <v>434.33101787533576</v>
      </c>
    </row>
    <row r="66" spans="1:20" x14ac:dyDescent="0.4">
      <c r="A66">
        <v>65</v>
      </c>
      <c r="B66">
        <f>Лист2!A66</f>
        <v>46006</v>
      </c>
      <c r="D66">
        <f>Лист2!B66</f>
        <v>10</v>
      </c>
      <c r="E66" s="6">
        <f>'Итоги 60 39'!$B$6+'Итоги 60 39'!$B$5*A66</f>
        <v>11.982448828378253</v>
      </c>
      <c r="F66" s="7">
        <f t="shared" si="0"/>
        <v>12</v>
      </c>
      <c r="G66" s="6">
        <f t="shared" si="11"/>
        <v>0.15987774381772724</v>
      </c>
      <c r="H66" s="6">
        <f t="shared" si="1"/>
        <v>9.9824488283782529</v>
      </c>
      <c r="I66" s="6">
        <f>SUM($E$62:E66)</f>
        <v>58.313466703713985</v>
      </c>
      <c r="J66" s="6">
        <f t="shared" si="2"/>
        <v>48.313466703713985</v>
      </c>
      <c r="K66" s="6">
        <f t="shared" si="12"/>
        <v>101.35230943146129</v>
      </c>
      <c r="L66" s="6">
        <f t="shared" si="3"/>
        <v>599.12244141891267</v>
      </c>
      <c r="M66" s="6">
        <f t="shared" si="4"/>
        <v>1.3523094314612933</v>
      </c>
      <c r="N66" s="6">
        <f t="shared" si="5"/>
        <v>499.12244141891267</v>
      </c>
      <c r="O66" s="6">
        <f t="shared" si="6"/>
        <v>1.9824488283782529</v>
      </c>
      <c r="P66" s="6">
        <f t="shared" si="7"/>
        <v>19.824488283782529</v>
      </c>
      <c r="Q66" s="6">
        <f t="shared" si="8"/>
        <v>3.9301033571383077</v>
      </c>
      <c r="R66" s="6">
        <f t="shared" si="9"/>
        <v>18.036651365420305</v>
      </c>
      <c r="S66" s="6">
        <f>$C$61+(A66-60)*'Итоги 60 39'!$B$22</f>
        <v>2.0847457627118642</v>
      </c>
      <c r="T66" s="6">
        <f t="shared" si="10"/>
        <v>446.31346670371397</v>
      </c>
    </row>
    <row r="67" spans="1:20" x14ac:dyDescent="0.4">
      <c r="A67">
        <v>66</v>
      </c>
      <c r="B67">
        <f>Лист2!A67</f>
        <v>46013</v>
      </c>
      <c r="D67">
        <f>Лист2!B67</f>
        <v>7</v>
      </c>
      <c r="E67" s="6">
        <f>'Итоги 60 39'!$B$6+'Итоги 60 39'!$B$5*A67</f>
        <v>12.14232657219598</v>
      </c>
      <c r="F67" s="7">
        <f t="shared" si="0"/>
        <v>12</v>
      </c>
      <c r="G67" s="6">
        <f t="shared" si="11"/>
        <v>0.15987774381772724</v>
      </c>
      <c r="H67" s="6">
        <f t="shared" si="1"/>
        <v>10.14232657219598</v>
      </c>
      <c r="I67" s="6">
        <f>SUM($E$62:E67)</f>
        <v>70.455793275909969</v>
      </c>
      <c r="J67" s="6">
        <f t="shared" si="2"/>
        <v>58.455793275909969</v>
      </c>
      <c r="K67" s="6">
        <f t="shared" si="12"/>
        <v>101.3342660261489</v>
      </c>
      <c r="L67" s="6">
        <f t="shared" si="3"/>
        <v>607.11632860979898</v>
      </c>
      <c r="M67" s="6">
        <f t="shared" si="4"/>
        <v>1.3342660261488959</v>
      </c>
      <c r="N67" s="6">
        <f t="shared" si="5"/>
        <v>507.11632860979898</v>
      </c>
      <c r="O67" s="6">
        <f t="shared" si="6"/>
        <v>5.1423265721959801</v>
      </c>
      <c r="P67" s="6">
        <f t="shared" si="7"/>
        <v>73.461808174228281</v>
      </c>
      <c r="Q67" s="6">
        <f t="shared" si="8"/>
        <v>26.443522575112858</v>
      </c>
      <c r="R67" s="6">
        <f t="shared" si="9"/>
        <v>53.727289133862683</v>
      </c>
      <c r="S67" s="6">
        <f>$C$61+(A67-60)*'Итоги 60 39'!$B$22</f>
        <v>2.1016949152542375</v>
      </c>
      <c r="T67" s="6">
        <f t="shared" si="10"/>
        <v>458.45579327590997</v>
      </c>
    </row>
    <row r="68" spans="1:20" x14ac:dyDescent="0.4">
      <c r="A68">
        <v>67</v>
      </c>
      <c r="B68">
        <f>Лист2!A68</f>
        <v>46020</v>
      </c>
      <c r="D68">
        <f>Лист2!B68</f>
        <v>11</v>
      </c>
      <c r="E68" s="6">
        <f>'Итоги 60 39'!$B$6+'Итоги 60 39'!$B$5*A68</f>
        <v>12.302204316013707</v>
      </c>
      <c r="F68" s="7">
        <f t="shared" si="0"/>
        <v>12</v>
      </c>
      <c r="G68" s="6">
        <f t="shared" si="11"/>
        <v>0.15987774381772724</v>
      </c>
      <c r="H68" s="6">
        <f t="shared" si="1"/>
        <v>10.302204316013707</v>
      </c>
      <c r="I68" s="6">
        <f>SUM($E$62:E68)</f>
        <v>82.757997591923669</v>
      </c>
      <c r="J68" s="6">
        <f t="shared" si="2"/>
        <v>68.757997591923669</v>
      </c>
      <c r="K68" s="6">
        <f t="shared" si="12"/>
        <v>101.31669777506909</v>
      </c>
      <c r="L68" s="6">
        <f t="shared" si="3"/>
        <v>615.11021580068541</v>
      </c>
      <c r="M68" s="6">
        <f t="shared" si="4"/>
        <v>1.3166977750690876</v>
      </c>
      <c r="N68" s="6">
        <f t="shared" si="5"/>
        <v>515.11021580068541</v>
      </c>
      <c r="O68" s="6">
        <f t="shared" si="6"/>
        <v>1.3022043160137073</v>
      </c>
      <c r="P68" s="6">
        <f t="shared" si="7"/>
        <v>11.838221054670067</v>
      </c>
      <c r="Q68" s="6">
        <f t="shared" si="8"/>
        <v>1.6957360806447275</v>
      </c>
      <c r="R68" s="6">
        <f t="shared" si="9"/>
        <v>11.176662073285559</v>
      </c>
      <c r="S68" s="6">
        <f>$C$61+(A68-60)*'Итоги 60 39'!$B$22</f>
        <v>2.1186440677966103</v>
      </c>
      <c r="T68" s="6">
        <f t="shared" si="10"/>
        <v>470.75799759192364</v>
      </c>
    </row>
    <row r="69" spans="1:20" x14ac:dyDescent="0.4">
      <c r="A69">
        <v>68</v>
      </c>
      <c r="B69">
        <f>Лист2!A69</f>
        <v>46027</v>
      </c>
      <c r="D69">
        <f>Лист2!B69</f>
        <v>21</v>
      </c>
      <c r="E69" s="6">
        <f>'Итоги 60 39'!$B$6+'Итоги 60 39'!$B$5*A69</f>
        <v>12.462082059831435</v>
      </c>
      <c r="F69" s="7">
        <f t="shared" si="0"/>
        <v>12</v>
      </c>
      <c r="G69" s="6">
        <f t="shared" si="11"/>
        <v>0.15987774381772724</v>
      </c>
      <c r="H69" s="6">
        <f t="shared" si="1"/>
        <v>10.462082059831435</v>
      </c>
      <c r="I69" s="6">
        <f>SUM($E$62:E69)</f>
        <v>95.2200796517551</v>
      </c>
      <c r="J69" s="6">
        <f t="shared" si="2"/>
        <v>79.2200796517551</v>
      </c>
      <c r="K69" s="6">
        <f t="shared" si="12"/>
        <v>101.29958615310603</v>
      </c>
      <c r="L69" s="6">
        <f t="shared" si="3"/>
        <v>623.10410299157172</v>
      </c>
      <c r="M69" s="6">
        <f t="shared" si="4"/>
        <v>1.2995861531060342</v>
      </c>
      <c r="N69" s="6">
        <f t="shared" si="5"/>
        <v>523.10410299157172</v>
      </c>
      <c r="O69" s="6">
        <f t="shared" si="6"/>
        <v>8.5379179401685654</v>
      </c>
      <c r="P69" s="6">
        <f t="shared" si="7"/>
        <v>40.65675209604079</v>
      </c>
      <c r="Q69" s="6">
        <f t="shared" si="8"/>
        <v>72.896042753052242</v>
      </c>
      <c r="R69" s="6">
        <f t="shared" si="9"/>
        <v>51.030404652660017</v>
      </c>
      <c r="S69" s="6">
        <f>$C$61+(A69-60)*'Итоги 60 39'!$B$22</f>
        <v>2.1355932203389831</v>
      </c>
      <c r="T69" s="6">
        <f t="shared" si="10"/>
        <v>483.2200796517551</v>
      </c>
    </row>
    <row r="70" spans="1:20" x14ac:dyDescent="0.4">
      <c r="A70">
        <v>69</v>
      </c>
      <c r="B70">
        <f>Лист2!A70</f>
        <v>46034</v>
      </c>
      <c r="D70">
        <f>Лист2!B70</f>
        <v>15</v>
      </c>
      <c r="E70" s="6">
        <f>'Итоги 60 39'!$B$6+'Итоги 60 39'!$B$5*A70</f>
        <v>12.621959803649162</v>
      </c>
      <c r="F70" s="7">
        <f t="shared" si="0"/>
        <v>13</v>
      </c>
      <c r="G70" s="6">
        <f t="shared" si="11"/>
        <v>0.15987774381772724</v>
      </c>
      <c r="H70" s="6">
        <f t="shared" si="1"/>
        <v>10.621959803649162</v>
      </c>
      <c r="I70" s="6">
        <f>SUM($E$62:E70)</f>
        <v>107.84203945540426</v>
      </c>
      <c r="J70" s="6">
        <f t="shared" si="2"/>
        <v>89.842039455404262</v>
      </c>
      <c r="K70" s="6">
        <f t="shared" si="12"/>
        <v>101.2829135857888</v>
      </c>
      <c r="L70" s="6">
        <f t="shared" si="3"/>
        <v>631.09799018245803</v>
      </c>
      <c r="M70" s="6">
        <f t="shared" si="4"/>
        <v>1.2829135857888048</v>
      </c>
      <c r="N70" s="6">
        <f t="shared" si="5"/>
        <v>531.09799018245803</v>
      </c>
      <c r="O70" s="6">
        <f t="shared" si="6"/>
        <v>2.3780401963508382</v>
      </c>
      <c r="P70" s="6">
        <f t="shared" si="7"/>
        <v>15.853601309005589</v>
      </c>
      <c r="Q70" s="6">
        <f t="shared" si="8"/>
        <v>5.6550751754603334</v>
      </c>
      <c r="R70" s="6">
        <f t="shared" si="9"/>
        <v>17.218475540875076</v>
      </c>
      <c r="S70" s="6">
        <f>$C$61+(A70-60)*'Итоги 60 39'!$B$22</f>
        <v>2.152542372881356</v>
      </c>
      <c r="T70" s="6">
        <f t="shared" si="10"/>
        <v>495.84203945540423</v>
      </c>
    </row>
    <row r="71" spans="1:20" x14ac:dyDescent="0.4">
      <c r="A71">
        <v>70</v>
      </c>
      <c r="B71">
        <f>Лист2!A71</f>
        <v>46041</v>
      </c>
      <c r="D71">
        <f>Лист2!B71</f>
        <v>9</v>
      </c>
      <c r="E71" s="6">
        <f>'Итоги 60 39'!$B$6+'Итоги 60 39'!$B$5*A71</f>
        <v>12.781837547466889</v>
      </c>
      <c r="F71" s="7">
        <f t="shared" si="0"/>
        <v>13</v>
      </c>
      <c r="G71" s="6">
        <f t="shared" si="11"/>
        <v>0.15987774381772724</v>
      </c>
      <c r="H71" s="6">
        <f t="shared" si="1"/>
        <v>10.781837547466889</v>
      </c>
      <c r="I71" s="6">
        <f>SUM($E$62:E71)</f>
        <v>120.62387700287115</v>
      </c>
      <c r="J71" s="6">
        <f t="shared" si="2"/>
        <v>100.62387700287115</v>
      </c>
      <c r="K71" s="6">
        <f t="shared" si="12"/>
        <v>101.26666338908403</v>
      </c>
      <c r="L71" s="6">
        <f t="shared" si="3"/>
        <v>639.09187737334446</v>
      </c>
      <c r="M71" s="6">
        <f t="shared" si="4"/>
        <v>1.2666633890840302</v>
      </c>
      <c r="N71" s="6">
        <f t="shared" si="5"/>
        <v>539.09187737334446</v>
      </c>
      <c r="O71" s="6">
        <f t="shared" si="6"/>
        <v>3.781837547466889</v>
      </c>
      <c r="P71" s="6">
        <f t="shared" si="7"/>
        <v>42.020417194076543</v>
      </c>
      <c r="Q71" s="6">
        <f t="shared" si="8"/>
        <v>14.302295235430375</v>
      </c>
      <c r="R71" s="6">
        <f t="shared" si="9"/>
        <v>34.724687843489093</v>
      </c>
      <c r="S71" s="6">
        <f>$C$61+(A71-60)*'Итоги 60 39'!$B$22</f>
        <v>2.1694915254237288</v>
      </c>
      <c r="T71" s="6">
        <f t="shared" si="10"/>
        <v>508.62387700287115</v>
      </c>
    </row>
    <row r="72" spans="1:20" x14ac:dyDescent="0.4">
      <c r="A72">
        <v>71</v>
      </c>
      <c r="B72">
        <f>Лист2!A72</f>
        <v>46048</v>
      </c>
      <c r="D72">
        <f>Лист2!B72</f>
        <v>10</v>
      </c>
      <c r="E72" s="6">
        <f>'Итоги 60 39'!$B$6+'Итоги 60 39'!$B$5*A72</f>
        <v>12.941715291284613</v>
      </c>
      <c r="F72" s="7">
        <f t="shared" si="0"/>
        <v>13</v>
      </c>
      <c r="G72" s="6">
        <f t="shared" si="11"/>
        <v>0.15987774381772368</v>
      </c>
      <c r="H72" s="6">
        <f t="shared" si="1"/>
        <v>10.941715291284613</v>
      </c>
      <c r="I72" s="6">
        <f>SUM($E$62:E72)</f>
        <v>133.56559229415578</v>
      </c>
      <c r="J72" s="6">
        <f t="shared" si="2"/>
        <v>111.56559229415578</v>
      </c>
      <c r="K72" s="6">
        <f t="shared" si="12"/>
        <v>101.25081971370705</v>
      </c>
      <c r="L72" s="6">
        <f t="shared" si="3"/>
        <v>647.08576456423066</v>
      </c>
      <c r="M72" s="6">
        <f t="shared" si="4"/>
        <v>1.2508197137070454</v>
      </c>
      <c r="N72" s="6">
        <f t="shared" si="5"/>
        <v>547.08576456423066</v>
      </c>
      <c r="O72" s="6">
        <f t="shared" si="6"/>
        <v>2.9417152912846127</v>
      </c>
      <c r="P72" s="6">
        <f t="shared" si="7"/>
        <v>29.417152912846127</v>
      </c>
      <c r="Q72" s="6">
        <f t="shared" si="8"/>
        <v>8.6536888549777142</v>
      </c>
      <c r="R72" s="6">
        <f t="shared" si="9"/>
        <v>25.645120723838364</v>
      </c>
      <c r="S72" s="6">
        <f>$C$61+(A72-60)*'Итоги 60 39'!$B$22</f>
        <v>2.1864406779661016</v>
      </c>
      <c r="T72" s="6">
        <f t="shared" si="10"/>
        <v>521.56559229415575</v>
      </c>
    </row>
    <row r="73" spans="1:20" x14ac:dyDescent="0.4">
      <c r="A73">
        <v>72</v>
      </c>
      <c r="B73">
        <f>Лист2!A73</f>
        <v>46055</v>
      </c>
      <c r="D73">
        <f>Лист2!B73</f>
        <v>15</v>
      </c>
      <c r="E73" s="6">
        <f>'Итоги 60 39'!$B$6+'Итоги 60 39'!$B$5*A73</f>
        <v>13.10159303510234</v>
      </c>
      <c r="F73" s="7">
        <f t="shared" si="0"/>
        <v>13</v>
      </c>
      <c r="G73" s="6">
        <f t="shared" si="11"/>
        <v>0.15987774381772724</v>
      </c>
      <c r="H73" s="6">
        <f t="shared" si="1"/>
        <v>11.10159303510234</v>
      </c>
      <c r="I73" s="6">
        <f>SUM($E$62:E73)</f>
        <v>146.66718532925813</v>
      </c>
      <c r="J73" s="6">
        <f t="shared" si="2"/>
        <v>122.66718532925813</v>
      </c>
      <c r="K73" s="6">
        <f t="shared" si="12"/>
        <v>101.23536749356089</v>
      </c>
      <c r="L73" s="6">
        <f t="shared" si="3"/>
        <v>655.07965175511697</v>
      </c>
      <c r="M73" s="6">
        <f t="shared" si="4"/>
        <v>1.2353674935608865</v>
      </c>
      <c r="N73" s="6">
        <f t="shared" si="5"/>
        <v>555.07965175511697</v>
      </c>
      <c r="O73" s="6">
        <f t="shared" si="6"/>
        <v>1.89840696489766</v>
      </c>
      <c r="P73" s="6">
        <f t="shared" si="7"/>
        <v>12.656046432651067</v>
      </c>
      <c r="Q73" s="6">
        <f t="shared" si="8"/>
        <v>3.6039490043719455</v>
      </c>
      <c r="R73" s="6">
        <f t="shared" si="9"/>
        <v>13.511027382158133</v>
      </c>
      <c r="S73" s="6">
        <f>$C$61+(A73-60)*'Итоги 60 39'!$B$22</f>
        <v>2.2033898305084745</v>
      </c>
      <c r="T73" s="6">
        <f t="shared" si="10"/>
        <v>534.66718532925813</v>
      </c>
    </row>
    <row r="74" spans="1:20" x14ac:dyDescent="0.4">
      <c r="A74">
        <v>73</v>
      </c>
      <c r="B74">
        <f>Лист2!A74</f>
        <v>46062</v>
      </c>
      <c r="D74">
        <f>Лист2!B74</f>
        <v>20</v>
      </c>
      <c r="E74" s="6">
        <f>'Итоги 60 39'!$B$6+'Итоги 60 39'!$B$5*A74</f>
        <v>13.261470778920067</v>
      </c>
      <c r="F74" s="7">
        <f t="shared" si="0"/>
        <v>13</v>
      </c>
      <c r="G74" s="6">
        <f t="shared" si="11"/>
        <v>0.15987774381772724</v>
      </c>
      <c r="H74" s="6">
        <f t="shared" si="1"/>
        <v>11.261470778920067</v>
      </c>
      <c r="I74" s="6">
        <f>SUM($E$62:E74)</f>
        <v>159.92865610817819</v>
      </c>
      <c r="J74" s="6">
        <f t="shared" si="2"/>
        <v>133.92865610817819</v>
      </c>
      <c r="K74" s="6">
        <f t="shared" si="12"/>
        <v>101.2202923979502</v>
      </c>
      <c r="L74" s="6">
        <f t="shared" si="3"/>
        <v>663.0735389460034</v>
      </c>
      <c r="M74" s="6">
        <f t="shared" si="4"/>
        <v>1.2202923979502032</v>
      </c>
      <c r="N74" s="6">
        <f t="shared" si="5"/>
        <v>563.0735389460034</v>
      </c>
      <c r="O74" s="6">
        <f t="shared" si="6"/>
        <v>6.7385292210799328</v>
      </c>
      <c r="P74" s="6">
        <f t="shared" si="7"/>
        <v>33.692646105399668</v>
      </c>
      <c r="Q74" s="6">
        <f t="shared" si="8"/>
        <v>45.407776063348123</v>
      </c>
      <c r="R74" s="6">
        <f t="shared" si="9"/>
        <v>40.518528274766318</v>
      </c>
      <c r="S74" s="6">
        <f>$C$61+(A74-60)*'Итоги 60 39'!$B$22</f>
        <v>2.2203389830508473</v>
      </c>
      <c r="T74" s="6">
        <f t="shared" si="10"/>
        <v>547.92865610817819</v>
      </c>
    </row>
    <row r="75" spans="1:20" x14ac:dyDescent="0.4">
      <c r="A75">
        <v>74</v>
      </c>
      <c r="B75">
        <f>Лист2!A75</f>
        <v>46069</v>
      </c>
      <c r="D75">
        <f>Лист2!B75</f>
        <v>15</v>
      </c>
      <c r="E75" s="6">
        <f>'Итоги 60 39'!$B$6+'Итоги 60 39'!$B$5*A75</f>
        <v>13.421348522737794</v>
      </c>
      <c r="F75" s="7">
        <f t="shared" si="0"/>
        <v>13</v>
      </c>
      <c r="G75" s="6">
        <f t="shared" si="11"/>
        <v>0.15987774381772724</v>
      </c>
      <c r="H75" s="6">
        <f t="shared" si="1"/>
        <v>11.421348522737794</v>
      </c>
      <c r="I75" s="6">
        <f>SUM($E$62:E75)</f>
        <v>173.35000463091598</v>
      </c>
      <c r="J75" s="6">
        <f t="shared" si="2"/>
        <v>145.35000463091598</v>
      </c>
      <c r="K75" s="6">
        <f t="shared" si="12"/>
        <v>101.20558078725222</v>
      </c>
      <c r="L75" s="6">
        <f t="shared" si="3"/>
        <v>671.06742613688971</v>
      </c>
      <c r="M75" s="6">
        <f t="shared" si="4"/>
        <v>1.2055807872522166</v>
      </c>
      <c r="N75" s="6">
        <f t="shared" si="5"/>
        <v>571.06742613688971</v>
      </c>
      <c r="O75" s="6">
        <f t="shared" si="6"/>
        <v>1.5786514772622056</v>
      </c>
      <c r="P75" s="6">
        <f t="shared" si="7"/>
        <v>10.524343181748037</v>
      </c>
      <c r="Q75" s="6">
        <f t="shared" si="8"/>
        <v>2.4921404866621439</v>
      </c>
      <c r="R75" s="6">
        <f t="shared" si="9"/>
        <v>11.108913259335633</v>
      </c>
      <c r="S75" s="6">
        <f>$C$61+(A75-60)*'Итоги 60 39'!$B$22</f>
        <v>2.2372881355932202</v>
      </c>
      <c r="T75" s="6">
        <f t="shared" si="10"/>
        <v>561.35000463091592</v>
      </c>
    </row>
    <row r="76" spans="1:20" x14ac:dyDescent="0.4">
      <c r="A76">
        <v>75</v>
      </c>
      <c r="B76">
        <f>Лист2!A76</f>
        <v>46076</v>
      </c>
      <c r="D76">
        <f>Лист2!B76</f>
        <v>15</v>
      </c>
      <c r="E76" s="6">
        <f>'Итоги 60 39'!$B$6+'Итоги 60 39'!$B$5*A76</f>
        <v>13.581226266555522</v>
      </c>
      <c r="F76" s="7">
        <f t="shared" si="0"/>
        <v>14</v>
      </c>
      <c r="G76" s="6">
        <f t="shared" si="11"/>
        <v>0.15987774381772724</v>
      </c>
      <c r="H76" s="6">
        <f t="shared" si="1"/>
        <v>11.581226266555522</v>
      </c>
      <c r="I76" s="6">
        <f>SUM($E$62:E76)</f>
        <v>186.93123089747149</v>
      </c>
      <c r="J76" s="6">
        <f t="shared" si="2"/>
        <v>156.93123089747149</v>
      </c>
      <c r="K76" s="6">
        <f t="shared" si="12"/>
        <v>101.19121967175558</v>
      </c>
      <c r="L76" s="6">
        <f t="shared" si="3"/>
        <v>679.06131332777613</v>
      </c>
      <c r="M76" s="6">
        <f t="shared" si="4"/>
        <v>1.1912196717555759</v>
      </c>
      <c r="N76" s="6">
        <f t="shared" si="5"/>
        <v>579.06131332777613</v>
      </c>
      <c r="O76" s="6">
        <f t="shared" si="6"/>
        <v>1.4187737334444783</v>
      </c>
      <c r="P76" s="6">
        <f t="shared" si="7"/>
        <v>9.4584915562965222</v>
      </c>
      <c r="Q76" s="6">
        <f t="shared" si="8"/>
        <v>2.0129189067119837</v>
      </c>
      <c r="R76" s="6">
        <f t="shared" si="9"/>
        <v>9.9280116270215064</v>
      </c>
      <c r="S76" s="6">
        <f>$C$61+(A76-60)*'Итоги 60 39'!$B$22</f>
        <v>2.2542372881355934</v>
      </c>
      <c r="T76" s="6">
        <f t="shared" si="10"/>
        <v>574.93123089747155</v>
      </c>
    </row>
    <row r="77" spans="1:20" x14ac:dyDescent="0.4">
      <c r="A77">
        <v>76</v>
      </c>
      <c r="B77">
        <f>Лист2!A77</f>
        <v>46083</v>
      </c>
      <c r="D77">
        <f>Лист2!B77</f>
        <v>16</v>
      </c>
      <c r="E77" s="6">
        <f>'Итоги 60 39'!$B$6+'Итоги 60 39'!$B$5*A77</f>
        <v>13.741104010373249</v>
      </c>
      <c r="F77" s="7">
        <f t="shared" si="0"/>
        <v>14</v>
      </c>
      <c r="G77" s="6">
        <f t="shared" si="11"/>
        <v>0.15987774381772724</v>
      </c>
      <c r="H77" s="6">
        <f t="shared" si="1"/>
        <v>11.741104010373249</v>
      </c>
      <c r="I77" s="6">
        <f>SUM($E$62:E77)</f>
        <v>200.67233490784474</v>
      </c>
      <c r="J77" s="6">
        <f t="shared" si="2"/>
        <v>168.67233490784474</v>
      </c>
      <c r="K77" s="6">
        <f t="shared" si="12"/>
        <v>101.1771966734067</v>
      </c>
      <c r="L77" s="6">
        <f t="shared" si="3"/>
        <v>687.05520051866245</v>
      </c>
      <c r="M77" s="6">
        <f t="shared" si="4"/>
        <v>1.1771966734066979</v>
      </c>
      <c r="N77" s="6">
        <f t="shared" si="5"/>
        <v>587.05520051866245</v>
      </c>
      <c r="O77" s="6">
        <f t="shared" si="6"/>
        <v>2.2588959896267511</v>
      </c>
      <c r="P77" s="6">
        <f t="shared" si="7"/>
        <v>14.118099935167194</v>
      </c>
      <c r="Q77" s="6">
        <f t="shared" si="8"/>
        <v>5.1026110919518191</v>
      </c>
      <c r="R77" s="6">
        <f t="shared" si="9"/>
        <v>15.190397699015357</v>
      </c>
      <c r="S77" s="6">
        <f>$C$61+(A77-60)*'Итоги 60 39'!$B$22</f>
        <v>2.2711864406779663</v>
      </c>
      <c r="T77" s="6">
        <f t="shared" si="10"/>
        <v>588.67233490784474</v>
      </c>
    </row>
    <row r="78" spans="1:20" x14ac:dyDescent="0.4">
      <c r="A78">
        <v>77</v>
      </c>
      <c r="B78">
        <f>Лист2!A78</f>
        <v>46090</v>
      </c>
      <c r="D78">
        <f>Лист2!B78</f>
        <v>14</v>
      </c>
      <c r="E78" s="6">
        <f>'Итоги 60 39'!$B$6+'Итоги 60 39'!$B$5*A78</f>
        <v>13.900981754190976</v>
      </c>
      <c r="F78" s="7">
        <f t="shared" si="0"/>
        <v>14</v>
      </c>
      <c r="G78" s="6">
        <f t="shared" si="11"/>
        <v>0.15987774381772724</v>
      </c>
      <c r="H78" s="6">
        <f t="shared" si="1"/>
        <v>11.900981754190976</v>
      </c>
      <c r="I78" s="6">
        <f>SUM($E$62:E78)</f>
        <v>214.57331666203572</v>
      </c>
      <c r="J78" s="6">
        <f t="shared" si="2"/>
        <v>180.57331666203572</v>
      </c>
      <c r="K78" s="6">
        <f t="shared" si="12"/>
        <v>101.16349999022664</v>
      </c>
      <c r="L78" s="6">
        <f t="shared" si="3"/>
        <v>695.04908770954876</v>
      </c>
      <c r="M78" s="6">
        <f t="shared" si="4"/>
        <v>1.1634999902266401</v>
      </c>
      <c r="N78" s="6">
        <f t="shared" si="5"/>
        <v>595.04908770954876</v>
      </c>
      <c r="O78" s="6">
        <f t="shared" si="6"/>
        <v>9.9018245809023853E-2</v>
      </c>
      <c r="P78" s="6">
        <f t="shared" si="7"/>
        <v>0.70727318435017039</v>
      </c>
      <c r="Q78" s="6">
        <f t="shared" si="8"/>
        <v>9.80461300309627E-3</v>
      </c>
      <c r="R78" s="6">
        <f t="shared" si="9"/>
        <v>0.70978323760346129</v>
      </c>
      <c r="S78" s="6">
        <f>$C$61+(A78-60)*'Итоги 60 39'!$B$22</f>
        <v>2.2881355932203391</v>
      </c>
      <c r="T78" s="6">
        <f t="shared" si="10"/>
        <v>602.57331666203572</v>
      </c>
    </row>
    <row r="79" spans="1:20" x14ac:dyDescent="0.4">
      <c r="A79">
        <v>78</v>
      </c>
      <c r="B79">
        <f>Лист2!A79</f>
        <v>46097</v>
      </c>
      <c r="D79">
        <f>Лист2!B79</f>
        <v>15</v>
      </c>
      <c r="E79" s="6">
        <f>'Итоги 60 39'!$B$6+'Итоги 60 39'!$B$5*A79</f>
        <v>14.060859498008703</v>
      </c>
      <c r="F79" s="7">
        <f t="shared" si="0"/>
        <v>14</v>
      </c>
      <c r="G79" s="6">
        <f t="shared" si="11"/>
        <v>0.15987774381772724</v>
      </c>
      <c r="H79" s="6">
        <f t="shared" si="1"/>
        <v>12.060859498008703</v>
      </c>
      <c r="I79" s="6">
        <f>SUM($E$62:E79)</f>
        <v>228.63417616004443</v>
      </c>
      <c r="J79" s="6">
        <f t="shared" si="2"/>
        <v>192.63417616004443</v>
      </c>
      <c r="K79" s="6">
        <f t="shared" si="12"/>
        <v>101.15011836318342</v>
      </c>
      <c r="L79" s="6">
        <f t="shared" si="3"/>
        <v>703.04297490043518</v>
      </c>
      <c r="M79" s="6">
        <f t="shared" si="4"/>
        <v>1.1501183631834238</v>
      </c>
      <c r="N79" s="6">
        <f t="shared" si="5"/>
        <v>603.04297490043518</v>
      </c>
      <c r="O79" s="6">
        <f t="shared" si="6"/>
        <v>0.93914050199129662</v>
      </c>
      <c r="P79" s="6">
        <f t="shared" si="7"/>
        <v>6.2609366799419783</v>
      </c>
      <c r="Q79" s="6">
        <f t="shared" si="8"/>
        <v>0.88198488248046458</v>
      </c>
      <c r="R79" s="6">
        <f t="shared" si="9"/>
        <v>6.4632672137976375</v>
      </c>
      <c r="S79" s="6">
        <f>$C$61+(A79-60)*'Итоги 60 39'!$B$22</f>
        <v>2.3050847457627119</v>
      </c>
      <c r="T79" s="6">
        <f t="shared" si="10"/>
        <v>616.63417616004449</v>
      </c>
    </row>
    <row r="80" spans="1:20" x14ac:dyDescent="0.4">
      <c r="A80">
        <v>79</v>
      </c>
      <c r="B80">
        <f>Лист2!A80</f>
        <v>46104</v>
      </c>
      <c r="D80">
        <f>Лист2!B80</f>
        <v>30</v>
      </c>
      <c r="E80" s="6">
        <f>'Итоги 60 39'!$B$6+'Итоги 60 39'!$B$5*A80</f>
        <v>14.220737241826431</v>
      </c>
      <c r="F80" s="7">
        <f t="shared" si="0"/>
        <v>14</v>
      </c>
      <c r="G80" s="6">
        <f t="shared" si="11"/>
        <v>0.15987774381772724</v>
      </c>
      <c r="H80" s="6">
        <f t="shared" si="1"/>
        <v>12.220737241826431</v>
      </c>
      <c r="I80" s="6">
        <f>SUM($E$62:E80)</f>
        <v>242.85491340187087</v>
      </c>
      <c r="J80" s="6">
        <f t="shared" si="2"/>
        <v>204.85491340187087</v>
      </c>
      <c r="K80" s="6">
        <f t="shared" si="12"/>
        <v>101.13704104532421</v>
      </c>
      <c r="L80" s="6">
        <f t="shared" si="3"/>
        <v>711.0368620913215</v>
      </c>
      <c r="M80" s="6">
        <f t="shared" si="4"/>
        <v>1.1370410453242101</v>
      </c>
      <c r="N80" s="6">
        <f t="shared" si="5"/>
        <v>611.0368620913215</v>
      </c>
      <c r="O80" s="6">
        <f t="shared" si="6"/>
        <v>15.779262758173569</v>
      </c>
      <c r="P80" s="6">
        <f t="shared" si="7"/>
        <v>52.597542527245231</v>
      </c>
      <c r="Q80" s="6">
        <f t="shared" si="8"/>
        <v>248.98513319148336</v>
      </c>
      <c r="R80" s="6">
        <f t="shared" si="9"/>
        <v>71.365896375190545</v>
      </c>
      <c r="S80" s="6">
        <f>$C$61+(A80-60)*'Итоги 60 39'!$B$22</f>
        <v>2.3220338983050848</v>
      </c>
      <c r="T80" s="6">
        <f t="shared" si="10"/>
        <v>630.85491340187082</v>
      </c>
    </row>
    <row r="81" spans="1:20" x14ac:dyDescent="0.4">
      <c r="A81">
        <v>80</v>
      </c>
      <c r="B81">
        <f>Лист2!A81</f>
        <v>46111</v>
      </c>
      <c r="D81">
        <f>Лист2!B81</f>
        <v>17</v>
      </c>
      <c r="E81" s="6">
        <f>'Итоги 60 39'!$B$6+'Итоги 60 39'!$B$5*A81</f>
        <v>14.380614985644158</v>
      </c>
      <c r="F81" s="7">
        <f t="shared" si="0"/>
        <v>14</v>
      </c>
      <c r="G81" s="6">
        <f t="shared" si="11"/>
        <v>0.15987774381772724</v>
      </c>
      <c r="H81" s="6">
        <f t="shared" si="1"/>
        <v>12.380614985644158</v>
      </c>
      <c r="I81" s="6">
        <f>SUM($E$62:E81)</f>
        <v>257.23552838751505</v>
      </c>
      <c r="J81" s="6">
        <f t="shared" si="2"/>
        <v>217.23552838751505</v>
      </c>
      <c r="K81" s="6">
        <f t="shared" si="12"/>
        <v>101.12425777299008</v>
      </c>
      <c r="L81" s="6">
        <f t="shared" si="3"/>
        <v>719.03074928220792</v>
      </c>
      <c r="M81" s="6">
        <f t="shared" si="4"/>
        <v>1.1242577729900773</v>
      </c>
      <c r="N81" s="6">
        <f t="shared" si="5"/>
        <v>619.03074928220792</v>
      </c>
      <c r="O81" s="6">
        <f t="shared" si="6"/>
        <v>2.6193850143558421</v>
      </c>
      <c r="P81" s="6">
        <f t="shared" si="7"/>
        <v>15.408147143269661</v>
      </c>
      <c r="Q81" s="6">
        <f t="shared" si="8"/>
        <v>6.861177853431955</v>
      </c>
      <c r="R81" s="6">
        <f t="shared" si="9"/>
        <v>16.694287320717869</v>
      </c>
      <c r="S81" s="6">
        <f>$C$61+(A81-60)*'Итоги 60 39'!$B$22</f>
        <v>2.3389830508474576</v>
      </c>
      <c r="T81" s="6">
        <f t="shared" si="10"/>
        <v>645.23552838751505</v>
      </c>
    </row>
    <row r="82" spans="1:20" x14ac:dyDescent="0.4">
      <c r="A82">
        <v>81</v>
      </c>
      <c r="B82">
        <f>Лист2!A82</f>
        <v>46118</v>
      </c>
      <c r="D82">
        <f>Лист2!B82</f>
        <v>14</v>
      </c>
      <c r="E82" s="6">
        <f>'Итоги 60 39'!$B$6+'Итоги 60 39'!$B$5*A82</f>
        <v>14.540492729461885</v>
      </c>
      <c r="F82" s="7">
        <f t="shared" si="0"/>
        <v>15</v>
      </c>
      <c r="G82" s="6">
        <f t="shared" si="11"/>
        <v>0.15987774381772724</v>
      </c>
      <c r="H82" s="6">
        <f t="shared" si="1"/>
        <v>12.540492729461885</v>
      </c>
      <c r="I82" s="6">
        <f>SUM($E$62:E82)</f>
        <v>271.77602111697695</v>
      </c>
      <c r="J82" s="6">
        <f t="shared" si="2"/>
        <v>229.77602111697695</v>
      </c>
      <c r="K82" s="6">
        <f t="shared" si="12"/>
        <v>101.11175873895053</v>
      </c>
      <c r="L82" s="6">
        <f t="shared" si="3"/>
        <v>727.02463647309423</v>
      </c>
      <c r="M82" s="6">
        <f t="shared" si="4"/>
        <v>1.1117587389505275</v>
      </c>
      <c r="N82" s="6">
        <f t="shared" si="5"/>
        <v>627.02463647309423</v>
      </c>
      <c r="O82" s="6">
        <f t="shared" si="6"/>
        <v>0.54049272946188509</v>
      </c>
      <c r="P82" s="6">
        <f t="shared" si="7"/>
        <v>3.8606623532991788</v>
      </c>
      <c r="Q82" s="6">
        <f t="shared" si="8"/>
        <v>0.29213239060115853</v>
      </c>
      <c r="R82" s="6">
        <f t="shared" si="9"/>
        <v>3.7875500930223485</v>
      </c>
      <c r="S82" s="6">
        <f>$C$61+(A82-60)*'Итоги 60 39'!$B$22</f>
        <v>2.3559322033898304</v>
      </c>
      <c r="T82" s="6">
        <f t="shared" si="10"/>
        <v>659.77602111697695</v>
      </c>
    </row>
    <row r="83" spans="1:20" x14ac:dyDescent="0.4">
      <c r="A83">
        <v>82</v>
      </c>
      <c r="B83">
        <f>Лист2!A83</f>
        <v>46125</v>
      </c>
      <c r="D83">
        <f>Лист2!B83</f>
        <v>11</v>
      </c>
      <c r="E83" s="6">
        <f>'Итоги 60 39'!$B$6+'Итоги 60 39'!$B$5*A83</f>
        <v>14.700370473279612</v>
      </c>
      <c r="F83" s="7">
        <f t="shared" si="0"/>
        <v>15</v>
      </c>
      <c r="G83" s="6">
        <f t="shared" si="11"/>
        <v>0.15987774381772724</v>
      </c>
      <c r="H83" s="6">
        <f t="shared" si="1"/>
        <v>12.700370473279612</v>
      </c>
      <c r="I83" s="6">
        <f>SUM($E$62:E83)</f>
        <v>286.47639159025658</v>
      </c>
      <c r="J83" s="6">
        <f t="shared" si="2"/>
        <v>242.47639159025658</v>
      </c>
      <c r="K83" s="6">
        <f t="shared" si="12"/>
        <v>101.09953456731067</v>
      </c>
      <c r="L83" s="6">
        <f t="shared" si="3"/>
        <v>735.01852366398066</v>
      </c>
      <c r="M83" s="6">
        <f t="shared" si="4"/>
        <v>1.0995345673106698</v>
      </c>
      <c r="N83" s="6">
        <f t="shared" si="5"/>
        <v>635.01852366398066</v>
      </c>
      <c r="O83" s="6">
        <f t="shared" si="6"/>
        <v>3.7003704732796123</v>
      </c>
      <c r="P83" s="6">
        <f t="shared" si="7"/>
        <v>33.639731575269202</v>
      </c>
      <c r="Q83" s="6">
        <f t="shared" si="8"/>
        <v>13.692741639519582</v>
      </c>
      <c r="R83" s="6">
        <f t="shared" si="9"/>
        <v>28.796242273058638</v>
      </c>
      <c r="S83" s="6">
        <f>$C$61+(A83-60)*'Итоги 60 39'!$B$22</f>
        <v>2.3728813559322033</v>
      </c>
      <c r="T83" s="6">
        <f t="shared" si="10"/>
        <v>674.47639159025653</v>
      </c>
    </row>
    <row r="84" spans="1:20" x14ac:dyDescent="0.4">
      <c r="A84">
        <v>83</v>
      </c>
      <c r="B84">
        <f>Лист2!A84</f>
        <v>46132</v>
      </c>
      <c r="D84">
        <f>Лист2!B84</f>
        <v>18</v>
      </c>
      <c r="E84" s="6">
        <f>'Итоги 60 39'!$B$6+'Итоги 60 39'!$B$5*A84</f>
        <v>14.86024821709734</v>
      </c>
      <c r="F84" s="7">
        <f t="shared" si="0"/>
        <v>15</v>
      </c>
      <c r="G84" s="6">
        <f t="shared" si="11"/>
        <v>0.15987774381772724</v>
      </c>
      <c r="H84" s="6">
        <f t="shared" si="1"/>
        <v>12.86024821709734</v>
      </c>
      <c r="I84" s="6">
        <f>SUM($E$62:E84)</f>
        <v>301.33663980735395</v>
      </c>
      <c r="J84" s="6">
        <f t="shared" si="2"/>
        <v>255.33663980735395</v>
      </c>
      <c r="K84" s="6">
        <f t="shared" si="12"/>
        <v>101.08757629005562</v>
      </c>
      <c r="L84" s="6">
        <f t="shared" si="3"/>
        <v>743.01241085486697</v>
      </c>
      <c r="M84" s="6">
        <f t="shared" si="4"/>
        <v>1.0875762900556225</v>
      </c>
      <c r="N84" s="6">
        <f t="shared" si="5"/>
        <v>643.01241085486697</v>
      </c>
      <c r="O84" s="6">
        <f t="shared" si="6"/>
        <v>3.1397517829026604</v>
      </c>
      <c r="P84" s="6">
        <f t="shared" si="7"/>
        <v>17.443065460570338</v>
      </c>
      <c r="Q84" s="6">
        <f t="shared" si="8"/>
        <v>9.8580412582404353</v>
      </c>
      <c r="R84" s="6">
        <f t="shared" si="9"/>
        <v>19.109726513076268</v>
      </c>
      <c r="S84" s="6">
        <f>$C$61+(A84-60)*'Итоги 60 39'!$B$22</f>
        <v>2.3898305084745761</v>
      </c>
      <c r="T84" s="6">
        <f t="shared" si="10"/>
        <v>689.336639807354</v>
      </c>
    </row>
    <row r="85" spans="1:20" x14ac:dyDescent="0.4">
      <c r="A85">
        <v>84</v>
      </c>
      <c r="B85">
        <f>Лист2!A85</f>
        <v>46139</v>
      </c>
      <c r="D85">
        <f>Лист2!B85</f>
        <v>19</v>
      </c>
      <c r="E85" s="6">
        <f>'Итоги 60 39'!$B$6+'Итоги 60 39'!$B$5*A85</f>
        <v>15.020125960915067</v>
      </c>
      <c r="F85" s="7">
        <f t="shared" si="0"/>
        <v>15</v>
      </c>
      <c r="G85" s="6">
        <f t="shared" si="11"/>
        <v>0.15987774381772724</v>
      </c>
      <c r="H85" s="6">
        <f t="shared" si="1"/>
        <v>13.020125960915067</v>
      </c>
      <c r="I85" s="6">
        <f>SUM($E$62:E85)</f>
        <v>316.35676576826904</v>
      </c>
      <c r="J85" s="6">
        <f t="shared" si="2"/>
        <v>268.35676576826904</v>
      </c>
      <c r="K85" s="6">
        <f t="shared" si="12"/>
        <v>101.07587532510918</v>
      </c>
      <c r="L85" s="6">
        <f t="shared" si="3"/>
        <v>751.00629804575328</v>
      </c>
      <c r="M85" s="6">
        <f t="shared" si="4"/>
        <v>1.0758753251091804</v>
      </c>
      <c r="N85" s="6">
        <f t="shared" si="5"/>
        <v>651.00629804575328</v>
      </c>
      <c r="O85" s="6">
        <f t="shared" si="6"/>
        <v>3.9798740390849332</v>
      </c>
      <c r="P85" s="6">
        <f t="shared" si="7"/>
        <v>20.946705468868068</v>
      </c>
      <c r="Q85" s="6">
        <f t="shared" si="8"/>
        <v>15.839397366982221</v>
      </c>
      <c r="R85" s="6">
        <f t="shared" si="9"/>
        <v>23.39717403549486</v>
      </c>
      <c r="S85" s="6">
        <f>$C$61+(A85-60)*'Итоги 60 39'!$B$22</f>
        <v>2.406779661016949</v>
      </c>
      <c r="T85" s="6">
        <f t="shared" si="10"/>
        <v>704.35676576826904</v>
      </c>
    </row>
    <row r="86" spans="1:20" x14ac:dyDescent="0.4">
      <c r="A86">
        <v>85</v>
      </c>
      <c r="B86">
        <f>Лист2!A86</f>
        <v>46146</v>
      </c>
      <c r="D86">
        <f>Лист2!B86</f>
        <v>19</v>
      </c>
      <c r="E86" s="6">
        <f>'Итоги 60 39'!$B$6+'Итоги 60 39'!$B$5*A86</f>
        <v>15.180003704732794</v>
      </c>
      <c r="F86" s="7">
        <f t="shared" si="0"/>
        <v>15</v>
      </c>
      <c r="G86" s="6">
        <f t="shared" si="11"/>
        <v>0.15987774381772724</v>
      </c>
      <c r="H86" s="6">
        <f t="shared" si="1"/>
        <v>13.180003704732794</v>
      </c>
      <c r="I86" s="6">
        <f>SUM($E$62:E86)</f>
        <v>331.53676947300181</v>
      </c>
      <c r="J86" s="6">
        <f t="shared" si="2"/>
        <v>281.53676947300181</v>
      </c>
      <c r="K86" s="6">
        <f t="shared" si="12"/>
        <v>101.06442345579363</v>
      </c>
      <c r="L86" s="6">
        <f t="shared" si="3"/>
        <v>759.00018523663971</v>
      </c>
      <c r="M86" s="6">
        <f t="shared" si="4"/>
        <v>1.0644234557936301</v>
      </c>
      <c r="N86" s="6">
        <f t="shared" si="5"/>
        <v>659.00018523663971</v>
      </c>
      <c r="O86" s="6">
        <f t="shared" si="6"/>
        <v>3.819996295267206</v>
      </c>
      <c r="P86" s="6">
        <f t="shared" si="7"/>
        <v>20.105243659301085</v>
      </c>
      <c r="Q86" s="6">
        <f t="shared" si="8"/>
        <v>14.592371695855178</v>
      </c>
      <c r="R86" s="6">
        <f t="shared" si="9"/>
        <v>22.352228678888427</v>
      </c>
      <c r="S86" s="6">
        <f>$C$61+(A86-60)*'Итоги 60 39'!$B$22</f>
        <v>2.4237288135593218</v>
      </c>
      <c r="T86" s="6">
        <f t="shared" si="10"/>
        <v>719.53676947300187</v>
      </c>
    </row>
    <row r="87" spans="1:20" x14ac:dyDescent="0.4">
      <c r="A87">
        <v>86</v>
      </c>
      <c r="B87">
        <f>Лист2!A87</f>
        <v>46153</v>
      </c>
      <c r="D87">
        <f>Лист2!B87</f>
        <v>14</v>
      </c>
      <c r="E87" s="6">
        <f>'Итоги 60 39'!$B$6+'Итоги 60 39'!$B$5*A87</f>
        <v>15.339881448550521</v>
      </c>
      <c r="F87" s="7">
        <f t="shared" si="0"/>
        <v>15</v>
      </c>
      <c r="G87" s="6">
        <f t="shared" si="11"/>
        <v>0.15987774381772724</v>
      </c>
      <c r="H87" s="6">
        <f t="shared" si="1"/>
        <v>13.339881448550521</v>
      </c>
      <c r="I87" s="6">
        <f>SUM($E$62:E87)</f>
        <v>346.87665092155231</v>
      </c>
      <c r="J87" s="6">
        <f t="shared" si="2"/>
        <v>294.87665092155231</v>
      </c>
      <c r="K87" s="6">
        <f t="shared" si="12"/>
        <v>101.05321281158766</v>
      </c>
      <c r="L87" s="6">
        <f t="shared" si="3"/>
        <v>766.99407242752602</v>
      </c>
      <c r="M87" s="6">
        <f t="shared" si="4"/>
        <v>1.053212811587656</v>
      </c>
      <c r="N87" s="6">
        <f t="shared" si="5"/>
        <v>666.99407242752602</v>
      </c>
      <c r="O87" s="6">
        <f t="shared" si="6"/>
        <v>1.3398814485505213</v>
      </c>
      <c r="P87" s="6">
        <f t="shared" si="7"/>
        <v>9.570581775360866</v>
      </c>
      <c r="Q87" s="6">
        <f t="shared" si="8"/>
        <v>1.7952822961698431</v>
      </c>
      <c r="R87" s="6">
        <f t="shared" si="9"/>
        <v>9.133516445184652</v>
      </c>
      <c r="S87" s="6">
        <f>$C$61+(A87-60)*'Итоги 60 39'!$B$22</f>
        <v>2.4406779661016951</v>
      </c>
      <c r="T87" s="6">
        <f t="shared" si="10"/>
        <v>734.87665092155225</v>
      </c>
    </row>
    <row r="88" spans="1:20" x14ac:dyDescent="0.4">
      <c r="A88">
        <v>87</v>
      </c>
      <c r="B88">
        <f>Лист2!A88</f>
        <v>46160</v>
      </c>
      <c r="D88">
        <f>Лист2!B88</f>
        <v>30</v>
      </c>
      <c r="E88" s="6">
        <f>'Итоги 60 39'!$B$6+'Итоги 60 39'!$B$5*A88</f>
        <v>15.499759192368249</v>
      </c>
      <c r="F88" s="7">
        <f t="shared" si="0"/>
        <v>15</v>
      </c>
      <c r="G88" s="6">
        <f t="shared" si="11"/>
        <v>0.15987774381772724</v>
      </c>
      <c r="H88" s="6">
        <f t="shared" si="1"/>
        <v>13.499759192368249</v>
      </c>
      <c r="I88" s="6">
        <f>SUM($E$62:E88)</f>
        <v>362.37641011392054</v>
      </c>
      <c r="J88" s="6">
        <f t="shared" si="2"/>
        <v>308.37641011392054</v>
      </c>
      <c r="K88" s="6">
        <f t="shared" si="12"/>
        <v>101.04223585008758</v>
      </c>
      <c r="L88" s="6">
        <f t="shared" si="3"/>
        <v>774.98795961841245</v>
      </c>
      <c r="M88" s="6">
        <f t="shared" si="4"/>
        <v>1.0422358500875788</v>
      </c>
      <c r="N88" s="6">
        <f t="shared" si="5"/>
        <v>674.98795961841245</v>
      </c>
      <c r="O88" s="6">
        <f t="shared" si="6"/>
        <v>14.500240807631751</v>
      </c>
      <c r="P88" s="6">
        <f t="shared" si="7"/>
        <v>48.334136025439172</v>
      </c>
      <c r="Q88" s="6">
        <f t="shared" si="8"/>
        <v>210.2569834793091</v>
      </c>
      <c r="R88" s="6">
        <f t="shared" si="9"/>
        <v>63.737659561345119</v>
      </c>
      <c r="S88" s="6">
        <f>$C$61+(A88-60)*'Итоги 60 39'!$B$22</f>
        <v>2.4576271186440679</v>
      </c>
      <c r="T88" s="6">
        <f t="shared" si="10"/>
        <v>750.37641011392054</v>
      </c>
    </row>
    <row r="89" spans="1:20" x14ac:dyDescent="0.4">
      <c r="A89">
        <v>88</v>
      </c>
      <c r="B89">
        <f>Лист2!A89</f>
        <v>46167</v>
      </c>
      <c r="D89">
        <f>Лист2!B89</f>
        <v>9</v>
      </c>
      <c r="E89" s="6">
        <f>'Итоги 60 39'!$B$6+'Итоги 60 39'!$B$5*A89</f>
        <v>15.659636936185976</v>
      </c>
      <c r="F89" s="7">
        <f t="shared" si="0"/>
        <v>16</v>
      </c>
      <c r="G89" s="6">
        <f t="shared" si="11"/>
        <v>0.15987774381772724</v>
      </c>
      <c r="H89" s="6">
        <f t="shared" si="1"/>
        <v>13.659636936185976</v>
      </c>
      <c r="I89" s="6">
        <f>SUM($E$62:E89)</f>
        <v>378.0360470501065</v>
      </c>
      <c r="J89" s="6">
        <f t="shared" si="2"/>
        <v>322.0360470501065</v>
      </c>
      <c r="K89" s="6">
        <f t="shared" si="12"/>
        <v>101.03148534008481</v>
      </c>
      <c r="L89" s="6">
        <f t="shared" si="3"/>
        <v>782.98184680929876</v>
      </c>
      <c r="M89" s="6">
        <f t="shared" si="4"/>
        <v>1.0314853400848136</v>
      </c>
      <c r="N89" s="6">
        <f t="shared" si="5"/>
        <v>682.98184680929876</v>
      </c>
      <c r="O89" s="6">
        <f t="shared" si="6"/>
        <v>6.6596369361859757</v>
      </c>
      <c r="P89" s="6">
        <f t="shared" si="7"/>
        <v>73.995965957621962</v>
      </c>
      <c r="Q89" s="6">
        <f t="shared" si="8"/>
        <v>44.350764121812531</v>
      </c>
      <c r="R89" s="6">
        <f t="shared" si="9"/>
        <v>54.012449197202166</v>
      </c>
      <c r="S89" s="6">
        <f>$C$61+(A89-60)*'Итоги 60 39'!$B$22</f>
        <v>2.4745762711864407</v>
      </c>
      <c r="T89" s="6">
        <f t="shared" si="10"/>
        <v>766.0360470501065</v>
      </c>
    </row>
    <row r="90" spans="1:20" x14ac:dyDescent="0.4">
      <c r="A90">
        <v>89</v>
      </c>
      <c r="B90">
        <f>Лист2!A90</f>
        <v>46174</v>
      </c>
      <c r="D90">
        <f>Лист2!B90</f>
        <v>31</v>
      </c>
      <c r="E90" s="6">
        <f>'Итоги 60 39'!$B$6+'Итоги 60 39'!$B$5*A90</f>
        <v>15.819514680003703</v>
      </c>
      <c r="F90" s="7">
        <f t="shared" si="0"/>
        <v>16</v>
      </c>
      <c r="G90" s="6">
        <f t="shared" si="11"/>
        <v>0.15987774381772724</v>
      </c>
      <c r="H90" s="6">
        <f t="shared" si="1"/>
        <v>13.819514680003703</v>
      </c>
      <c r="I90" s="6">
        <f>SUM($E$62:E90)</f>
        <v>393.8555617301102</v>
      </c>
      <c r="J90" s="6">
        <f t="shared" si="2"/>
        <v>335.8555617301102</v>
      </c>
      <c r="K90" s="6">
        <f t="shared" si="12"/>
        <v>101.02095434568017</v>
      </c>
      <c r="L90" s="6">
        <f t="shared" si="3"/>
        <v>790.97573400018518</v>
      </c>
      <c r="M90" s="6">
        <f t="shared" si="4"/>
        <v>1.0209543456801669</v>
      </c>
      <c r="N90" s="6">
        <f t="shared" si="5"/>
        <v>690.97573400018518</v>
      </c>
      <c r="O90" s="6">
        <f t="shared" si="6"/>
        <v>15.180485319996297</v>
      </c>
      <c r="P90" s="6">
        <f t="shared" si="7"/>
        <v>48.969307483859019</v>
      </c>
      <c r="Q90" s="6">
        <f t="shared" si="8"/>
        <v>230.44713455062308</v>
      </c>
      <c r="R90" s="6">
        <f t="shared" si="9"/>
        <v>64.846829035926675</v>
      </c>
      <c r="S90" s="6">
        <f>$C$61+(A90-60)*'Итоги 60 39'!$B$22</f>
        <v>2.4915254237288136</v>
      </c>
      <c r="T90" s="6">
        <f t="shared" si="10"/>
        <v>781.85556173011014</v>
      </c>
    </row>
    <row r="91" spans="1:20" x14ac:dyDescent="0.4">
      <c r="A91">
        <v>90</v>
      </c>
      <c r="B91">
        <f>Лист2!A91</f>
        <v>46181</v>
      </c>
      <c r="D91">
        <f>Лист2!B91</f>
        <v>12</v>
      </c>
      <c r="E91" s="6">
        <f>'Итоги 60 39'!$B$6+'Итоги 60 39'!$B$5*A91</f>
        <v>15.97939242382143</v>
      </c>
      <c r="F91" s="7">
        <f t="shared" si="0"/>
        <v>16</v>
      </c>
      <c r="G91" s="6">
        <f t="shared" si="11"/>
        <v>0.15987774381772724</v>
      </c>
      <c r="H91" s="6">
        <f t="shared" si="1"/>
        <v>13.97939242382143</v>
      </c>
      <c r="I91" s="6">
        <f>SUM($E$62:E91)</f>
        <v>409.83495415393162</v>
      </c>
      <c r="J91" s="6">
        <f t="shared" si="2"/>
        <v>349.83495415393162</v>
      </c>
      <c r="K91" s="6">
        <f t="shared" si="12"/>
        <v>101.01063621136126</v>
      </c>
      <c r="L91" s="6">
        <f t="shared" si="3"/>
        <v>798.9696211910715</v>
      </c>
      <c r="M91" s="6">
        <f t="shared" si="4"/>
        <v>1.010636211361259</v>
      </c>
      <c r="N91" s="6">
        <f t="shared" si="5"/>
        <v>698.9696211910715</v>
      </c>
      <c r="O91" s="6">
        <f t="shared" si="6"/>
        <v>3.9793924238214302</v>
      </c>
      <c r="P91" s="6">
        <f t="shared" si="7"/>
        <v>33.161603531845252</v>
      </c>
      <c r="Q91" s="6">
        <f t="shared" si="8"/>
        <v>15.835564062767398</v>
      </c>
      <c r="R91" s="6">
        <f t="shared" si="9"/>
        <v>28.445166810937661</v>
      </c>
      <c r="S91" s="6">
        <f>$C$61+(A91-60)*'Итоги 60 39'!$B$22</f>
        <v>2.5084745762711864</v>
      </c>
      <c r="T91" s="6">
        <f t="shared" si="10"/>
        <v>797.83495415393168</v>
      </c>
    </row>
    <row r="92" spans="1:20" x14ac:dyDescent="0.4">
      <c r="A92">
        <v>91</v>
      </c>
      <c r="B92">
        <f>Лист2!A92</f>
        <v>46188</v>
      </c>
      <c r="D92">
        <f>Лист2!B92</f>
        <v>23</v>
      </c>
      <c r="E92" s="6">
        <f>'Итоги 60 39'!$B$6+'Итоги 60 39'!$B$5*A92</f>
        <v>16.139270167639157</v>
      </c>
      <c r="F92" s="7">
        <f t="shared" si="0"/>
        <v>16</v>
      </c>
      <c r="G92" s="6">
        <f t="shared" si="11"/>
        <v>0.15987774381772724</v>
      </c>
      <c r="H92" s="6">
        <f t="shared" si="1"/>
        <v>14.139270167639157</v>
      </c>
      <c r="I92" s="6">
        <f>SUM($E$62:E92)</f>
        <v>425.97422432157077</v>
      </c>
      <c r="J92" s="6">
        <f t="shared" si="2"/>
        <v>363.97422432157077</v>
      </c>
      <c r="K92" s="6">
        <f t="shared" si="12"/>
        <v>101.00052454797586</v>
      </c>
      <c r="L92" s="6">
        <f t="shared" si="3"/>
        <v>806.96350838195792</v>
      </c>
      <c r="M92" s="6">
        <f t="shared" si="4"/>
        <v>1.0005245479758571</v>
      </c>
      <c r="N92" s="6">
        <f t="shared" si="5"/>
        <v>706.96350838195792</v>
      </c>
      <c r="O92" s="6">
        <f t="shared" si="6"/>
        <v>6.8607298323608426</v>
      </c>
      <c r="P92" s="6">
        <f t="shared" si="7"/>
        <v>29.829260140699315</v>
      </c>
      <c r="Q92" s="6">
        <f t="shared" si="8"/>
        <v>47.069613832646034</v>
      </c>
      <c r="R92" s="6">
        <f t="shared" si="9"/>
        <v>35.058036611185365</v>
      </c>
      <c r="S92" s="6">
        <f>$C$61+(A92-60)*'Итоги 60 39'!$B$22</f>
        <v>2.5254237288135593</v>
      </c>
      <c r="T92" s="6">
        <f t="shared" si="10"/>
        <v>813.97422432157077</v>
      </c>
    </row>
    <row r="93" spans="1:20" x14ac:dyDescent="0.4">
      <c r="A93">
        <v>92</v>
      </c>
      <c r="B93">
        <f>Лист2!A93</f>
        <v>46195</v>
      </c>
      <c r="D93">
        <f>Лист2!B93</f>
        <v>18</v>
      </c>
      <c r="E93" s="6">
        <f>'Итоги 60 39'!$B$6+'Итоги 60 39'!$B$5*A93</f>
        <v>16.299147911456885</v>
      </c>
      <c r="F93" s="7">
        <f t="shared" si="0"/>
        <v>16</v>
      </c>
      <c r="G93" s="6">
        <f t="shared" si="11"/>
        <v>0.15987774381772724</v>
      </c>
      <c r="H93" s="6">
        <f t="shared" si="1"/>
        <v>14.299147911456885</v>
      </c>
      <c r="I93" s="6">
        <f>SUM($E$62:E93)</f>
        <v>442.27337223302766</v>
      </c>
      <c r="J93" s="6">
        <f t="shared" si="2"/>
        <v>378.27337223302766</v>
      </c>
      <c r="K93" s="6">
        <f t="shared" si="12"/>
        <v>100.99061321953889</v>
      </c>
      <c r="L93" s="6">
        <f t="shared" si="3"/>
        <v>814.95739557284423</v>
      </c>
      <c r="M93" s="6">
        <f t="shared" si="4"/>
        <v>0.99061321953888637</v>
      </c>
      <c r="N93" s="6">
        <f t="shared" si="5"/>
        <v>714.95739557284423</v>
      </c>
      <c r="O93" s="6">
        <f t="shared" si="6"/>
        <v>1.7008520885431153</v>
      </c>
      <c r="P93" s="6">
        <f t="shared" si="7"/>
        <v>9.4491782696839728</v>
      </c>
      <c r="Q93" s="6">
        <f t="shared" si="8"/>
        <v>2.8928978271014776</v>
      </c>
      <c r="R93" s="6">
        <f t="shared" si="9"/>
        <v>9.9177512685379732</v>
      </c>
      <c r="S93" s="6">
        <f>$C$61+(A93-60)*'Итоги 60 39'!$B$22</f>
        <v>2.5423728813559321</v>
      </c>
      <c r="T93" s="6">
        <f t="shared" si="10"/>
        <v>830.27337223302766</v>
      </c>
    </row>
    <row r="94" spans="1:20" x14ac:dyDescent="0.4">
      <c r="A94">
        <v>93</v>
      </c>
      <c r="B94">
        <f>Лист2!A94</f>
        <v>46202</v>
      </c>
      <c r="D94">
        <f>Лист2!B94</f>
        <v>17</v>
      </c>
      <c r="E94" s="6">
        <f>'Итоги 60 39'!$B$6+'Итоги 60 39'!$B$5*A94</f>
        <v>16.459025655274612</v>
      </c>
      <c r="F94" s="7">
        <f t="shared" si="0"/>
        <v>16</v>
      </c>
      <c r="G94" s="6">
        <f t="shared" si="11"/>
        <v>0.15987774381772724</v>
      </c>
      <c r="H94" s="6">
        <f t="shared" si="1"/>
        <v>14.459025655274612</v>
      </c>
      <c r="I94" s="6">
        <f>SUM($E$62:E94)</f>
        <v>458.73239788830227</v>
      </c>
      <c r="J94" s="6">
        <f t="shared" si="2"/>
        <v>392.73239788830227</v>
      </c>
      <c r="K94" s="6">
        <f t="shared" si="12"/>
        <v>100.98089633081584</v>
      </c>
      <c r="L94" s="6">
        <f t="shared" si="3"/>
        <v>822.95128276373055</v>
      </c>
      <c r="M94" s="6">
        <f t="shared" si="4"/>
        <v>0.98089633081583827</v>
      </c>
      <c r="N94" s="6">
        <f t="shared" si="5"/>
        <v>722.95128276373055</v>
      </c>
      <c r="O94" s="6">
        <f t="shared" si="6"/>
        <v>0.54097434472538808</v>
      </c>
      <c r="P94" s="6">
        <f t="shared" si="7"/>
        <v>3.1822020277964005</v>
      </c>
      <c r="Q94" s="6">
        <f t="shared" si="8"/>
        <v>0.29265324165106299</v>
      </c>
      <c r="R94" s="6">
        <f t="shared" si="9"/>
        <v>3.2336527088325822</v>
      </c>
      <c r="S94" s="6">
        <f>$C$61+(A94-60)*'Итоги 60 39'!$B$22</f>
        <v>2.5593220338983049</v>
      </c>
      <c r="T94" s="6">
        <f t="shared" si="10"/>
        <v>846.73239788830233</v>
      </c>
    </row>
    <row r="95" spans="1:20" x14ac:dyDescent="0.4">
      <c r="A95">
        <v>94</v>
      </c>
      <c r="B95">
        <f>Лист2!A95</f>
        <v>46209</v>
      </c>
      <c r="D95">
        <f>Лист2!B95</f>
        <v>16</v>
      </c>
      <c r="E95" s="6">
        <f>'Итоги 60 39'!$B$6+'Итоги 60 39'!$B$5*A95</f>
        <v>16.618903399092339</v>
      </c>
      <c r="F95" s="7">
        <f t="shared" si="0"/>
        <v>17</v>
      </c>
      <c r="G95" s="6">
        <f t="shared" si="11"/>
        <v>0.15987774381772724</v>
      </c>
      <c r="H95" s="6">
        <f t="shared" si="1"/>
        <v>14.618903399092339</v>
      </c>
      <c r="I95" s="6">
        <f>SUM($E$62:E95)</f>
        <v>475.35130128739462</v>
      </c>
      <c r="J95" s="6">
        <f t="shared" si="2"/>
        <v>407.35130128739462</v>
      </c>
      <c r="K95" s="6">
        <f t="shared" si="12"/>
        <v>100.97136821563002</v>
      </c>
      <c r="L95" s="6">
        <f t="shared" si="3"/>
        <v>830.94516995461697</v>
      </c>
      <c r="M95" s="6">
        <f t="shared" si="4"/>
        <v>0.97136821563002229</v>
      </c>
      <c r="N95" s="6">
        <f t="shared" si="5"/>
        <v>730.94516995461697</v>
      </c>
      <c r="O95" s="6">
        <f t="shared" si="6"/>
        <v>0.61890339909233916</v>
      </c>
      <c r="P95" s="6">
        <f t="shared" si="7"/>
        <v>3.8681462443271197</v>
      </c>
      <c r="Q95" s="6">
        <f t="shared" si="8"/>
        <v>0.38304141740805125</v>
      </c>
      <c r="R95" s="6">
        <f t="shared" si="9"/>
        <v>3.7947529475166899</v>
      </c>
      <c r="S95" s="6">
        <f>$C$61+(A95-60)*'Итоги 60 39'!$B$22</f>
        <v>2.5762711864406782</v>
      </c>
      <c r="T95" s="6">
        <f t="shared" si="10"/>
        <v>863.35130128739456</v>
      </c>
    </row>
    <row r="96" spans="1:20" x14ac:dyDescent="0.4">
      <c r="A96">
        <v>95</v>
      </c>
      <c r="B96">
        <f>Лист2!A96</f>
        <v>46216</v>
      </c>
      <c r="D96">
        <f>Лист2!B96</f>
        <v>26</v>
      </c>
      <c r="E96" s="6">
        <f>'Итоги 60 39'!$B$6+'Итоги 60 39'!$B$5*A96</f>
        <v>16.778781142910066</v>
      </c>
      <c r="F96" s="7">
        <f t="shared" si="0"/>
        <v>17</v>
      </c>
      <c r="G96" s="6">
        <f t="shared" si="11"/>
        <v>0.15987774381772724</v>
      </c>
      <c r="H96" s="6">
        <f t="shared" si="1"/>
        <v>14.778781142910066</v>
      </c>
      <c r="I96" s="6">
        <f>SUM($E$62:E96)</f>
        <v>492.1300824303047</v>
      </c>
      <c r="J96" s="6">
        <f t="shared" si="2"/>
        <v>422.1300824303047</v>
      </c>
      <c r="K96" s="6">
        <f t="shared" si="12"/>
        <v>100.96202342584444</v>
      </c>
      <c r="L96" s="6">
        <f t="shared" si="3"/>
        <v>838.93905714550328</v>
      </c>
      <c r="M96" s="6">
        <f t="shared" si="4"/>
        <v>0.96202342584443556</v>
      </c>
      <c r="N96" s="6">
        <f t="shared" si="5"/>
        <v>738.93905714550328</v>
      </c>
      <c r="O96" s="6">
        <f t="shared" si="6"/>
        <v>9.2212188570899336</v>
      </c>
      <c r="P96" s="6">
        <f t="shared" si="7"/>
        <v>35.46622637342282</v>
      </c>
      <c r="Q96" s="6">
        <f t="shared" si="8"/>
        <v>85.03087721035098</v>
      </c>
      <c r="R96" s="6">
        <f t="shared" si="9"/>
        <v>43.111180873923573</v>
      </c>
      <c r="S96" s="6">
        <f>$C$61+(A96-60)*'Итоги 60 39'!$B$22</f>
        <v>2.593220338983051</v>
      </c>
      <c r="T96" s="6">
        <f t="shared" si="10"/>
        <v>880.1300824303047</v>
      </c>
    </row>
    <row r="97" spans="1:20" x14ac:dyDescent="0.4">
      <c r="A97">
        <v>96</v>
      </c>
      <c r="B97">
        <f>Лист2!A97</f>
        <v>46223</v>
      </c>
      <c r="D97">
        <f>Лист2!B97</f>
        <v>12</v>
      </c>
      <c r="E97" s="6">
        <f>'Итоги 60 39'!$B$6+'Итоги 60 39'!$B$5*A97</f>
        <v>16.93865888672779</v>
      </c>
      <c r="F97" s="7">
        <f t="shared" si="0"/>
        <v>17</v>
      </c>
      <c r="G97" s="6">
        <f t="shared" si="11"/>
        <v>0.15987774381772368</v>
      </c>
      <c r="H97" s="6">
        <f t="shared" si="1"/>
        <v>14.93865888672779</v>
      </c>
      <c r="I97" s="6">
        <f>SUM($E$62:E97)</f>
        <v>509.0687413170325</v>
      </c>
      <c r="J97" s="6">
        <f t="shared" si="2"/>
        <v>437.0687413170325</v>
      </c>
      <c r="K97" s="6">
        <f t="shared" si="12"/>
        <v>100.95285672097391</v>
      </c>
      <c r="L97" s="6">
        <f t="shared" si="3"/>
        <v>846.93294433638948</v>
      </c>
      <c r="M97" s="6">
        <f t="shared" si="4"/>
        <v>0.95285672097391227</v>
      </c>
      <c r="N97" s="6">
        <f t="shared" si="5"/>
        <v>746.93294433638948</v>
      </c>
      <c r="O97" s="6">
        <f t="shared" si="6"/>
        <v>4.9386588867277901</v>
      </c>
      <c r="P97" s="6">
        <f t="shared" si="7"/>
        <v>41.155490722731585</v>
      </c>
      <c r="Q97" s="6">
        <f t="shared" si="8"/>
        <v>24.390351599455375</v>
      </c>
      <c r="R97" s="6">
        <f t="shared" si="9"/>
        <v>34.131912650539725</v>
      </c>
      <c r="S97" s="6">
        <f>$C$61+(A97-60)*'Итоги 60 39'!$B$22</f>
        <v>2.6101694915254239</v>
      </c>
      <c r="T97" s="6">
        <f t="shared" si="10"/>
        <v>897.0687413170325</v>
      </c>
    </row>
    <row r="98" spans="1:20" x14ac:dyDescent="0.4">
      <c r="A98">
        <v>97</v>
      </c>
      <c r="B98">
        <f>Лист2!A98</f>
        <v>46230</v>
      </c>
      <c r="D98">
        <f>Лист2!B98</f>
        <v>29</v>
      </c>
      <c r="E98" s="6">
        <f>'Итоги 60 39'!$B$6+'Итоги 60 39'!$B$5*A98</f>
        <v>17.098536630545517</v>
      </c>
      <c r="F98" s="7">
        <f t="shared" si="0"/>
        <v>17</v>
      </c>
      <c r="G98" s="6">
        <f t="shared" si="11"/>
        <v>0.15987774381772724</v>
      </c>
      <c r="H98" s="6">
        <f t="shared" si="1"/>
        <v>15.098536630545517</v>
      </c>
      <c r="I98" s="6">
        <f>SUM($E$62:E98)</f>
        <v>526.16727794757799</v>
      </c>
      <c r="J98" s="6">
        <f t="shared" si="2"/>
        <v>452.16727794757799</v>
      </c>
      <c r="K98" s="6">
        <f t="shared" si="12"/>
        <v>100.94386305838532</v>
      </c>
      <c r="L98" s="6">
        <f t="shared" si="3"/>
        <v>854.92683152727591</v>
      </c>
      <c r="M98" s="6">
        <f t="shared" si="4"/>
        <v>0.94386305838531825</v>
      </c>
      <c r="N98" s="6">
        <f t="shared" si="5"/>
        <v>754.92683152727591</v>
      </c>
      <c r="O98" s="6">
        <f t="shared" si="6"/>
        <v>11.901463369454483</v>
      </c>
      <c r="P98" s="6">
        <f t="shared" si="7"/>
        <v>41.039528860187872</v>
      </c>
      <c r="Q98" s="6">
        <f t="shared" si="8"/>
        <v>141.64483033446686</v>
      </c>
      <c r="R98" s="6">
        <f t="shared" si="9"/>
        <v>51.634885787538906</v>
      </c>
      <c r="S98" s="6">
        <f>$C$61+(A98-60)*'Итоги 60 39'!$B$22</f>
        <v>2.6271186440677967</v>
      </c>
      <c r="T98" s="6">
        <f t="shared" si="10"/>
        <v>914.16727794757799</v>
      </c>
    </row>
    <row r="99" spans="1:20" x14ac:dyDescent="0.4">
      <c r="A99">
        <v>98</v>
      </c>
      <c r="B99">
        <f>Лист2!A99</f>
        <v>46237</v>
      </c>
      <c r="D99">
        <f>Лист2!B99</f>
        <v>8</v>
      </c>
      <c r="E99" s="6">
        <f>'Итоги 60 39'!$B$6+'Итоги 60 39'!$B$5*A99</f>
        <v>17.258414374363245</v>
      </c>
      <c r="F99" s="7">
        <f t="shared" si="0"/>
        <v>17</v>
      </c>
      <c r="G99" s="6">
        <f t="shared" si="11"/>
        <v>0.15987774381772724</v>
      </c>
      <c r="H99" s="6">
        <f t="shared" si="1"/>
        <v>15.258414374363245</v>
      </c>
      <c r="I99" s="6">
        <f>SUM($E$62:E99)</f>
        <v>543.42569232194126</v>
      </c>
      <c r="J99" s="6">
        <f t="shared" si="2"/>
        <v>467.42569232194126</v>
      </c>
      <c r="K99" s="6">
        <f t="shared" si="12"/>
        <v>100.93503758404749</v>
      </c>
      <c r="L99" s="6">
        <f t="shared" si="3"/>
        <v>862.92071871816222</v>
      </c>
      <c r="M99" s="6">
        <f t="shared" si="4"/>
        <v>0.93503758404749249</v>
      </c>
      <c r="N99" s="6">
        <f t="shared" si="5"/>
        <v>762.92071871816222</v>
      </c>
      <c r="O99" s="6">
        <f t="shared" si="6"/>
        <v>9.2584143743632445</v>
      </c>
      <c r="P99" s="6">
        <f t="shared" si="7"/>
        <v>115.73017967954056</v>
      </c>
      <c r="Q99" s="6">
        <f t="shared" si="8"/>
        <v>85.718236727415956</v>
      </c>
      <c r="R99" s="6">
        <f t="shared" si="9"/>
        <v>73.30954538270889</v>
      </c>
      <c r="S99" s="6">
        <f>$C$61+(A99-60)*'Итоги 60 39'!$B$22</f>
        <v>2.6440677966101696</v>
      </c>
      <c r="T99" s="6">
        <f t="shared" si="10"/>
        <v>931.42569232194126</v>
      </c>
    </row>
    <row r="100" spans="1:20" x14ac:dyDescent="0.4">
      <c r="A100">
        <v>99</v>
      </c>
      <c r="B100">
        <f>Лист2!A100</f>
        <v>46244</v>
      </c>
      <c r="D100">
        <f>Лист2!B100</f>
        <v>5</v>
      </c>
      <c r="E100" s="6">
        <f>'Итоги 60 39'!$B$6+'Итоги 60 39'!$B$5*A100</f>
        <v>17.418292118180972</v>
      </c>
      <c r="F100" s="7">
        <f t="shared" si="0"/>
        <v>17</v>
      </c>
      <c r="G100" s="6">
        <f t="shared" si="11"/>
        <v>0.15987774381772724</v>
      </c>
      <c r="H100" s="6">
        <f t="shared" si="1"/>
        <v>15.418292118180972</v>
      </c>
      <c r="I100" s="6">
        <f>SUM($E$62:E100)</f>
        <v>560.8439844401222</v>
      </c>
      <c r="J100" s="6">
        <f t="shared" si="2"/>
        <v>482.8439844401222</v>
      </c>
      <c r="K100" s="6">
        <f t="shared" si="12"/>
        <v>100.92637562379554</v>
      </c>
      <c r="L100" s="6">
        <f t="shared" si="3"/>
        <v>870.91460590904853</v>
      </c>
      <c r="M100" s="6">
        <f t="shared" si="4"/>
        <v>0.92637562379553628</v>
      </c>
      <c r="N100" s="6">
        <f t="shared" si="5"/>
        <v>770.91460590904853</v>
      </c>
      <c r="O100" s="6">
        <f t="shared" si="6"/>
        <v>12.418292118180972</v>
      </c>
      <c r="P100" s="6">
        <f t="shared" si="7"/>
        <v>248.36584236361944</v>
      </c>
      <c r="Q100" s="6">
        <f t="shared" si="8"/>
        <v>154.21397913247566</v>
      </c>
      <c r="R100" s="6">
        <f t="shared" si="9"/>
        <v>110.78713804527403</v>
      </c>
      <c r="S100" s="6">
        <f>$C$61+(A100-60)*'Итоги 60 39'!$B$22</f>
        <v>2.6610169491525424</v>
      </c>
      <c r="T100" s="6">
        <f t="shared" si="10"/>
        <v>948.8439844401222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showGridLines="0" workbookViewId="0">
      <pane ySplit="2" topLeftCell="A3" activePane="bottomLeft" state="frozen"/>
      <selection pane="bottomLeft"/>
    </sheetView>
  </sheetViews>
  <sheetFormatPr defaultRowHeight="14.6" x14ac:dyDescent="0.4"/>
  <cols>
    <col min="1" max="1" width="43" customWidth="1"/>
    <col min="2" max="2" width="28" customWidth="1"/>
  </cols>
  <sheetData>
    <row r="1" spans="1:2" ht="30" customHeight="1" x14ac:dyDescent="0.4">
      <c r="A1" s="4" t="s">
        <v>1204</v>
      </c>
      <c r="B1" s="4" t="s">
        <v>1205</v>
      </c>
    </row>
    <row r="2" spans="1:2" x14ac:dyDescent="0.4">
      <c r="A2" t="s">
        <v>1206</v>
      </c>
      <c r="B2">
        <v>60</v>
      </c>
    </row>
    <row r="3" spans="1:2" x14ac:dyDescent="0.4">
      <c r="A3" t="s">
        <v>1207</v>
      </c>
      <c r="B3" s="8">
        <v>39</v>
      </c>
    </row>
    <row r="4" spans="1:2" x14ac:dyDescent="0.4">
      <c r="A4" t="s">
        <v>1208</v>
      </c>
      <c r="B4" s="9">
        <v>0.96</v>
      </c>
    </row>
    <row r="5" spans="1:2" x14ac:dyDescent="0.4">
      <c r="A5" t="s">
        <v>1209</v>
      </c>
      <c r="B5" s="8">
        <f>SLOPE('Прогноз 60 39'!C2:C61,'Прогноз 60 39'!A2:A61)</f>
        <v>0.1598777438177271</v>
      </c>
    </row>
    <row r="6" spans="1:2" x14ac:dyDescent="0.4">
      <c r="A6" t="s">
        <v>1210</v>
      </c>
      <c r="B6" s="8">
        <f>INTERCEPT('Прогноз 60 39'!C2:C61,'Прогноз 60 39'!A2:A61)</f>
        <v>1.5903954802259905</v>
      </c>
    </row>
    <row r="7" spans="1:2" x14ac:dyDescent="0.4">
      <c r="A7" t="s">
        <v>1211</v>
      </c>
      <c r="B7" s="8">
        <f>SUM('Фостер Стюарт'!E2:E60)</f>
        <v>9</v>
      </c>
    </row>
    <row r="8" spans="1:2" x14ac:dyDescent="0.4">
      <c r="A8" t="s">
        <v>1212</v>
      </c>
      <c r="B8" s="8">
        <f>SUM('Фостер Стюарт'!F2:F60)</f>
        <v>0</v>
      </c>
    </row>
    <row r="9" spans="1:2" x14ac:dyDescent="0.4">
      <c r="A9" t="s">
        <v>1213</v>
      </c>
      <c r="B9" s="8">
        <f>B7-B8</f>
        <v>9</v>
      </c>
    </row>
    <row r="10" spans="1:2" x14ac:dyDescent="0.4">
      <c r="A10" t="s">
        <v>1214</v>
      </c>
      <c r="B10" s="8">
        <f>SQRT(2*SUM('Фостер Стюарт'!H2:H60))</f>
        <v>2.7128842264098694</v>
      </c>
    </row>
    <row r="11" spans="1:2" x14ac:dyDescent="0.4">
      <c r="A11" t="s">
        <v>1215</v>
      </c>
      <c r="B11" s="8">
        <f>B9/B10</f>
        <v>3.3175024250519778</v>
      </c>
    </row>
    <row r="12" spans="1:2" x14ac:dyDescent="0.4">
      <c r="A12" t="s">
        <v>1216</v>
      </c>
      <c r="B12" s="8">
        <f>_xlfn.NORM.S.INV((1+B4)/2)</f>
        <v>2.0537489106318221</v>
      </c>
    </row>
    <row r="13" spans="1:2" x14ac:dyDescent="0.4">
      <c r="A13" t="s">
        <v>1217</v>
      </c>
      <c r="B13" s="8">
        <f>2*(1-_xlfn.NORM.S.DIST(ABS(B11),TRUE))</f>
        <v>9.0826127197618511E-4</v>
      </c>
    </row>
    <row r="14" spans="1:2" x14ac:dyDescent="0.4">
      <c r="A14" t="s">
        <v>1218</v>
      </c>
      <c r="B14" s="8" t="str">
        <f>IF(ABS(B11)&gt;B12,"Нулевая гипотеза отклонена: тренд есть","Нет оснований отвергнуть отсутствие тренда")</f>
        <v>Нулевая гипотеза отклонена: тренд есть</v>
      </c>
    </row>
    <row r="15" spans="1:2" x14ac:dyDescent="0.4">
      <c r="A15" t="s">
        <v>1219</v>
      </c>
      <c r="B15" s="8">
        <f>SUM('Прогноз 60 39'!E62:E100)</f>
        <v>560.8439844401222</v>
      </c>
    </row>
    <row r="16" spans="1:2" x14ac:dyDescent="0.4">
      <c r="A16" t="s">
        <v>1220</v>
      </c>
      <c r="B16" s="8">
        <f>SUM('Прогноз 60 39'!D62:D100)</f>
        <v>654</v>
      </c>
    </row>
    <row r="17" spans="1:2" x14ac:dyDescent="0.4">
      <c r="A17" t="s">
        <v>1221</v>
      </c>
      <c r="B17" s="8">
        <f>AVERAGE('Прогноз 60 39'!O62:O100)</f>
        <v>5.3939786217919039</v>
      </c>
    </row>
    <row r="18" spans="1:2" x14ac:dyDescent="0.4">
      <c r="A18" t="s">
        <v>1222</v>
      </c>
      <c r="B18" s="8">
        <f>SQRT(AVERAGE('Прогноз 60 39'!Q62:Q100))</f>
        <v>6.9602564239692075</v>
      </c>
    </row>
    <row r="19" spans="1:2" x14ac:dyDescent="0.4">
      <c r="A19" t="s">
        <v>1223</v>
      </c>
      <c r="B19" s="8">
        <f>SUM('Прогноз 60 39'!O62:O100)/B16*100</f>
        <v>32.165927561144379</v>
      </c>
    </row>
    <row r="20" spans="1:2" x14ac:dyDescent="0.4">
      <c r="A20" t="s">
        <v>1201</v>
      </c>
      <c r="B20" s="8">
        <f>AVERAGE('Прогноз 60 39'!R62:R100)</f>
        <v>33.481783508498651</v>
      </c>
    </row>
    <row r="21" spans="1:2" x14ac:dyDescent="0.4">
      <c r="A21" t="s">
        <v>1224</v>
      </c>
      <c r="B21" s="8">
        <f>AVERAGE('Прогноз 60 39'!E62:E100)-AVERAGE('Прогноз 60 39'!D62:D100)</f>
        <v>-2.3886157835866104</v>
      </c>
    </row>
    <row r="22" spans="1:2" x14ac:dyDescent="0.4">
      <c r="A22" t="s">
        <v>1225</v>
      </c>
      <c r="B22" s="8">
        <f>('Прогноз 60 39'!C61-'Прогноз 60 39'!C2)/(B2-1)</f>
        <v>1.6949152542372881E-2</v>
      </c>
    </row>
    <row r="23" spans="1:2" x14ac:dyDescent="0.4">
      <c r="A23" t="s">
        <v>1226</v>
      </c>
      <c r="B23" s="8">
        <f>'Прогноз 60 39'!E62</f>
        <v>11.342937853107344</v>
      </c>
    </row>
    <row r="24" spans="1:2" x14ac:dyDescent="0.4">
      <c r="A24" t="s">
        <v>1227</v>
      </c>
      <c r="B24" s="8">
        <f>'Прогноз 60 39'!E100</f>
        <v>17.418292118180972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showGridLines="0" zoomScale="82" workbookViewId="0">
      <pane ySplit="1" topLeftCell="A2" activePane="bottomLeft" state="frozen"/>
      <selection pane="bottomLeft"/>
    </sheetView>
  </sheetViews>
  <sheetFormatPr defaultRowHeight="14.6" x14ac:dyDescent="0.4"/>
  <cols>
    <col min="1" max="1" width="12" customWidth="1"/>
    <col min="2" max="2" width="16" customWidth="1"/>
    <col min="3" max="3" width="15" customWidth="1"/>
    <col min="4" max="6" width="21" customWidth="1"/>
    <col min="7" max="7" width="17" customWidth="1"/>
    <col min="8" max="8" width="19" customWidth="1"/>
    <col min="9" max="9" width="18" customWidth="1"/>
    <col min="10" max="10" width="22" customWidth="1"/>
    <col min="11" max="11" width="3" customWidth="1"/>
    <col min="12" max="12" width="34" customWidth="1"/>
    <col min="13" max="13" width="18" customWidth="1"/>
    <col min="14" max="26" width="12" customWidth="1"/>
  </cols>
  <sheetData>
    <row r="1" spans="1:13" ht="46" customHeight="1" x14ac:dyDescent="0.4">
      <c r="A1" s="26" t="s">
        <v>1228</v>
      </c>
      <c r="B1" s="26" t="s">
        <v>1180</v>
      </c>
      <c r="C1" s="26" t="s">
        <v>1229</v>
      </c>
      <c r="D1" s="26" t="s">
        <v>1230</v>
      </c>
      <c r="E1" s="26" t="s">
        <v>1231</v>
      </c>
      <c r="F1" s="26" t="s">
        <v>1232</v>
      </c>
      <c r="G1" s="26" t="s">
        <v>1233</v>
      </c>
      <c r="H1" s="26" t="s">
        <v>1234</v>
      </c>
      <c r="I1" s="26" t="s">
        <v>1168</v>
      </c>
      <c r="J1" s="26" t="s">
        <v>1199</v>
      </c>
    </row>
    <row r="2" spans="1:13" ht="26.05" customHeight="1" x14ac:dyDescent="0.4">
      <c r="A2" s="27">
        <v>1</v>
      </c>
      <c r="B2" s="28">
        <f>Лист2!A2</f>
        <v>45537</v>
      </c>
      <c r="C2" s="29">
        <f>Лист2!B2</f>
        <v>1</v>
      </c>
      <c r="D2" s="27"/>
      <c r="E2" s="27"/>
      <c r="F2" s="27"/>
      <c r="G2" s="27"/>
      <c r="H2" s="27"/>
      <c r="I2" s="27"/>
      <c r="J2" s="27"/>
      <c r="L2" s="25" t="s">
        <v>1204</v>
      </c>
      <c r="M2" s="25" t="s">
        <v>1205</v>
      </c>
    </row>
    <row r="3" spans="1:13" x14ac:dyDescent="0.4">
      <c r="A3" s="27">
        <v>2</v>
      </c>
      <c r="B3" s="28">
        <f>Лист2!A3</f>
        <v>45544</v>
      </c>
      <c r="C3" s="29">
        <f>Лист2!B3</f>
        <v>2</v>
      </c>
      <c r="D3" s="29">
        <f t="shared" ref="D3:D34" si="0">C3-C2</f>
        <v>1</v>
      </c>
      <c r="E3" s="30">
        <f t="shared" ref="E3:E34" si="1">$M$6</f>
        <v>1.6949152542372881E-2</v>
      </c>
      <c r="F3" s="30"/>
      <c r="G3" s="27"/>
      <c r="H3" s="27"/>
      <c r="I3" s="27"/>
      <c r="J3" s="27"/>
      <c r="L3" s="27" t="s">
        <v>1235</v>
      </c>
      <c r="M3" s="27">
        <f>COUNT(C2:C61)</f>
        <v>60</v>
      </c>
    </row>
    <row r="4" spans="1:13" x14ac:dyDescent="0.4">
      <c r="A4" s="27">
        <v>3</v>
      </c>
      <c r="B4" s="28">
        <f>Лист2!A4</f>
        <v>45551</v>
      </c>
      <c r="C4" s="29">
        <f>Лист2!B4</f>
        <v>3</v>
      </c>
      <c r="D4" s="29">
        <f t="shared" si="0"/>
        <v>1</v>
      </c>
      <c r="E4" s="30">
        <f t="shared" si="1"/>
        <v>1.6949152542372881E-2</v>
      </c>
      <c r="F4" s="30"/>
      <c r="G4" s="27"/>
      <c r="H4" s="27"/>
      <c r="I4" s="27"/>
      <c r="J4" s="27"/>
      <c r="L4" s="27" t="s">
        <v>1236</v>
      </c>
      <c r="M4" s="27">
        <f>C2</f>
        <v>1</v>
      </c>
    </row>
    <row r="5" spans="1:13" x14ac:dyDescent="0.4">
      <c r="A5" s="27">
        <v>4</v>
      </c>
      <c r="B5" s="28">
        <f>Лист2!A5</f>
        <v>45565</v>
      </c>
      <c r="C5" s="29">
        <f>Лист2!B5</f>
        <v>1</v>
      </c>
      <c r="D5" s="29">
        <f t="shared" si="0"/>
        <v>-2</v>
      </c>
      <c r="E5" s="30">
        <f t="shared" si="1"/>
        <v>1.6949152542372881E-2</v>
      </c>
      <c r="F5" s="30"/>
      <c r="G5" s="27"/>
      <c r="H5" s="27"/>
      <c r="I5" s="27"/>
      <c r="J5" s="27"/>
      <c r="L5" s="27" t="s">
        <v>1237</v>
      </c>
      <c r="M5" s="27">
        <f>C61</f>
        <v>2</v>
      </c>
    </row>
    <row r="6" spans="1:13" x14ac:dyDescent="0.4">
      <c r="A6" s="27">
        <v>5</v>
      </c>
      <c r="B6" s="28">
        <f>Лист2!A6</f>
        <v>45572</v>
      </c>
      <c r="C6" s="29">
        <f>Лист2!B6</f>
        <v>5</v>
      </c>
      <c r="D6" s="29">
        <f t="shared" si="0"/>
        <v>4</v>
      </c>
      <c r="E6" s="30">
        <f t="shared" si="1"/>
        <v>1.6949152542372881E-2</v>
      </c>
      <c r="F6" s="30"/>
      <c r="G6" s="27"/>
      <c r="H6" s="27"/>
      <c r="I6" s="27"/>
      <c r="J6" s="27"/>
      <c r="L6" s="27" t="s">
        <v>1238</v>
      </c>
      <c r="M6" s="30">
        <f>(M5-M4)/(M3-1)</f>
        <v>1.6949152542372881E-2</v>
      </c>
    </row>
    <row r="7" spans="1:13" x14ac:dyDescent="0.4">
      <c r="A7" s="27">
        <v>6</v>
      </c>
      <c r="B7" s="28">
        <f>Лист2!A7</f>
        <v>45579</v>
      </c>
      <c r="C7" s="29">
        <f>Лист2!B7</f>
        <v>5</v>
      </c>
      <c r="D7" s="29">
        <f t="shared" si="0"/>
        <v>0</v>
      </c>
      <c r="E7" s="30">
        <f t="shared" si="1"/>
        <v>1.6949152542372881E-2</v>
      </c>
      <c r="F7" s="30"/>
      <c r="G7" s="27"/>
      <c r="H7" s="27"/>
      <c r="I7" s="27"/>
      <c r="J7" s="27"/>
      <c r="L7" s="27" t="s">
        <v>1239</v>
      </c>
      <c r="M7" s="30">
        <f>STDEV(D3:D61)</f>
        <v>3.2456417750350575</v>
      </c>
    </row>
    <row r="8" spans="1:13" x14ac:dyDescent="0.4">
      <c r="A8" s="27">
        <v>7</v>
      </c>
      <c r="B8" s="28">
        <f>Лист2!A8</f>
        <v>45586</v>
      </c>
      <c r="C8" s="29">
        <f>Лист2!B8</f>
        <v>2</v>
      </c>
      <c r="D8" s="29">
        <f t="shared" si="0"/>
        <v>-3</v>
      </c>
      <c r="E8" s="30">
        <f t="shared" si="1"/>
        <v>1.6949152542372881E-2</v>
      </c>
      <c r="F8" s="30"/>
      <c r="G8" s="27"/>
      <c r="H8" s="27"/>
      <c r="I8" s="27"/>
      <c r="J8" s="27"/>
      <c r="L8" s="27" t="s">
        <v>1240</v>
      </c>
      <c r="M8" s="27">
        <f>MIN(D3:D61)</f>
        <v>-7</v>
      </c>
    </row>
    <row r="9" spans="1:13" x14ac:dyDescent="0.4">
      <c r="A9" s="27">
        <v>8</v>
      </c>
      <c r="B9" s="28">
        <f>Лист2!A9</f>
        <v>45593</v>
      </c>
      <c r="C9" s="29">
        <f>Лист2!B9</f>
        <v>2</v>
      </c>
      <c r="D9" s="29">
        <f t="shared" si="0"/>
        <v>0</v>
      </c>
      <c r="E9" s="30">
        <f t="shared" si="1"/>
        <v>1.6949152542372881E-2</v>
      </c>
      <c r="F9" s="30"/>
      <c r="G9" s="27"/>
      <c r="H9" s="27"/>
      <c r="I9" s="27"/>
      <c r="J9" s="27"/>
      <c r="L9" s="27" t="s">
        <v>1241</v>
      </c>
      <c r="M9" s="27">
        <f>MAX(D3:D61)</f>
        <v>6</v>
      </c>
    </row>
    <row r="10" spans="1:13" x14ac:dyDescent="0.4">
      <c r="A10" s="27">
        <v>9</v>
      </c>
      <c r="B10" s="28">
        <f>Лист2!A10</f>
        <v>45600</v>
      </c>
      <c r="C10" s="29">
        <f>Лист2!B10</f>
        <v>3</v>
      </c>
      <c r="D10" s="29">
        <f t="shared" si="0"/>
        <v>1</v>
      </c>
      <c r="E10" s="30">
        <f t="shared" si="1"/>
        <v>1.6949152542372881E-2</v>
      </c>
      <c r="F10" s="30"/>
      <c r="G10" s="27"/>
      <c r="H10" s="27"/>
      <c r="I10" s="27"/>
      <c r="J10" s="27"/>
      <c r="L10" s="27" t="s">
        <v>1242</v>
      </c>
      <c r="M10" s="31">
        <f>F62</f>
        <v>2.0169491525423728</v>
      </c>
    </row>
    <row r="11" spans="1:13" x14ac:dyDescent="0.4">
      <c r="A11" s="27">
        <v>10</v>
      </c>
      <c r="B11" s="28">
        <f>Лист2!A11</f>
        <v>45607</v>
      </c>
      <c r="C11" s="29">
        <f>Лист2!B11</f>
        <v>5</v>
      </c>
      <c r="D11" s="29">
        <f t="shared" si="0"/>
        <v>2</v>
      </c>
      <c r="E11" s="30">
        <f t="shared" si="1"/>
        <v>1.6949152542372881E-2</v>
      </c>
      <c r="F11" s="30"/>
      <c r="G11" s="27"/>
      <c r="H11" s="27"/>
      <c r="I11" s="27"/>
      <c r="J11" s="27"/>
      <c r="L11" s="27" t="s">
        <v>1243</v>
      </c>
      <c r="M11" s="31">
        <f>F100</f>
        <v>2.6610169491525424</v>
      </c>
    </row>
    <row r="12" spans="1:13" x14ac:dyDescent="0.4">
      <c r="A12" s="27">
        <v>11</v>
      </c>
      <c r="B12" s="28">
        <f>Лист2!A12</f>
        <v>45614</v>
      </c>
      <c r="C12" s="29">
        <f>Лист2!B12</f>
        <v>4</v>
      </c>
      <c r="D12" s="29">
        <f t="shared" si="0"/>
        <v>-1</v>
      </c>
      <c r="E12" s="30">
        <f t="shared" si="1"/>
        <v>1.6949152542372881E-2</v>
      </c>
      <c r="F12" s="30"/>
      <c r="G12" s="27"/>
      <c r="H12" s="27"/>
      <c r="I12" s="27"/>
      <c r="J12" s="27"/>
      <c r="L12" s="27" t="s">
        <v>1244</v>
      </c>
      <c r="M12" s="31">
        <f>AVERAGE(I62:I100)</f>
        <v>14.512820512820513</v>
      </c>
    </row>
    <row r="13" spans="1:13" x14ac:dyDescent="0.4">
      <c r="A13" s="27">
        <v>12</v>
      </c>
      <c r="B13" s="28">
        <f>Лист2!A13</f>
        <v>45621</v>
      </c>
      <c r="C13" s="29">
        <f>Лист2!B13</f>
        <v>4</v>
      </c>
      <c r="D13" s="29">
        <f t="shared" si="0"/>
        <v>0</v>
      </c>
      <c r="E13" s="30">
        <f t="shared" si="1"/>
        <v>1.6949152542372881E-2</v>
      </c>
      <c r="F13" s="30"/>
      <c r="G13" s="27"/>
      <c r="H13" s="27"/>
      <c r="I13" s="27"/>
      <c r="J13" s="27"/>
      <c r="L13" s="27" t="s">
        <v>1245</v>
      </c>
      <c r="M13" s="31">
        <f>SUM(I62:I100)/SUM(H62:H100)*100</f>
        <v>86.544342507645254</v>
      </c>
    </row>
    <row r="14" spans="1:13" x14ac:dyDescent="0.4">
      <c r="A14" s="27">
        <v>13</v>
      </c>
      <c r="B14" s="28">
        <f>Лист2!A14</f>
        <v>45635</v>
      </c>
      <c r="C14" s="29">
        <f>Лист2!B14</f>
        <v>2</v>
      </c>
      <c r="D14" s="29">
        <f t="shared" si="0"/>
        <v>-2</v>
      </c>
      <c r="E14" s="30">
        <f t="shared" si="1"/>
        <v>1.6949152542372881E-2</v>
      </c>
      <c r="F14" s="30"/>
      <c r="G14" s="27"/>
      <c r="H14" s="27"/>
      <c r="I14" s="27"/>
      <c r="J14" s="27"/>
      <c r="L14" s="27" t="s">
        <v>1246</v>
      </c>
      <c r="M14" s="31">
        <f>AVERAGE(C2:C21)</f>
        <v>3.15</v>
      </c>
    </row>
    <row r="15" spans="1:13" x14ac:dyDescent="0.4">
      <c r="A15" s="27">
        <v>14</v>
      </c>
      <c r="B15" s="28">
        <f>Лист2!A15</f>
        <v>45642</v>
      </c>
      <c r="C15" s="29">
        <f>Лист2!B15</f>
        <v>4</v>
      </c>
      <c r="D15" s="29">
        <f t="shared" si="0"/>
        <v>2</v>
      </c>
      <c r="E15" s="30">
        <f t="shared" si="1"/>
        <v>1.6949152542372881E-2</v>
      </c>
      <c r="F15" s="30"/>
      <c r="G15" s="27"/>
      <c r="H15" s="27"/>
      <c r="I15" s="27"/>
      <c r="J15" s="27"/>
      <c r="L15" s="27" t="s">
        <v>1247</v>
      </c>
      <c r="M15" s="31">
        <f>AVERAGE(C22:C41)</f>
        <v>6.55</v>
      </c>
    </row>
    <row r="16" spans="1:13" x14ac:dyDescent="0.4">
      <c r="A16" s="27">
        <v>15</v>
      </c>
      <c r="B16" s="28">
        <f>Лист2!A16</f>
        <v>45649</v>
      </c>
      <c r="C16" s="29">
        <f>Лист2!B16</f>
        <v>2</v>
      </c>
      <c r="D16" s="29">
        <f t="shared" si="0"/>
        <v>-2</v>
      </c>
      <c r="E16" s="30">
        <f t="shared" si="1"/>
        <v>1.6949152542372881E-2</v>
      </c>
      <c r="F16" s="30"/>
      <c r="G16" s="27"/>
      <c r="H16" s="27"/>
      <c r="I16" s="27"/>
      <c r="J16" s="27"/>
      <c r="L16" s="27" t="s">
        <v>1248</v>
      </c>
      <c r="M16" s="31">
        <f>AVERAGE(C42:C61)</f>
        <v>9.6999999999999993</v>
      </c>
    </row>
    <row r="17" spans="1:12" x14ac:dyDescent="0.4">
      <c r="A17" s="27">
        <v>16</v>
      </c>
      <c r="B17" s="28">
        <f>Лист2!A17</f>
        <v>45656</v>
      </c>
      <c r="C17" s="29">
        <f>Лист2!B17</f>
        <v>5</v>
      </c>
      <c r="D17" s="29">
        <f t="shared" si="0"/>
        <v>3</v>
      </c>
      <c r="E17" s="30">
        <f t="shared" si="1"/>
        <v>1.6949152542372881E-2</v>
      </c>
      <c r="F17" s="30"/>
      <c r="G17" s="27"/>
      <c r="H17" s="27"/>
      <c r="I17" s="27"/>
      <c r="J17" s="27"/>
    </row>
    <row r="18" spans="1:12" x14ac:dyDescent="0.4">
      <c r="A18" s="27">
        <v>17</v>
      </c>
      <c r="B18" s="28">
        <f>Лист2!A18</f>
        <v>45663</v>
      </c>
      <c r="C18" s="29">
        <f>Лист2!B18</f>
        <v>2</v>
      </c>
      <c r="D18" s="29">
        <f t="shared" si="0"/>
        <v>-3</v>
      </c>
      <c r="E18" s="30">
        <f t="shared" si="1"/>
        <v>1.6949152542372881E-2</v>
      </c>
      <c r="F18" s="30"/>
      <c r="G18" s="27"/>
      <c r="H18" s="27"/>
      <c r="I18" s="27"/>
      <c r="J18" s="27"/>
      <c r="L18" s="32" t="s">
        <v>1249</v>
      </c>
    </row>
    <row r="19" spans="1:12" x14ac:dyDescent="0.4">
      <c r="A19" s="27">
        <v>18</v>
      </c>
      <c r="B19" s="28">
        <f>Лист2!A19</f>
        <v>45670</v>
      </c>
      <c r="C19" s="29">
        <f>Лист2!B19</f>
        <v>4</v>
      </c>
      <c r="D19" s="29">
        <f t="shared" si="0"/>
        <v>2</v>
      </c>
      <c r="E19" s="30">
        <f t="shared" si="1"/>
        <v>1.6949152542372881E-2</v>
      </c>
      <c r="F19" s="30"/>
      <c r="G19" s="27"/>
      <c r="H19" s="27"/>
      <c r="I19" s="27"/>
      <c r="J19" s="27"/>
      <c r="L19" s="32" t="s">
        <v>1250</v>
      </c>
    </row>
    <row r="20" spans="1:12" x14ac:dyDescent="0.4">
      <c r="A20" s="27">
        <v>19</v>
      </c>
      <c r="B20" s="28">
        <f>Лист2!A20</f>
        <v>45677</v>
      </c>
      <c r="C20" s="29">
        <f>Лист2!B20</f>
        <v>3</v>
      </c>
      <c r="D20" s="29">
        <f t="shared" si="0"/>
        <v>-1</v>
      </c>
      <c r="E20" s="30">
        <f t="shared" si="1"/>
        <v>1.6949152542372881E-2</v>
      </c>
      <c r="F20" s="30"/>
      <c r="G20" s="27"/>
      <c r="H20" s="27"/>
      <c r="I20" s="27"/>
      <c r="J20" s="27"/>
      <c r="L20" s="33" t="s">
        <v>1251</v>
      </c>
    </row>
    <row r="21" spans="1:12" x14ac:dyDescent="0.4">
      <c r="A21" s="27">
        <v>20</v>
      </c>
      <c r="B21" s="28">
        <f>Лист2!A21</f>
        <v>45684</v>
      </c>
      <c r="C21" s="29">
        <f>Лист2!B21</f>
        <v>4</v>
      </c>
      <c r="D21" s="29">
        <f t="shared" si="0"/>
        <v>1</v>
      </c>
      <c r="E21" s="30">
        <f t="shared" si="1"/>
        <v>1.6949152542372881E-2</v>
      </c>
      <c r="F21" s="30"/>
      <c r="G21" s="27"/>
      <c r="H21" s="27"/>
      <c r="I21" s="27"/>
      <c r="J21" s="27"/>
    </row>
    <row r="22" spans="1:12" x14ac:dyDescent="0.4">
      <c r="A22" s="27">
        <v>21</v>
      </c>
      <c r="B22" s="28">
        <f>Лист2!A22</f>
        <v>45691</v>
      </c>
      <c r="C22" s="29">
        <f>Лист2!B22</f>
        <v>1</v>
      </c>
      <c r="D22" s="29">
        <f t="shared" si="0"/>
        <v>-3</v>
      </c>
      <c r="E22" s="30">
        <f t="shared" si="1"/>
        <v>1.6949152542372881E-2</v>
      </c>
      <c r="F22" s="30"/>
      <c r="G22" s="27"/>
      <c r="H22" s="27"/>
      <c r="I22" s="27"/>
      <c r="J22" s="27"/>
    </row>
    <row r="23" spans="1:12" x14ac:dyDescent="0.4">
      <c r="A23" s="27">
        <v>22</v>
      </c>
      <c r="B23" s="28">
        <f>Лист2!A23</f>
        <v>45698</v>
      </c>
      <c r="C23" s="29">
        <f>Лист2!B23</f>
        <v>7</v>
      </c>
      <c r="D23" s="29">
        <f t="shared" si="0"/>
        <v>6</v>
      </c>
      <c r="E23" s="30">
        <f t="shared" si="1"/>
        <v>1.6949152542372881E-2</v>
      </c>
      <c r="F23" s="30"/>
      <c r="G23" s="27"/>
      <c r="H23" s="27"/>
      <c r="I23" s="27"/>
      <c r="J23" s="27"/>
    </row>
    <row r="24" spans="1:12" x14ac:dyDescent="0.4">
      <c r="A24" s="27">
        <v>23</v>
      </c>
      <c r="B24" s="28">
        <f>Лист2!A24</f>
        <v>45712</v>
      </c>
      <c r="C24" s="29">
        <f>Лист2!B24</f>
        <v>8</v>
      </c>
      <c r="D24" s="29">
        <f t="shared" si="0"/>
        <v>1</v>
      </c>
      <c r="E24" s="30">
        <f t="shared" si="1"/>
        <v>1.6949152542372881E-2</v>
      </c>
      <c r="F24" s="30"/>
      <c r="G24" s="27"/>
      <c r="H24" s="27"/>
      <c r="I24" s="27"/>
      <c r="J24" s="27"/>
    </row>
    <row r="25" spans="1:12" x14ac:dyDescent="0.4">
      <c r="A25" s="27">
        <v>24</v>
      </c>
      <c r="B25" s="28">
        <f>Лист2!A25</f>
        <v>45719</v>
      </c>
      <c r="C25" s="29">
        <f>Лист2!B25</f>
        <v>4</v>
      </c>
      <c r="D25" s="29">
        <f t="shared" si="0"/>
        <v>-4</v>
      </c>
      <c r="E25" s="30">
        <f t="shared" si="1"/>
        <v>1.6949152542372881E-2</v>
      </c>
      <c r="F25" s="30"/>
      <c r="G25" s="27"/>
      <c r="H25" s="27"/>
      <c r="I25" s="27"/>
      <c r="J25" s="27"/>
    </row>
    <row r="26" spans="1:12" x14ac:dyDescent="0.4">
      <c r="A26" s="27">
        <v>25</v>
      </c>
      <c r="B26" s="28">
        <f>Лист2!A26</f>
        <v>45726</v>
      </c>
      <c r="C26" s="29">
        <f>Лист2!B26</f>
        <v>4</v>
      </c>
      <c r="D26" s="29">
        <f t="shared" si="0"/>
        <v>0</v>
      </c>
      <c r="E26" s="30">
        <f t="shared" si="1"/>
        <v>1.6949152542372881E-2</v>
      </c>
      <c r="F26" s="30"/>
      <c r="G26" s="27"/>
      <c r="H26" s="27"/>
      <c r="I26" s="27"/>
      <c r="J26" s="27"/>
    </row>
    <row r="27" spans="1:12" x14ac:dyDescent="0.4">
      <c r="A27" s="27">
        <v>26</v>
      </c>
      <c r="B27" s="28">
        <f>Лист2!A27</f>
        <v>45733</v>
      </c>
      <c r="C27" s="29">
        <f>Лист2!B27</f>
        <v>8</v>
      </c>
      <c r="D27" s="29">
        <f t="shared" si="0"/>
        <v>4</v>
      </c>
      <c r="E27" s="30">
        <f t="shared" si="1"/>
        <v>1.6949152542372881E-2</v>
      </c>
      <c r="F27" s="30"/>
      <c r="G27" s="27"/>
      <c r="H27" s="27"/>
      <c r="I27" s="27"/>
      <c r="J27" s="27"/>
    </row>
    <row r="28" spans="1:12" x14ac:dyDescent="0.4">
      <c r="A28" s="27">
        <v>27</v>
      </c>
      <c r="B28" s="28">
        <f>Лист2!A28</f>
        <v>45740</v>
      </c>
      <c r="C28" s="29">
        <f>Лист2!B28</f>
        <v>5</v>
      </c>
      <c r="D28" s="29">
        <f t="shared" si="0"/>
        <v>-3</v>
      </c>
      <c r="E28" s="30">
        <f t="shared" si="1"/>
        <v>1.6949152542372881E-2</v>
      </c>
      <c r="F28" s="30"/>
      <c r="G28" s="27"/>
      <c r="H28" s="27"/>
      <c r="I28" s="27"/>
      <c r="J28" s="27"/>
    </row>
    <row r="29" spans="1:12" x14ac:dyDescent="0.4">
      <c r="A29" s="27">
        <v>28</v>
      </c>
      <c r="B29" s="28">
        <f>Лист2!A29</f>
        <v>45747</v>
      </c>
      <c r="C29" s="29">
        <f>Лист2!B29</f>
        <v>8</v>
      </c>
      <c r="D29" s="29">
        <f t="shared" si="0"/>
        <v>3</v>
      </c>
      <c r="E29" s="30">
        <f t="shared" si="1"/>
        <v>1.6949152542372881E-2</v>
      </c>
      <c r="F29" s="30"/>
      <c r="G29" s="27"/>
      <c r="H29" s="27"/>
      <c r="I29" s="27"/>
      <c r="J29" s="27"/>
    </row>
    <row r="30" spans="1:12" x14ac:dyDescent="0.4">
      <c r="A30" s="27">
        <v>29</v>
      </c>
      <c r="B30" s="28">
        <f>Лист2!A30</f>
        <v>45754</v>
      </c>
      <c r="C30" s="29">
        <f>Лист2!B30</f>
        <v>7</v>
      </c>
      <c r="D30" s="29">
        <f t="shared" si="0"/>
        <v>-1</v>
      </c>
      <c r="E30" s="30">
        <f t="shared" si="1"/>
        <v>1.6949152542372881E-2</v>
      </c>
      <c r="F30" s="30"/>
      <c r="G30" s="27"/>
      <c r="H30" s="27"/>
      <c r="I30" s="27"/>
      <c r="J30" s="27"/>
    </row>
    <row r="31" spans="1:12" x14ac:dyDescent="0.4">
      <c r="A31" s="27">
        <v>30</v>
      </c>
      <c r="B31" s="28">
        <f>Лист2!A31</f>
        <v>45761</v>
      </c>
      <c r="C31" s="29">
        <f>Лист2!B31</f>
        <v>2</v>
      </c>
      <c r="D31" s="29">
        <f t="shared" si="0"/>
        <v>-5</v>
      </c>
      <c r="E31" s="30">
        <f t="shared" si="1"/>
        <v>1.6949152542372881E-2</v>
      </c>
      <c r="F31" s="30"/>
      <c r="G31" s="27"/>
      <c r="H31" s="27"/>
      <c r="I31" s="27"/>
      <c r="J31" s="27"/>
    </row>
    <row r="32" spans="1:12" x14ac:dyDescent="0.4">
      <c r="A32" s="27">
        <v>31</v>
      </c>
      <c r="B32" s="28">
        <f>Лист2!A32</f>
        <v>45768</v>
      </c>
      <c r="C32" s="29">
        <f>Лист2!B32</f>
        <v>7</v>
      </c>
      <c r="D32" s="29">
        <f t="shared" si="0"/>
        <v>5</v>
      </c>
      <c r="E32" s="30">
        <f t="shared" si="1"/>
        <v>1.6949152542372881E-2</v>
      </c>
      <c r="F32" s="30"/>
      <c r="G32" s="27"/>
      <c r="H32" s="27"/>
      <c r="I32" s="27"/>
      <c r="J32" s="27"/>
    </row>
    <row r="33" spans="1:10" x14ac:dyDescent="0.4">
      <c r="A33" s="27">
        <v>32</v>
      </c>
      <c r="B33" s="28">
        <f>Лист2!A33</f>
        <v>45775</v>
      </c>
      <c r="C33" s="29">
        <f>Лист2!B33</f>
        <v>9</v>
      </c>
      <c r="D33" s="29">
        <f t="shared" si="0"/>
        <v>2</v>
      </c>
      <c r="E33" s="30">
        <f t="shared" si="1"/>
        <v>1.6949152542372881E-2</v>
      </c>
      <c r="F33" s="30"/>
      <c r="G33" s="27"/>
      <c r="H33" s="27"/>
      <c r="I33" s="27"/>
      <c r="J33" s="27"/>
    </row>
    <row r="34" spans="1:10" x14ac:dyDescent="0.4">
      <c r="A34" s="27">
        <v>33</v>
      </c>
      <c r="B34" s="28">
        <f>Лист2!A34</f>
        <v>45782</v>
      </c>
      <c r="C34" s="29">
        <f>Лист2!B34</f>
        <v>6</v>
      </c>
      <c r="D34" s="29">
        <f t="shared" si="0"/>
        <v>-3</v>
      </c>
      <c r="E34" s="30">
        <f t="shared" si="1"/>
        <v>1.6949152542372881E-2</v>
      </c>
      <c r="F34" s="30"/>
      <c r="G34" s="27"/>
      <c r="H34" s="27"/>
      <c r="I34" s="27"/>
      <c r="J34" s="27"/>
    </row>
    <row r="35" spans="1:10" x14ac:dyDescent="0.4">
      <c r="A35" s="27">
        <v>34</v>
      </c>
      <c r="B35" s="28">
        <f>Лист2!A35</f>
        <v>45789</v>
      </c>
      <c r="C35" s="29">
        <f>Лист2!B35</f>
        <v>8</v>
      </c>
      <c r="D35" s="29">
        <f t="shared" ref="D35:D61" si="2">C35-C34</f>
        <v>2</v>
      </c>
      <c r="E35" s="30">
        <f t="shared" ref="E35:E66" si="3">$M$6</f>
        <v>1.6949152542372881E-2</v>
      </c>
      <c r="F35" s="30"/>
      <c r="G35" s="27"/>
      <c r="H35" s="27"/>
      <c r="I35" s="27"/>
      <c r="J35" s="27"/>
    </row>
    <row r="36" spans="1:10" x14ac:dyDescent="0.4">
      <c r="A36" s="27">
        <v>35</v>
      </c>
      <c r="B36" s="28">
        <f>Лист2!A36</f>
        <v>45796</v>
      </c>
      <c r="C36" s="29">
        <f>Лист2!B36</f>
        <v>5</v>
      </c>
      <c r="D36" s="29">
        <f t="shared" si="2"/>
        <v>-3</v>
      </c>
      <c r="E36" s="30">
        <f t="shared" si="3"/>
        <v>1.6949152542372881E-2</v>
      </c>
      <c r="F36" s="30"/>
      <c r="G36" s="27"/>
      <c r="H36" s="27"/>
      <c r="I36" s="27"/>
      <c r="J36" s="27"/>
    </row>
    <row r="37" spans="1:10" x14ac:dyDescent="0.4">
      <c r="A37" s="27">
        <v>36</v>
      </c>
      <c r="B37" s="28">
        <f>Лист2!A37</f>
        <v>45803</v>
      </c>
      <c r="C37" s="29">
        <f>Лист2!B37</f>
        <v>10</v>
      </c>
      <c r="D37" s="29">
        <f t="shared" si="2"/>
        <v>5</v>
      </c>
      <c r="E37" s="30">
        <f t="shared" si="3"/>
        <v>1.6949152542372881E-2</v>
      </c>
      <c r="F37" s="30"/>
      <c r="G37" s="27"/>
      <c r="H37" s="27"/>
      <c r="I37" s="27"/>
      <c r="J37" s="27"/>
    </row>
    <row r="38" spans="1:10" x14ac:dyDescent="0.4">
      <c r="A38" s="27">
        <v>37</v>
      </c>
      <c r="B38" s="28">
        <f>Лист2!A38</f>
        <v>45810</v>
      </c>
      <c r="C38" s="29">
        <f>Лист2!B38</f>
        <v>8</v>
      </c>
      <c r="D38" s="29">
        <f t="shared" si="2"/>
        <v>-2</v>
      </c>
      <c r="E38" s="30">
        <f t="shared" si="3"/>
        <v>1.6949152542372881E-2</v>
      </c>
      <c r="F38" s="30"/>
      <c r="G38" s="27"/>
      <c r="H38" s="27"/>
      <c r="I38" s="27"/>
      <c r="J38" s="27"/>
    </row>
    <row r="39" spans="1:10" x14ac:dyDescent="0.4">
      <c r="A39" s="27">
        <v>38</v>
      </c>
      <c r="B39" s="28">
        <f>Лист2!A39</f>
        <v>45817</v>
      </c>
      <c r="C39" s="29">
        <f>Лист2!B39</f>
        <v>9</v>
      </c>
      <c r="D39" s="29">
        <f t="shared" si="2"/>
        <v>1</v>
      </c>
      <c r="E39" s="30">
        <f t="shared" si="3"/>
        <v>1.6949152542372881E-2</v>
      </c>
      <c r="F39" s="30"/>
      <c r="G39" s="27"/>
      <c r="H39" s="27"/>
      <c r="I39" s="27"/>
      <c r="J39" s="27"/>
    </row>
    <row r="40" spans="1:10" x14ac:dyDescent="0.4">
      <c r="A40" s="27">
        <v>39</v>
      </c>
      <c r="B40" s="28">
        <f>Лист2!A40</f>
        <v>45824</v>
      </c>
      <c r="C40" s="29">
        <f>Лист2!B40</f>
        <v>8</v>
      </c>
      <c r="D40" s="29">
        <f t="shared" si="2"/>
        <v>-1</v>
      </c>
      <c r="E40" s="30">
        <f t="shared" si="3"/>
        <v>1.6949152542372881E-2</v>
      </c>
      <c r="F40" s="30"/>
      <c r="G40" s="27"/>
      <c r="H40" s="27"/>
      <c r="I40" s="27"/>
      <c r="J40" s="27"/>
    </row>
    <row r="41" spans="1:10" x14ac:dyDescent="0.4">
      <c r="A41" s="27">
        <v>40</v>
      </c>
      <c r="B41" s="28">
        <f>Лист2!A41</f>
        <v>45831</v>
      </c>
      <c r="C41" s="29">
        <f>Лист2!B41</f>
        <v>7</v>
      </c>
      <c r="D41" s="29">
        <f t="shared" si="2"/>
        <v>-1</v>
      </c>
      <c r="E41" s="30">
        <f t="shared" si="3"/>
        <v>1.6949152542372881E-2</v>
      </c>
      <c r="F41" s="30"/>
      <c r="G41" s="27"/>
      <c r="H41" s="27"/>
      <c r="I41" s="27"/>
      <c r="J41" s="27"/>
    </row>
    <row r="42" spans="1:10" x14ac:dyDescent="0.4">
      <c r="A42" s="27">
        <v>41</v>
      </c>
      <c r="B42" s="28">
        <f>Лист2!A42</f>
        <v>45838</v>
      </c>
      <c r="C42" s="29">
        <f>Лист2!B42</f>
        <v>10</v>
      </c>
      <c r="D42" s="29">
        <f t="shared" si="2"/>
        <v>3</v>
      </c>
      <c r="E42" s="30">
        <f t="shared" si="3"/>
        <v>1.6949152542372881E-2</v>
      </c>
      <c r="F42" s="30"/>
      <c r="G42" s="27"/>
      <c r="H42" s="27"/>
      <c r="I42" s="27"/>
      <c r="J42" s="27"/>
    </row>
    <row r="43" spans="1:10" x14ac:dyDescent="0.4">
      <c r="A43" s="27">
        <v>42</v>
      </c>
      <c r="B43" s="28">
        <f>Лист2!A43</f>
        <v>45845</v>
      </c>
      <c r="C43" s="29">
        <f>Лист2!B43</f>
        <v>7</v>
      </c>
      <c r="D43" s="29">
        <f t="shared" si="2"/>
        <v>-3</v>
      </c>
      <c r="E43" s="30">
        <f t="shared" si="3"/>
        <v>1.6949152542372881E-2</v>
      </c>
      <c r="F43" s="30"/>
      <c r="G43" s="27"/>
      <c r="H43" s="27"/>
      <c r="I43" s="27"/>
      <c r="J43" s="27"/>
    </row>
    <row r="44" spans="1:10" x14ac:dyDescent="0.4">
      <c r="A44" s="27">
        <v>43</v>
      </c>
      <c r="B44" s="28">
        <f>Лист2!A44</f>
        <v>45852</v>
      </c>
      <c r="C44" s="29">
        <f>Лист2!B44</f>
        <v>4</v>
      </c>
      <c r="D44" s="29">
        <f t="shared" si="2"/>
        <v>-3</v>
      </c>
      <c r="E44" s="30">
        <f t="shared" si="3"/>
        <v>1.6949152542372881E-2</v>
      </c>
      <c r="F44" s="30"/>
      <c r="G44" s="27"/>
      <c r="H44" s="27"/>
      <c r="I44" s="27"/>
      <c r="J44" s="27"/>
    </row>
    <row r="45" spans="1:10" x14ac:dyDescent="0.4">
      <c r="A45" s="27">
        <v>44</v>
      </c>
      <c r="B45" s="28">
        <f>Лист2!A45</f>
        <v>45859</v>
      </c>
      <c r="C45" s="29">
        <f>Лист2!B45</f>
        <v>7</v>
      </c>
      <c r="D45" s="29">
        <f t="shared" si="2"/>
        <v>3</v>
      </c>
      <c r="E45" s="30">
        <f t="shared" si="3"/>
        <v>1.6949152542372881E-2</v>
      </c>
      <c r="F45" s="30"/>
      <c r="G45" s="27"/>
      <c r="H45" s="27"/>
      <c r="I45" s="27"/>
      <c r="J45" s="27"/>
    </row>
    <row r="46" spans="1:10" x14ac:dyDescent="0.4">
      <c r="A46" s="27">
        <v>45</v>
      </c>
      <c r="B46" s="28">
        <f>Лист2!A46</f>
        <v>45866</v>
      </c>
      <c r="C46" s="29">
        <f>Лист2!B46</f>
        <v>9</v>
      </c>
      <c r="D46" s="29">
        <f t="shared" si="2"/>
        <v>2</v>
      </c>
      <c r="E46" s="30">
        <f t="shared" si="3"/>
        <v>1.6949152542372881E-2</v>
      </c>
      <c r="F46" s="30"/>
      <c r="G46" s="27"/>
      <c r="H46" s="27"/>
      <c r="I46" s="27"/>
      <c r="J46" s="27"/>
    </row>
    <row r="47" spans="1:10" x14ac:dyDescent="0.4">
      <c r="A47" s="27">
        <v>46</v>
      </c>
      <c r="B47" s="28">
        <f>Лист2!A47</f>
        <v>45873</v>
      </c>
      <c r="C47" s="29">
        <f>Лист2!B47</f>
        <v>8</v>
      </c>
      <c r="D47" s="29">
        <f t="shared" si="2"/>
        <v>-1</v>
      </c>
      <c r="E47" s="30">
        <f t="shared" si="3"/>
        <v>1.6949152542372881E-2</v>
      </c>
      <c r="F47" s="30"/>
      <c r="G47" s="27"/>
      <c r="H47" s="27"/>
      <c r="I47" s="27"/>
      <c r="J47" s="27"/>
    </row>
    <row r="48" spans="1:10" x14ac:dyDescent="0.4">
      <c r="A48" s="27">
        <v>47</v>
      </c>
      <c r="B48" s="28">
        <f>Лист2!A48</f>
        <v>45880</v>
      </c>
      <c r="C48" s="29">
        <f>Лист2!B48</f>
        <v>9</v>
      </c>
      <c r="D48" s="29">
        <f t="shared" si="2"/>
        <v>1</v>
      </c>
      <c r="E48" s="30">
        <f t="shared" si="3"/>
        <v>1.6949152542372881E-2</v>
      </c>
      <c r="F48" s="30"/>
      <c r="G48" s="27"/>
      <c r="H48" s="27"/>
      <c r="I48" s="27"/>
      <c r="J48" s="27"/>
    </row>
    <row r="49" spans="1:10" x14ac:dyDescent="0.4">
      <c r="A49" s="27">
        <v>48</v>
      </c>
      <c r="B49" s="28">
        <f>Лист2!A49</f>
        <v>45887</v>
      </c>
      <c r="C49" s="29">
        <f>Лист2!B49</f>
        <v>14</v>
      </c>
      <c r="D49" s="29">
        <f t="shared" si="2"/>
        <v>5</v>
      </c>
      <c r="E49" s="30">
        <f t="shared" si="3"/>
        <v>1.6949152542372881E-2</v>
      </c>
      <c r="F49" s="30"/>
      <c r="G49" s="27"/>
      <c r="H49" s="27"/>
      <c r="I49" s="27"/>
      <c r="J49" s="27"/>
    </row>
    <row r="50" spans="1:10" x14ac:dyDescent="0.4">
      <c r="A50" s="27">
        <v>49</v>
      </c>
      <c r="B50" s="28">
        <f>Лист2!A50</f>
        <v>45894</v>
      </c>
      <c r="C50" s="29">
        <f>Лист2!B50</f>
        <v>9</v>
      </c>
      <c r="D50" s="29">
        <f t="shared" si="2"/>
        <v>-5</v>
      </c>
      <c r="E50" s="30">
        <f t="shared" si="3"/>
        <v>1.6949152542372881E-2</v>
      </c>
      <c r="F50" s="30"/>
      <c r="G50" s="27"/>
      <c r="H50" s="27"/>
      <c r="I50" s="27"/>
      <c r="J50" s="27"/>
    </row>
    <row r="51" spans="1:10" x14ac:dyDescent="0.4">
      <c r="A51" s="27">
        <v>50</v>
      </c>
      <c r="B51" s="28">
        <f>Лист2!A51</f>
        <v>45901</v>
      </c>
      <c r="C51" s="29">
        <f>Лист2!B51</f>
        <v>12</v>
      </c>
      <c r="D51" s="29">
        <f t="shared" si="2"/>
        <v>3</v>
      </c>
      <c r="E51" s="30">
        <f t="shared" si="3"/>
        <v>1.6949152542372881E-2</v>
      </c>
      <c r="F51" s="30"/>
      <c r="G51" s="27"/>
      <c r="H51" s="27"/>
      <c r="I51" s="27"/>
      <c r="J51" s="27"/>
    </row>
    <row r="52" spans="1:10" x14ac:dyDescent="0.4">
      <c r="A52" s="27">
        <v>51</v>
      </c>
      <c r="B52" s="28">
        <f>Лист2!A52</f>
        <v>45908</v>
      </c>
      <c r="C52" s="29">
        <f>Лист2!B52</f>
        <v>9</v>
      </c>
      <c r="D52" s="29">
        <f t="shared" si="2"/>
        <v>-3</v>
      </c>
      <c r="E52" s="30">
        <f t="shared" si="3"/>
        <v>1.6949152542372881E-2</v>
      </c>
      <c r="F52" s="30"/>
      <c r="G52" s="27"/>
      <c r="H52" s="27"/>
      <c r="I52" s="27"/>
      <c r="J52" s="27"/>
    </row>
    <row r="53" spans="1:10" x14ac:dyDescent="0.4">
      <c r="A53" s="27">
        <v>52</v>
      </c>
      <c r="B53" s="28">
        <f>Лист2!A53</f>
        <v>45915</v>
      </c>
      <c r="C53" s="29">
        <f>Лист2!B53</f>
        <v>11</v>
      </c>
      <c r="D53" s="29">
        <f t="shared" si="2"/>
        <v>2</v>
      </c>
      <c r="E53" s="30">
        <f t="shared" si="3"/>
        <v>1.6949152542372881E-2</v>
      </c>
      <c r="F53" s="30"/>
      <c r="G53" s="27"/>
      <c r="H53" s="27"/>
      <c r="I53" s="27"/>
      <c r="J53" s="27"/>
    </row>
    <row r="54" spans="1:10" x14ac:dyDescent="0.4">
      <c r="A54" s="27">
        <v>53</v>
      </c>
      <c r="B54" s="28">
        <f>Лист2!A54</f>
        <v>45922</v>
      </c>
      <c r="C54" s="29">
        <f>Лист2!B54</f>
        <v>15</v>
      </c>
      <c r="D54" s="29">
        <f t="shared" si="2"/>
        <v>4</v>
      </c>
      <c r="E54" s="30">
        <f t="shared" si="3"/>
        <v>1.6949152542372881E-2</v>
      </c>
      <c r="F54" s="30"/>
      <c r="G54" s="27"/>
      <c r="H54" s="27"/>
      <c r="I54" s="27"/>
      <c r="J54" s="27"/>
    </row>
    <row r="55" spans="1:10" x14ac:dyDescent="0.4">
      <c r="A55" s="27">
        <v>54</v>
      </c>
      <c r="B55" s="28">
        <f>Лист2!A55</f>
        <v>45929</v>
      </c>
      <c r="C55" s="29">
        <f>Лист2!B55</f>
        <v>8</v>
      </c>
      <c r="D55" s="29">
        <f t="shared" si="2"/>
        <v>-7</v>
      </c>
      <c r="E55" s="30">
        <f t="shared" si="3"/>
        <v>1.6949152542372881E-2</v>
      </c>
      <c r="F55" s="30"/>
      <c r="G55" s="27"/>
      <c r="H55" s="27"/>
      <c r="I55" s="27"/>
      <c r="J55" s="27"/>
    </row>
    <row r="56" spans="1:10" x14ac:dyDescent="0.4">
      <c r="A56" s="27">
        <v>55</v>
      </c>
      <c r="B56" s="28">
        <f>Лист2!A56</f>
        <v>45936</v>
      </c>
      <c r="C56" s="29">
        <f>Лист2!B56</f>
        <v>14</v>
      </c>
      <c r="D56" s="29">
        <f t="shared" si="2"/>
        <v>6</v>
      </c>
      <c r="E56" s="30">
        <f t="shared" si="3"/>
        <v>1.6949152542372881E-2</v>
      </c>
      <c r="F56" s="30"/>
      <c r="G56" s="27"/>
      <c r="H56" s="27"/>
      <c r="I56" s="27"/>
      <c r="J56" s="27"/>
    </row>
    <row r="57" spans="1:10" x14ac:dyDescent="0.4">
      <c r="A57" s="27">
        <v>56</v>
      </c>
      <c r="B57" s="28">
        <f>Лист2!A57</f>
        <v>45943</v>
      </c>
      <c r="C57" s="29">
        <f>Лист2!B57</f>
        <v>15</v>
      </c>
      <c r="D57" s="29">
        <f t="shared" si="2"/>
        <v>1</v>
      </c>
      <c r="E57" s="30">
        <f t="shared" si="3"/>
        <v>1.6949152542372881E-2</v>
      </c>
      <c r="F57" s="30"/>
      <c r="G57" s="27"/>
      <c r="H57" s="27"/>
      <c r="I57" s="27"/>
      <c r="J57" s="27"/>
    </row>
    <row r="58" spans="1:10" x14ac:dyDescent="0.4">
      <c r="A58" s="27">
        <v>57</v>
      </c>
      <c r="B58" s="28">
        <f>Лист2!A58</f>
        <v>45950</v>
      </c>
      <c r="C58" s="29">
        <f>Лист2!B58</f>
        <v>9</v>
      </c>
      <c r="D58" s="29">
        <f t="shared" si="2"/>
        <v>-6</v>
      </c>
      <c r="E58" s="30">
        <f t="shared" si="3"/>
        <v>1.6949152542372881E-2</v>
      </c>
      <c r="F58" s="30"/>
      <c r="G58" s="27"/>
      <c r="H58" s="27"/>
      <c r="I58" s="27"/>
      <c r="J58" s="27"/>
    </row>
    <row r="59" spans="1:10" x14ac:dyDescent="0.4">
      <c r="A59" s="27">
        <v>58</v>
      </c>
      <c r="B59" s="28">
        <f>Лист2!A59</f>
        <v>45957</v>
      </c>
      <c r="C59" s="29">
        <f>Лист2!B59</f>
        <v>13</v>
      </c>
      <c r="D59" s="29">
        <f t="shared" si="2"/>
        <v>4</v>
      </c>
      <c r="E59" s="30">
        <f t="shared" si="3"/>
        <v>1.6949152542372881E-2</v>
      </c>
      <c r="F59" s="30"/>
      <c r="G59" s="27"/>
      <c r="H59" s="27"/>
      <c r="I59" s="27"/>
      <c r="J59" s="27"/>
    </row>
    <row r="60" spans="1:10" x14ac:dyDescent="0.4">
      <c r="A60" s="27">
        <v>59</v>
      </c>
      <c r="B60" s="28">
        <f>Лист2!A60</f>
        <v>45964</v>
      </c>
      <c r="C60" s="29">
        <f>Лист2!B60</f>
        <v>9</v>
      </c>
      <c r="D60" s="29">
        <f t="shared" si="2"/>
        <v>-4</v>
      </c>
      <c r="E60" s="30">
        <f t="shared" si="3"/>
        <v>1.6949152542372881E-2</v>
      </c>
      <c r="F60" s="30"/>
      <c r="G60" s="27"/>
      <c r="H60" s="27"/>
      <c r="I60" s="27"/>
      <c r="J60" s="27"/>
    </row>
    <row r="61" spans="1:10" x14ac:dyDescent="0.4">
      <c r="A61" s="34">
        <v>60</v>
      </c>
      <c r="B61" s="35">
        <f>Лист2!A61</f>
        <v>45971</v>
      </c>
      <c r="C61" s="36">
        <f>Лист2!B61</f>
        <v>2</v>
      </c>
      <c r="D61" s="36">
        <f t="shared" si="2"/>
        <v>-7</v>
      </c>
      <c r="E61" s="37">
        <f t="shared" si="3"/>
        <v>1.6949152542372881E-2</v>
      </c>
      <c r="F61" s="37">
        <f>C61</f>
        <v>2</v>
      </c>
      <c r="G61" s="36">
        <f>C61</f>
        <v>2</v>
      </c>
      <c r="H61" s="36"/>
      <c r="I61" s="36"/>
      <c r="J61" s="34"/>
    </row>
    <row r="62" spans="1:10" x14ac:dyDescent="0.4">
      <c r="A62" s="27">
        <v>61</v>
      </c>
      <c r="B62" s="28">
        <f t="shared" ref="B62:B100" si="4">B61+7</f>
        <v>45978</v>
      </c>
      <c r="C62" s="27"/>
      <c r="D62" s="27"/>
      <c r="E62" s="30">
        <f t="shared" si="3"/>
        <v>1.6949152542372881E-2</v>
      </c>
      <c r="F62" s="38">
        <f t="shared" ref="F62:F100" si="5">$M$5+(A62-$M$3)*$M$6</f>
        <v>2.0169491525423728</v>
      </c>
      <c r="G62" s="39">
        <f t="shared" ref="G62:G100" si="6">ROUND(F62,0)</f>
        <v>2</v>
      </c>
      <c r="H62" s="40">
        <f>Лист2!B62</f>
        <v>22</v>
      </c>
      <c r="I62" s="40">
        <f t="shared" ref="I62:I100" si="7">ABS(H62-G62)</f>
        <v>20</v>
      </c>
      <c r="J62" s="41">
        <f t="shared" ref="J62:J100" si="8">IF(H62=0,"",I62/H62*100)</f>
        <v>90.909090909090907</v>
      </c>
    </row>
    <row r="63" spans="1:10" x14ac:dyDescent="0.4">
      <c r="A63" s="27">
        <v>62</v>
      </c>
      <c r="B63" s="28">
        <f t="shared" si="4"/>
        <v>45985</v>
      </c>
      <c r="C63" s="27"/>
      <c r="D63" s="27"/>
      <c r="E63" s="30">
        <f t="shared" si="3"/>
        <v>1.6949152542372881E-2</v>
      </c>
      <c r="F63" s="38">
        <f t="shared" si="5"/>
        <v>2.0338983050847457</v>
      </c>
      <c r="G63" s="39">
        <f t="shared" si="6"/>
        <v>2</v>
      </c>
      <c r="H63" s="40">
        <f>Лист2!B63</f>
        <v>21</v>
      </c>
      <c r="I63" s="40">
        <f t="shared" si="7"/>
        <v>19</v>
      </c>
      <c r="J63" s="41">
        <f t="shared" si="8"/>
        <v>90.476190476190482</v>
      </c>
    </row>
    <row r="64" spans="1:10" x14ac:dyDescent="0.4">
      <c r="A64" s="27">
        <v>63</v>
      </c>
      <c r="B64" s="28">
        <f t="shared" si="4"/>
        <v>45992</v>
      </c>
      <c r="C64" s="27"/>
      <c r="D64" s="27"/>
      <c r="E64" s="30">
        <f t="shared" si="3"/>
        <v>1.6949152542372881E-2</v>
      </c>
      <c r="F64" s="38">
        <f t="shared" si="5"/>
        <v>2.0508474576271185</v>
      </c>
      <c r="G64" s="39">
        <f t="shared" si="6"/>
        <v>2</v>
      </c>
      <c r="H64" s="40">
        <f>Лист2!B64</f>
        <v>19</v>
      </c>
      <c r="I64" s="40">
        <f t="shared" si="7"/>
        <v>17</v>
      </c>
      <c r="J64" s="41">
        <f t="shared" si="8"/>
        <v>89.473684210526315</v>
      </c>
    </row>
    <row r="65" spans="1:10" x14ac:dyDescent="0.4">
      <c r="A65" s="27">
        <v>64</v>
      </c>
      <c r="B65" s="28">
        <f t="shared" si="4"/>
        <v>45999</v>
      </c>
      <c r="C65" s="27"/>
      <c r="D65" s="27"/>
      <c r="E65" s="30">
        <f t="shared" si="3"/>
        <v>1.6949152542372881E-2</v>
      </c>
      <c r="F65" s="38">
        <f t="shared" si="5"/>
        <v>2.0677966101694913</v>
      </c>
      <c r="G65" s="39">
        <f t="shared" si="6"/>
        <v>2</v>
      </c>
      <c r="H65" s="40">
        <f>Лист2!B65</f>
        <v>21</v>
      </c>
      <c r="I65" s="40">
        <f t="shared" si="7"/>
        <v>19</v>
      </c>
      <c r="J65" s="41">
        <f t="shared" si="8"/>
        <v>90.476190476190482</v>
      </c>
    </row>
    <row r="66" spans="1:10" x14ac:dyDescent="0.4">
      <c r="A66" s="27">
        <v>65</v>
      </c>
      <c r="B66" s="28">
        <f t="shared" si="4"/>
        <v>46006</v>
      </c>
      <c r="C66" s="27"/>
      <c r="D66" s="27"/>
      <c r="E66" s="30">
        <f t="shared" si="3"/>
        <v>1.6949152542372881E-2</v>
      </c>
      <c r="F66" s="38">
        <f t="shared" si="5"/>
        <v>2.0847457627118642</v>
      </c>
      <c r="G66" s="39">
        <f t="shared" si="6"/>
        <v>2</v>
      </c>
      <c r="H66" s="40">
        <f>Лист2!B66</f>
        <v>10</v>
      </c>
      <c r="I66" s="40">
        <f t="shared" si="7"/>
        <v>8</v>
      </c>
      <c r="J66" s="41">
        <f t="shared" si="8"/>
        <v>80</v>
      </c>
    </row>
    <row r="67" spans="1:10" x14ac:dyDescent="0.4">
      <c r="A67" s="27">
        <v>66</v>
      </c>
      <c r="B67" s="28">
        <f t="shared" si="4"/>
        <v>46013</v>
      </c>
      <c r="C67" s="27"/>
      <c r="D67" s="27"/>
      <c r="E67" s="30">
        <f t="shared" ref="E67:E100" si="9">$M$6</f>
        <v>1.6949152542372881E-2</v>
      </c>
      <c r="F67" s="38">
        <f t="shared" si="5"/>
        <v>2.1016949152542375</v>
      </c>
      <c r="G67" s="39">
        <f t="shared" si="6"/>
        <v>2</v>
      </c>
      <c r="H67" s="40">
        <f>Лист2!B67</f>
        <v>7</v>
      </c>
      <c r="I67" s="40">
        <f t="shared" si="7"/>
        <v>5</v>
      </c>
      <c r="J67" s="41">
        <f t="shared" si="8"/>
        <v>71.428571428571431</v>
      </c>
    </row>
    <row r="68" spans="1:10" x14ac:dyDescent="0.4">
      <c r="A68" s="27">
        <v>67</v>
      </c>
      <c r="B68" s="28">
        <f t="shared" si="4"/>
        <v>46020</v>
      </c>
      <c r="C68" s="27"/>
      <c r="D68" s="27"/>
      <c r="E68" s="30">
        <f t="shared" si="9"/>
        <v>1.6949152542372881E-2</v>
      </c>
      <c r="F68" s="38">
        <f t="shared" si="5"/>
        <v>2.1186440677966103</v>
      </c>
      <c r="G68" s="39">
        <f t="shared" si="6"/>
        <v>2</v>
      </c>
      <c r="H68" s="40">
        <f>Лист2!B68</f>
        <v>11</v>
      </c>
      <c r="I68" s="40">
        <f t="shared" si="7"/>
        <v>9</v>
      </c>
      <c r="J68" s="41">
        <f t="shared" si="8"/>
        <v>81.818181818181827</v>
      </c>
    </row>
    <row r="69" spans="1:10" x14ac:dyDescent="0.4">
      <c r="A69" s="27">
        <v>68</v>
      </c>
      <c r="B69" s="28">
        <f t="shared" si="4"/>
        <v>46027</v>
      </c>
      <c r="C69" s="27"/>
      <c r="D69" s="27"/>
      <c r="E69" s="30">
        <f t="shared" si="9"/>
        <v>1.6949152542372881E-2</v>
      </c>
      <c r="F69" s="38">
        <f t="shared" si="5"/>
        <v>2.1355932203389831</v>
      </c>
      <c r="G69" s="39">
        <f t="shared" si="6"/>
        <v>2</v>
      </c>
      <c r="H69" s="40">
        <f>Лист2!B69</f>
        <v>21</v>
      </c>
      <c r="I69" s="40">
        <f t="shared" si="7"/>
        <v>19</v>
      </c>
      <c r="J69" s="41">
        <f t="shared" si="8"/>
        <v>90.476190476190482</v>
      </c>
    </row>
    <row r="70" spans="1:10" x14ac:dyDescent="0.4">
      <c r="A70" s="27">
        <v>69</v>
      </c>
      <c r="B70" s="28">
        <f t="shared" si="4"/>
        <v>46034</v>
      </c>
      <c r="C70" s="27"/>
      <c r="D70" s="27"/>
      <c r="E70" s="30">
        <f t="shared" si="9"/>
        <v>1.6949152542372881E-2</v>
      </c>
      <c r="F70" s="38">
        <f t="shared" si="5"/>
        <v>2.152542372881356</v>
      </c>
      <c r="G70" s="39">
        <f t="shared" si="6"/>
        <v>2</v>
      </c>
      <c r="H70" s="40">
        <f>Лист2!B70</f>
        <v>15</v>
      </c>
      <c r="I70" s="40">
        <f t="shared" si="7"/>
        <v>13</v>
      </c>
      <c r="J70" s="41">
        <f t="shared" si="8"/>
        <v>86.666666666666671</v>
      </c>
    </row>
    <row r="71" spans="1:10" x14ac:dyDescent="0.4">
      <c r="A71" s="27">
        <v>70</v>
      </c>
      <c r="B71" s="28">
        <f t="shared" si="4"/>
        <v>46041</v>
      </c>
      <c r="C71" s="27"/>
      <c r="D71" s="27"/>
      <c r="E71" s="30">
        <f t="shared" si="9"/>
        <v>1.6949152542372881E-2</v>
      </c>
      <c r="F71" s="38">
        <f t="shared" si="5"/>
        <v>2.1694915254237288</v>
      </c>
      <c r="G71" s="39">
        <f t="shared" si="6"/>
        <v>2</v>
      </c>
      <c r="H71" s="40">
        <f>Лист2!B71</f>
        <v>9</v>
      </c>
      <c r="I71" s="40">
        <f t="shared" si="7"/>
        <v>7</v>
      </c>
      <c r="J71" s="41">
        <f t="shared" si="8"/>
        <v>77.777777777777786</v>
      </c>
    </row>
    <row r="72" spans="1:10" x14ac:dyDescent="0.4">
      <c r="A72" s="27">
        <v>71</v>
      </c>
      <c r="B72" s="28">
        <f t="shared" si="4"/>
        <v>46048</v>
      </c>
      <c r="C72" s="27"/>
      <c r="D72" s="27"/>
      <c r="E72" s="30">
        <f t="shared" si="9"/>
        <v>1.6949152542372881E-2</v>
      </c>
      <c r="F72" s="38">
        <f t="shared" si="5"/>
        <v>2.1864406779661016</v>
      </c>
      <c r="G72" s="39">
        <f t="shared" si="6"/>
        <v>2</v>
      </c>
      <c r="H72" s="40">
        <f>Лист2!B72</f>
        <v>10</v>
      </c>
      <c r="I72" s="40">
        <f t="shared" si="7"/>
        <v>8</v>
      </c>
      <c r="J72" s="41">
        <f t="shared" si="8"/>
        <v>80</v>
      </c>
    </row>
    <row r="73" spans="1:10" x14ac:dyDescent="0.4">
      <c r="A73" s="27">
        <v>72</v>
      </c>
      <c r="B73" s="28">
        <f t="shared" si="4"/>
        <v>46055</v>
      </c>
      <c r="C73" s="27"/>
      <c r="D73" s="27"/>
      <c r="E73" s="30">
        <f t="shared" si="9"/>
        <v>1.6949152542372881E-2</v>
      </c>
      <c r="F73" s="38">
        <f t="shared" si="5"/>
        <v>2.2033898305084745</v>
      </c>
      <c r="G73" s="39">
        <f t="shared" si="6"/>
        <v>2</v>
      </c>
      <c r="H73" s="40">
        <f>Лист2!B73</f>
        <v>15</v>
      </c>
      <c r="I73" s="40">
        <f t="shared" si="7"/>
        <v>13</v>
      </c>
      <c r="J73" s="41">
        <f t="shared" si="8"/>
        <v>86.666666666666671</v>
      </c>
    </row>
    <row r="74" spans="1:10" x14ac:dyDescent="0.4">
      <c r="A74" s="27">
        <v>73</v>
      </c>
      <c r="B74" s="28">
        <f t="shared" si="4"/>
        <v>46062</v>
      </c>
      <c r="C74" s="27"/>
      <c r="D74" s="27"/>
      <c r="E74" s="30">
        <f t="shared" si="9"/>
        <v>1.6949152542372881E-2</v>
      </c>
      <c r="F74" s="38">
        <f t="shared" si="5"/>
        <v>2.2203389830508473</v>
      </c>
      <c r="G74" s="39">
        <f t="shared" si="6"/>
        <v>2</v>
      </c>
      <c r="H74" s="40">
        <f>Лист2!B74</f>
        <v>20</v>
      </c>
      <c r="I74" s="40">
        <f t="shared" si="7"/>
        <v>18</v>
      </c>
      <c r="J74" s="41">
        <f t="shared" si="8"/>
        <v>90</v>
      </c>
    </row>
    <row r="75" spans="1:10" x14ac:dyDescent="0.4">
      <c r="A75" s="27">
        <v>74</v>
      </c>
      <c r="B75" s="28">
        <f t="shared" si="4"/>
        <v>46069</v>
      </c>
      <c r="C75" s="27"/>
      <c r="D75" s="27"/>
      <c r="E75" s="30">
        <f t="shared" si="9"/>
        <v>1.6949152542372881E-2</v>
      </c>
      <c r="F75" s="38">
        <f t="shared" si="5"/>
        <v>2.2372881355932202</v>
      </c>
      <c r="G75" s="39">
        <f t="shared" si="6"/>
        <v>2</v>
      </c>
      <c r="H75" s="40">
        <f>Лист2!B75</f>
        <v>15</v>
      </c>
      <c r="I75" s="40">
        <f t="shared" si="7"/>
        <v>13</v>
      </c>
      <c r="J75" s="41">
        <f t="shared" si="8"/>
        <v>86.666666666666671</v>
      </c>
    </row>
    <row r="76" spans="1:10" x14ac:dyDescent="0.4">
      <c r="A76" s="27">
        <v>75</v>
      </c>
      <c r="B76" s="28">
        <f t="shared" si="4"/>
        <v>46076</v>
      </c>
      <c r="C76" s="27"/>
      <c r="D76" s="27"/>
      <c r="E76" s="30">
        <f t="shared" si="9"/>
        <v>1.6949152542372881E-2</v>
      </c>
      <c r="F76" s="38">
        <f t="shared" si="5"/>
        <v>2.2542372881355934</v>
      </c>
      <c r="G76" s="39">
        <f t="shared" si="6"/>
        <v>2</v>
      </c>
      <c r="H76" s="40">
        <f>Лист2!B76</f>
        <v>15</v>
      </c>
      <c r="I76" s="40">
        <f t="shared" si="7"/>
        <v>13</v>
      </c>
      <c r="J76" s="41">
        <f t="shared" si="8"/>
        <v>86.666666666666671</v>
      </c>
    </row>
    <row r="77" spans="1:10" x14ac:dyDescent="0.4">
      <c r="A77" s="27">
        <v>76</v>
      </c>
      <c r="B77" s="28">
        <f t="shared" si="4"/>
        <v>46083</v>
      </c>
      <c r="C77" s="27"/>
      <c r="D77" s="27"/>
      <c r="E77" s="30">
        <f t="shared" si="9"/>
        <v>1.6949152542372881E-2</v>
      </c>
      <c r="F77" s="38">
        <f t="shared" si="5"/>
        <v>2.2711864406779663</v>
      </c>
      <c r="G77" s="39">
        <f t="shared" si="6"/>
        <v>2</v>
      </c>
      <c r="H77" s="40">
        <f>Лист2!B77</f>
        <v>16</v>
      </c>
      <c r="I77" s="40">
        <f t="shared" si="7"/>
        <v>14</v>
      </c>
      <c r="J77" s="41">
        <f t="shared" si="8"/>
        <v>87.5</v>
      </c>
    </row>
    <row r="78" spans="1:10" x14ac:dyDescent="0.4">
      <c r="A78" s="27">
        <v>77</v>
      </c>
      <c r="B78" s="28">
        <f t="shared" si="4"/>
        <v>46090</v>
      </c>
      <c r="C78" s="27"/>
      <c r="D78" s="27"/>
      <c r="E78" s="30">
        <f t="shared" si="9"/>
        <v>1.6949152542372881E-2</v>
      </c>
      <c r="F78" s="38">
        <f t="shared" si="5"/>
        <v>2.2881355932203391</v>
      </c>
      <c r="G78" s="39">
        <f t="shared" si="6"/>
        <v>2</v>
      </c>
      <c r="H78" s="40">
        <f>Лист2!B78</f>
        <v>14</v>
      </c>
      <c r="I78" s="40">
        <f t="shared" si="7"/>
        <v>12</v>
      </c>
      <c r="J78" s="41">
        <f t="shared" si="8"/>
        <v>85.714285714285708</v>
      </c>
    </row>
    <row r="79" spans="1:10" x14ac:dyDescent="0.4">
      <c r="A79" s="27">
        <v>78</v>
      </c>
      <c r="B79" s="28">
        <f t="shared" si="4"/>
        <v>46097</v>
      </c>
      <c r="C79" s="27"/>
      <c r="D79" s="27"/>
      <c r="E79" s="30">
        <f t="shared" si="9"/>
        <v>1.6949152542372881E-2</v>
      </c>
      <c r="F79" s="38">
        <f t="shared" si="5"/>
        <v>2.3050847457627119</v>
      </c>
      <c r="G79" s="39">
        <f t="shared" si="6"/>
        <v>2</v>
      </c>
      <c r="H79" s="40">
        <f>Лист2!B79</f>
        <v>15</v>
      </c>
      <c r="I79" s="40">
        <f t="shared" si="7"/>
        <v>13</v>
      </c>
      <c r="J79" s="41">
        <f t="shared" si="8"/>
        <v>86.666666666666671</v>
      </c>
    </row>
    <row r="80" spans="1:10" x14ac:dyDescent="0.4">
      <c r="A80" s="27">
        <v>79</v>
      </c>
      <c r="B80" s="28">
        <f t="shared" si="4"/>
        <v>46104</v>
      </c>
      <c r="C80" s="27"/>
      <c r="D80" s="27"/>
      <c r="E80" s="30">
        <f t="shared" si="9"/>
        <v>1.6949152542372881E-2</v>
      </c>
      <c r="F80" s="38">
        <f t="shared" si="5"/>
        <v>2.3220338983050848</v>
      </c>
      <c r="G80" s="39">
        <f t="shared" si="6"/>
        <v>2</v>
      </c>
      <c r="H80" s="40">
        <f>Лист2!B80</f>
        <v>30</v>
      </c>
      <c r="I80" s="40">
        <f t="shared" si="7"/>
        <v>28</v>
      </c>
      <c r="J80" s="41">
        <f t="shared" si="8"/>
        <v>93.333333333333329</v>
      </c>
    </row>
    <row r="81" spans="1:10" x14ac:dyDescent="0.4">
      <c r="A81" s="27">
        <v>80</v>
      </c>
      <c r="B81" s="28">
        <f t="shared" si="4"/>
        <v>46111</v>
      </c>
      <c r="C81" s="27"/>
      <c r="D81" s="27"/>
      <c r="E81" s="30">
        <f t="shared" si="9"/>
        <v>1.6949152542372881E-2</v>
      </c>
      <c r="F81" s="38">
        <f t="shared" si="5"/>
        <v>2.3389830508474576</v>
      </c>
      <c r="G81" s="39">
        <f t="shared" si="6"/>
        <v>2</v>
      </c>
      <c r="H81" s="40">
        <f>Лист2!B81</f>
        <v>17</v>
      </c>
      <c r="I81" s="40">
        <f t="shared" si="7"/>
        <v>15</v>
      </c>
      <c r="J81" s="41">
        <f t="shared" si="8"/>
        <v>88.235294117647058</v>
      </c>
    </row>
    <row r="82" spans="1:10" x14ac:dyDescent="0.4">
      <c r="A82" s="27">
        <v>81</v>
      </c>
      <c r="B82" s="28">
        <f t="shared" si="4"/>
        <v>46118</v>
      </c>
      <c r="C82" s="27"/>
      <c r="D82" s="27"/>
      <c r="E82" s="30">
        <f t="shared" si="9"/>
        <v>1.6949152542372881E-2</v>
      </c>
      <c r="F82" s="38">
        <f t="shared" si="5"/>
        <v>2.3559322033898304</v>
      </c>
      <c r="G82" s="39">
        <f t="shared" si="6"/>
        <v>2</v>
      </c>
      <c r="H82" s="40">
        <f>Лист2!B82</f>
        <v>14</v>
      </c>
      <c r="I82" s="40">
        <f t="shared" si="7"/>
        <v>12</v>
      </c>
      <c r="J82" s="41">
        <f t="shared" si="8"/>
        <v>85.714285714285708</v>
      </c>
    </row>
    <row r="83" spans="1:10" x14ac:dyDescent="0.4">
      <c r="A83" s="27">
        <v>82</v>
      </c>
      <c r="B83" s="28">
        <f t="shared" si="4"/>
        <v>46125</v>
      </c>
      <c r="C83" s="27"/>
      <c r="D83" s="27"/>
      <c r="E83" s="30">
        <f t="shared" si="9"/>
        <v>1.6949152542372881E-2</v>
      </c>
      <c r="F83" s="38">
        <f t="shared" si="5"/>
        <v>2.3728813559322033</v>
      </c>
      <c r="G83" s="39">
        <f t="shared" si="6"/>
        <v>2</v>
      </c>
      <c r="H83" s="40">
        <f>Лист2!B83</f>
        <v>11</v>
      </c>
      <c r="I83" s="40">
        <f t="shared" si="7"/>
        <v>9</v>
      </c>
      <c r="J83" s="41">
        <f t="shared" si="8"/>
        <v>81.818181818181827</v>
      </c>
    </row>
    <row r="84" spans="1:10" x14ac:dyDescent="0.4">
      <c r="A84" s="27">
        <v>83</v>
      </c>
      <c r="B84" s="28">
        <f t="shared" si="4"/>
        <v>46132</v>
      </c>
      <c r="C84" s="27"/>
      <c r="D84" s="27"/>
      <c r="E84" s="30">
        <f t="shared" si="9"/>
        <v>1.6949152542372881E-2</v>
      </c>
      <c r="F84" s="38">
        <f t="shared" si="5"/>
        <v>2.3898305084745761</v>
      </c>
      <c r="G84" s="39">
        <f t="shared" si="6"/>
        <v>2</v>
      </c>
      <c r="H84" s="40">
        <f>Лист2!B84</f>
        <v>18</v>
      </c>
      <c r="I84" s="40">
        <f t="shared" si="7"/>
        <v>16</v>
      </c>
      <c r="J84" s="41">
        <f t="shared" si="8"/>
        <v>88.888888888888886</v>
      </c>
    </row>
    <row r="85" spans="1:10" x14ac:dyDescent="0.4">
      <c r="A85" s="27">
        <v>84</v>
      </c>
      <c r="B85" s="28">
        <f t="shared" si="4"/>
        <v>46139</v>
      </c>
      <c r="C85" s="27"/>
      <c r="D85" s="27"/>
      <c r="E85" s="30">
        <f t="shared" si="9"/>
        <v>1.6949152542372881E-2</v>
      </c>
      <c r="F85" s="38">
        <f t="shared" si="5"/>
        <v>2.406779661016949</v>
      </c>
      <c r="G85" s="39">
        <f t="shared" si="6"/>
        <v>2</v>
      </c>
      <c r="H85" s="40">
        <f>Лист2!B85</f>
        <v>19</v>
      </c>
      <c r="I85" s="40">
        <f t="shared" si="7"/>
        <v>17</v>
      </c>
      <c r="J85" s="41">
        <f t="shared" si="8"/>
        <v>89.473684210526315</v>
      </c>
    </row>
    <row r="86" spans="1:10" x14ac:dyDescent="0.4">
      <c r="A86" s="27">
        <v>85</v>
      </c>
      <c r="B86" s="28">
        <f t="shared" si="4"/>
        <v>46146</v>
      </c>
      <c r="C86" s="27"/>
      <c r="D86" s="27"/>
      <c r="E86" s="30">
        <f t="shared" si="9"/>
        <v>1.6949152542372881E-2</v>
      </c>
      <c r="F86" s="38">
        <f t="shared" si="5"/>
        <v>2.4237288135593218</v>
      </c>
      <c r="G86" s="39">
        <f t="shared" si="6"/>
        <v>2</v>
      </c>
      <c r="H86" s="40">
        <f>Лист2!B86</f>
        <v>19</v>
      </c>
      <c r="I86" s="40">
        <f t="shared" si="7"/>
        <v>17</v>
      </c>
      <c r="J86" s="41">
        <f t="shared" si="8"/>
        <v>89.473684210526315</v>
      </c>
    </row>
    <row r="87" spans="1:10" x14ac:dyDescent="0.4">
      <c r="A87" s="27">
        <v>86</v>
      </c>
      <c r="B87" s="28">
        <f t="shared" si="4"/>
        <v>46153</v>
      </c>
      <c r="C87" s="27"/>
      <c r="D87" s="27"/>
      <c r="E87" s="30">
        <f t="shared" si="9"/>
        <v>1.6949152542372881E-2</v>
      </c>
      <c r="F87" s="38">
        <f t="shared" si="5"/>
        <v>2.4406779661016951</v>
      </c>
      <c r="G87" s="39">
        <f t="shared" si="6"/>
        <v>2</v>
      </c>
      <c r="H87" s="40">
        <f>Лист2!B87</f>
        <v>14</v>
      </c>
      <c r="I87" s="40">
        <f t="shared" si="7"/>
        <v>12</v>
      </c>
      <c r="J87" s="41">
        <f t="shared" si="8"/>
        <v>85.714285714285708</v>
      </c>
    </row>
    <row r="88" spans="1:10" x14ac:dyDescent="0.4">
      <c r="A88" s="27">
        <v>87</v>
      </c>
      <c r="B88" s="28">
        <f t="shared" si="4"/>
        <v>46160</v>
      </c>
      <c r="C88" s="27"/>
      <c r="D88" s="27"/>
      <c r="E88" s="30">
        <f t="shared" si="9"/>
        <v>1.6949152542372881E-2</v>
      </c>
      <c r="F88" s="38">
        <f t="shared" si="5"/>
        <v>2.4576271186440679</v>
      </c>
      <c r="G88" s="39">
        <f t="shared" si="6"/>
        <v>2</v>
      </c>
      <c r="H88" s="40">
        <f>Лист2!B88</f>
        <v>30</v>
      </c>
      <c r="I88" s="40">
        <f t="shared" si="7"/>
        <v>28</v>
      </c>
      <c r="J88" s="41">
        <f t="shared" si="8"/>
        <v>93.333333333333329</v>
      </c>
    </row>
    <row r="89" spans="1:10" x14ac:dyDescent="0.4">
      <c r="A89" s="27">
        <v>88</v>
      </c>
      <c r="B89" s="28">
        <f t="shared" si="4"/>
        <v>46167</v>
      </c>
      <c r="C89" s="27"/>
      <c r="D89" s="27"/>
      <c r="E89" s="30">
        <f t="shared" si="9"/>
        <v>1.6949152542372881E-2</v>
      </c>
      <c r="F89" s="38">
        <f t="shared" si="5"/>
        <v>2.4745762711864407</v>
      </c>
      <c r="G89" s="39">
        <f t="shared" si="6"/>
        <v>2</v>
      </c>
      <c r="H89" s="40">
        <f>Лист2!B89</f>
        <v>9</v>
      </c>
      <c r="I89" s="40">
        <f t="shared" si="7"/>
        <v>7</v>
      </c>
      <c r="J89" s="41">
        <f t="shared" si="8"/>
        <v>77.777777777777786</v>
      </c>
    </row>
    <row r="90" spans="1:10" x14ac:dyDescent="0.4">
      <c r="A90" s="27">
        <v>89</v>
      </c>
      <c r="B90" s="28">
        <f t="shared" si="4"/>
        <v>46174</v>
      </c>
      <c r="C90" s="27"/>
      <c r="D90" s="27"/>
      <c r="E90" s="30">
        <f t="shared" si="9"/>
        <v>1.6949152542372881E-2</v>
      </c>
      <c r="F90" s="38">
        <f t="shared" si="5"/>
        <v>2.4915254237288136</v>
      </c>
      <c r="G90" s="39">
        <f t="shared" si="6"/>
        <v>2</v>
      </c>
      <c r="H90" s="40">
        <f>Лист2!B90</f>
        <v>31</v>
      </c>
      <c r="I90" s="40">
        <f t="shared" si="7"/>
        <v>29</v>
      </c>
      <c r="J90" s="41">
        <f t="shared" si="8"/>
        <v>93.548387096774192</v>
      </c>
    </row>
    <row r="91" spans="1:10" x14ac:dyDescent="0.4">
      <c r="A91" s="27">
        <v>90</v>
      </c>
      <c r="B91" s="28">
        <f t="shared" si="4"/>
        <v>46181</v>
      </c>
      <c r="C91" s="27"/>
      <c r="D91" s="27"/>
      <c r="E91" s="30">
        <f t="shared" si="9"/>
        <v>1.6949152542372881E-2</v>
      </c>
      <c r="F91" s="38">
        <f t="shared" si="5"/>
        <v>2.5084745762711864</v>
      </c>
      <c r="G91" s="39">
        <f t="shared" si="6"/>
        <v>3</v>
      </c>
      <c r="H91" s="40">
        <f>Лист2!B91</f>
        <v>12</v>
      </c>
      <c r="I91" s="40">
        <f t="shared" si="7"/>
        <v>9</v>
      </c>
      <c r="J91" s="41">
        <f t="shared" si="8"/>
        <v>75</v>
      </c>
    </row>
    <row r="92" spans="1:10" x14ac:dyDescent="0.4">
      <c r="A92" s="27">
        <v>91</v>
      </c>
      <c r="B92" s="28">
        <f t="shared" si="4"/>
        <v>46188</v>
      </c>
      <c r="C92" s="27"/>
      <c r="D92" s="27"/>
      <c r="E92" s="30">
        <f t="shared" si="9"/>
        <v>1.6949152542372881E-2</v>
      </c>
      <c r="F92" s="38">
        <f t="shared" si="5"/>
        <v>2.5254237288135593</v>
      </c>
      <c r="G92" s="39">
        <f t="shared" si="6"/>
        <v>3</v>
      </c>
      <c r="H92" s="40">
        <f>Лист2!B92</f>
        <v>23</v>
      </c>
      <c r="I92" s="40">
        <f t="shared" si="7"/>
        <v>20</v>
      </c>
      <c r="J92" s="41">
        <f t="shared" si="8"/>
        <v>86.956521739130437</v>
      </c>
    </row>
    <row r="93" spans="1:10" x14ac:dyDescent="0.4">
      <c r="A93" s="27">
        <v>92</v>
      </c>
      <c r="B93" s="28">
        <f t="shared" si="4"/>
        <v>46195</v>
      </c>
      <c r="C93" s="27"/>
      <c r="D93" s="27"/>
      <c r="E93" s="30">
        <f t="shared" si="9"/>
        <v>1.6949152542372881E-2</v>
      </c>
      <c r="F93" s="38">
        <f t="shared" si="5"/>
        <v>2.5423728813559321</v>
      </c>
      <c r="G93" s="39">
        <f t="shared" si="6"/>
        <v>3</v>
      </c>
      <c r="H93" s="40">
        <f>Лист2!B93</f>
        <v>18</v>
      </c>
      <c r="I93" s="40">
        <f t="shared" si="7"/>
        <v>15</v>
      </c>
      <c r="J93" s="41">
        <f t="shared" si="8"/>
        <v>83.333333333333343</v>
      </c>
    </row>
    <row r="94" spans="1:10" x14ac:dyDescent="0.4">
      <c r="A94" s="27">
        <v>93</v>
      </c>
      <c r="B94" s="28">
        <f t="shared" si="4"/>
        <v>46202</v>
      </c>
      <c r="C94" s="27"/>
      <c r="D94" s="27"/>
      <c r="E94" s="30">
        <f t="shared" si="9"/>
        <v>1.6949152542372881E-2</v>
      </c>
      <c r="F94" s="38">
        <f t="shared" si="5"/>
        <v>2.5593220338983049</v>
      </c>
      <c r="G94" s="39">
        <f t="shared" si="6"/>
        <v>3</v>
      </c>
      <c r="H94" s="40">
        <f>Лист2!B94</f>
        <v>17</v>
      </c>
      <c r="I94" s="40">
        <f t="shared" si="7"/>
        <v>14</v>
      </c>
      <c r="J94" s="41">
        <f t="shared" si="8"/>
        <v>82.35294117647058</v>
      </c>
    </row>
    <row r="95" spans="1:10" x14ac:dyDescent="0.4">
      <c r="A95" s="27">
        <v>94</v>
      </c>
      <c r="B95" s="28">
        <f t="shared" si="4"/>
        <v>46209</v>
      </c>
      <c r="C95" s="27"/>
      <c r="D95" s="27"/>
      <c r="E95" s="30">
        <f t="shared" si="9"/>
        <v>1.6949152542372881E-2</v>
      </c>
      <c r="F95" s="38">
        <f t="shared" si="5"/>
        <v>2.5762711864406782</v>
      </c>
      <c r="G95" s="39">
        <f t="shared" si="6"/>
        <v>3</v>
      </c>
      <c r="H95" s="40">
        <f>Лист2!B95</f>
        <v>16</v>
      </c>
      <c r="I95" s="40">
        <f t="shared" si="7"/>
        <v>13</v>
      </c>
      <c r="J95" s="41">
        <f t="shared" si="8"/>
        <v>81.25</v>
      </c>
    </row>
    <row r="96" spans="1:10" x14ac:dyDescent="0.4">
      <c r="A96" s="27">
        <v>95</v>
      </c>
      <c r="B96" s="28">
        <f t="shared" si="4"/>
        <v>46216</v>
      </c>
      <c r="C96" s="27"/>
      <c r="D96" s="27"/>
      <c r="E96" s="30">
        <f t="shared" si="9"/>
        <v>1.6949152542372881E-2</v>
      </c>
      <c r="F96" s="38">
        <f t="shared" si="5"/>
        <v>2.593220338983051</v>
      </c>
      <c r="G96" s="39">
        <f t="shared" si="6"/>
        <v>3</v>
      </c>
      <c r="H96" s="40">
        <f>Лист2!B96</f>
        <v>26</v>
      </c>
      <c r="I96" s="40">
        <f t="shared" si="7"/>
        <v>23</v>
      </c>
      <c r="J96" s="41">
        <f t="shared" si="8"/>
        <v>88.461538461538453</v>
      </c>
    </row>
    <row r="97" spans="1:10" x14ac:dyDescent="0.4">
      <c r="A97" s="27">
        <v>96</v>
      </c>
      <c r="B97" s="28">
        <f t="shared" si="4"/>
        <v>46223</v>
      </c>
      <c r="C97" s="27"/>
      <c r="D97" s="27"/>
      <c r="E97" s="30">
        <f t="shared" si="9"/>
        <v>1.6949152542372881E-2</v>
      </c>
      <c r="F97" s="38">
        <f t="shared" si="5"/>
        <v>2.6101694915254239</v>
      </c>
      <c r="G97" s="39">
        <f t="shared" si="6"/>
        <v>3</v>
      </c>
      <c r="H97" s="40">
        <f>Лист2!B97</f>
        <v>12</v>
      </c>
      <c r="I97" s="40">
        <f t="shared" si="7"/>
        <v>9</v>
      </c>
      <c r="J97" s="41">
        <f t="shared" si="8"/>
        <v>75</v>
      </c>
    </row>
    <row r="98" spans="1:10" x14ac:dyDescent="0.4">
      <c r="A98" s="27">
        <v>97</v>
      </c>
      <c r="B98" s="28">
        <f t="shared" si="4"/>
        <v>46230</v>
      </c>
      <c r="C98" s="27"/>
      <c r="D98" s="27"/>
      <c r="E98" s="30">
        <f t="shared" si="9"/>
        <v>1.6949152542372881E-2</v>
      </c>
      <c r="F98" s="38">
        <f t="shared" si="5"/>
        <v>2.6271186440677967</v>
      </c>
      <c r="G98" s="39">
        <f t="shared" si="6"/>
        <v>3</v>
      </c>
      <c r="H98" s="40">
        <f>Лист2!B98</f>
        <v>29</v>
      </c>
      <c r="I98" s="40">
        <f t="shared" si="7"/>
        <v>26</v>
      </c>
      <c r="J98" s="41">
        <f t="shared" si="8"/>
        <v>89.65517241379311</v>
      </c>
    </row>
    <row r="99" spans="1:10" x14ac:dyDescent="0.4">
      <c r="A99" s="27">
        <v>98</v>
      </c>
      <c r="B99" s="28">
        <f t="shared" si="4"/>
        <v>46237</v>
      </c>
      <c r="C99" s="27"/>
      <c r="D99" s="27"/>
      <c r="E99" s="30">
        <f t="shared" si="9"/>
        <v>1.6949152542372881E-2</v>
      </c>
      <c r="F99" s="38">
        <f t="shared" si="5"/>
        <v>2.6440677966101696</v>
      </c>
      <c r="G99" s="39">
        <f t="shared" si="6"/>
        <v>3</v>
      </c>
      <c r="H99" s="40">
        <f>Лист2!B99</f>
        <v>8</v>
      </c>
      <c r="I99" s="40">
        <f t="shared" si="7"/>
        <v>5</v>
      </c>
      <c r="J99" s="41">
        <f t="shared" si="8"/>
        <v>62.5</v>
      </c>
    </row>
    <row r="100" spans="1:10" x14ac:dyDescent="0.4">
      <c r="A100" s="27">
        <v>99</v>
      </c>
      <c r="B100" s="28">
        <f t="shared" si="4"/>
        <v>46244</v>
      </c>
      <c r="C100" s="27"/>
      <c r="D100" s="27"/>
      <c r="E100" s="30">
        <f t="shared" si="9"/>
        <v>1.6949152542372881E-2</v>
      </c>
      <c r="F100" s="38">
        <f t="shared" si="5"/>
        <v>2.6610169491525424</v>
      </c>
      <c r="G100" s="39">
        <f t="shared" si="6"/>
        <v>3</v>
      </c>
      <c r="H100" s="40">
        <f>Лист2!B100</f>
        <v>5</v>
      </c>
      <c r="I100" s="40">
        <f t="shared" si="7"/>
        <v>2</v>
      </c>
      <c r="J100" s="41">
        <f t="shared" si="8"/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Фостер Стюарт</vt:lpstr>
      <vt:lpstr>Прогноз 60 39</vt:lpstr>
      <vt:lpstr>Итоги 60 39</vt:lpstr>
      <vt:lpstr>Прирост цепной и абсолютный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H4RD</cp:lastModifiedBy>
  <dcterms:modified xsi:type="dcterms:W3CDTF">2026-10-15T13:31:47Z</dcterms:modified>
</cp:coreProperties>
</file>