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University\Методы принятия управленческих решений\Практика 3\"/>
    </mc:Choice>
  </mc:AlternateContent>
  <xr:revisionPtr revIDLastSave="0" documentId="13_ncr:1_{1AAE80F4-F07C-4435-B089-23F1E1062B54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Экстраполяция" sheetId="1" r:id="rId1"/>
    <sheet name="Лин.Рег" sheetId="2" r:id="rId2"/>
    <sheet name="Оценка рисков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3" l="1"/>
  <c r="K5" i="3"/>
  <c r="L6" i="3"/>
  <c r="K6" i="3"/>
  <c r="L4" i="3"/>
  <c r="M4" i="3"/>
  <c r="K4" i="3"/>
  <c r="M6" i="3"/>
  <c r="M5" i="3"/>
  <c r="B1" i="3"/>
  <c r="F8" i="2"/>
  <c r="F7" i="2"/>
  <c r="F6" i="2"/>
  <c r="F5" i="2"/>
  <c r="F4" i="2"/>
  <c r="F3" i="2"/>
  <c r="F2" i="2"/>
  <c r="D8" i="2"/>
  <c r="D9" i="2"/>
  <c r="D10" i="2"/>
  <c r="D11" i="2"/>
  <c r="D12" i="2"/>
  <c r="D13" i="2"/>
  <c r="D14" i="2"/>
  <c r="D15" i="2"/>
  <c r="D16" i="2"/>
  <c r="D17" i="2"/>
  <c r="D18" i="2"/>
  <c r="D7" i="2"/>
  <c r="C8" i="2"/>
  <c r="C9" i="2"/>
  <c r="C10" i="2"/>
  <c r="C11" i="2"/>
  <c r="C12" i="2"/>
  <c r="C13" i="2"/>
  <c r="C14" i="2"/>
  <c r="C15" i="2"/>
  <c r="C16" i="2"/>
  <c r="C17" i="2"/>
  <c r="C18" i="2"/>
  <c r="C7" i="2"/>
  <c r="B12" i="2"/>
  <c r="B13" i="2"/>
  <c r="B10" i="2"/>
  <c r="C2" i="2"/>
  <c r="B4" i="2"/>
  <c r="B18" i="2" s="1"/>
  <c r="B3" i="2"/>
  <c r="B2" i="2"/>
  <c r="B1" i="2"/>
  <c r="B1" i="1"/>
  <c r="D20" i="1"/>
  <c r="C20" i="1"/>
  <c r="B20" i="1"/>
  <c r="E10" i="1"/>
  <c r="E8" i="1"/>
  <c r="D10" i="1"/>
  <c r="D11" i="1"/>
  <c r="D12" i="1"/>
  <c r="D13" i="1"/>
  <c r="D14" i="1"/>
  <c r="D15" i="1"/>
  <c r="D16" i="1"/>
  <c r="D17" i="1"/>
  <c r="D18" i="1"/>
  <c r="D19" i="1"/>
  <c r="D9" i="1"/>
  <c r="B19" i="1"/>
  <c r="C19" i="1" s="1"/>
  <c r="B18" i="1"/>
  <c r="C18" i="1" s="1"/>
  <c r="C10" i="1"/>
  <c r="C11" i="1"/>
  <c r="C12" i="1"/>
  <c r="C13" i="1"/>
  <c r="C14" i="1"/>
  <c r="C15" i="1"/>
  <c r="C16" i="1"/>
  <c r="C17" i="1"/>
  <c r="C9" i="1"/>
  <c r="B11" i="1"/>
  <c r="B4" i="1"/>
  <c r="B9" i="1" s="1"/>
  <c r="A14" i="2" l="1"/>
  <c r="A15" i="2"/>
  <c r="B8" i="2"/>
  <c r="A12" i="2"/>
  <c r="A13" i="2"/>
  <c r="A16" i="2"/>
  <c r="A17" i="2"/>
  <c r="A18" i="2"/>
  <c r="B7" i="2"/>
  <c r="B9" i="2"/>
  <c r="A7" i="2"/>
  <c r="A8" i="2"/>
  <c r="B15" i="2"/>
  <c r="A11" i="2"/>
  <c r="B17" i="2"/>
  <c r="B11" i="2"/>
  <c r="B14" i="2"/>
  <c r="A9" i="2"/>
  <c r="A10" i="2"/>
  <c r="B16" i="2"/>
  <c r="B8" i="1"/>
  <c r="B10" i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<sst xmlns="http://schemas.openxmlformats.org/spreadsheetml/2006/main" count="36" uniqueCount="31">
  <si>
    <t>M =</t>
  </si>
  <si>
    <t>N =</t>
  </si>
  <si>
    <t xml:space="preserve">XX = </t>
  </si>
  <si>
    <t>Цепные темпы роста</t>
  </si>
  <si>
    <t>Абсолютные значения</t>
  </si>
  <si>
    <t>Относительные значения %</t>
  </si>
  <si>
    <t xml:space="preserve">Среденеготдовой темп роста </t>
  </si>
  <si>
    <t>Среденеготдовой темп роста в %</t>
  </si>
  <si>
    <t>О\П №</t>
  </si>
  <si>
    <t>Прибыль за О\П</t>
  </si>
  <si>
    <t>Вариант</t>
  </si>
  <si>
    <t>количество продукции</t>
  </si>
  <si>
    <t>Кол-во произведенной продукции (x)</t>
  </si>
  <si>
    <t>Время изготовления (y)</t>
  </si>
  <si>
    <t>x^2</t>
  </si>
  <si>
    <t>xy</t>
  </si>
  <si>
    <t>n</t>
  </si>
  <si>
    <t>Сумма по x</t>
  </si>
  <si>
    <t>Суммапо y</t>
  </si>
  <si>
    <t>Сумма по x^2</t>
  </si>
  <si>
    <t>Сумма по xy</t>
  </si>
  <si>
    <t xml:space="preserve">b = </t>
  </si>
  <si>
    <t xml:space="preserve">a = </t>
  </si>
  <si>
    <t xml:space="preserve">y = </t>
  </si>
  <si>
    <t>Прибыль (x)</t>
  </si>
  <si>
    <t>Инициатива 1</t>
  </si>
  <si>
    <t>Инициатива 2</t>
  </si>
  <si>
    <t>Инициатива 3</t>
  </si>
  <si>
    <t>МатОждидание</t>
  </si>
  <si>
    <t>Квадратичная сумма</t>
  </si>
  <si>
    <t>Стандартное отклонение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</si>
</sst>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9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right" vertical="center" wrapText="1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Прибыль</a:t>
            </a:r>
            <a:r>
              <a:rPr lang="ru-RU" baseline="0"/>
              <a:t> за О\П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val>
            <c:numRef>
              <c:f>Экстраполяция!$B$8:$B$20</c:f>
              <c:numCache>
                <c:formatCode>General</c:formatCode>
                <c:ptCount val="13"/>
                <c:pt idx="0">
                  <c:v>594</c:v>
                </c:pt>
                <c:pt idx="1">
                  <c:v>570</c:v>
                </c:pt>
                <c:pt idx="2">
                  <c:v>535</c:v>
                </c:pt>
                <c:pt idx="3">
                  <c:v>543</c:v>
                </c:pt>
                <c:pt idx="4">
                  <c:v>538</c:v>
                </c:pt>
                <c:pt idx="5">
                  <c:v>509</c:v>
                </c:pt>
                <c:pt idx="6">
                  <c:v>539</c:v>
                </c:pt>
                <c:pt idx="7">
                  <c:v>548</c:v>
                </c:pt>
                <c:pt idx="8">
                  <c:v>530</c:v>
                </c:pt>
                <c:pt idx="9">
                  <c:v>510</c:v>
                </c:pt>
                <c:pt idx="10">
                  <c:v>519</c:v>
                </c:pt>
                <c:pt idx="11">
                  <c:v>538</c:v>
                </c:pt>
                <c:pt idx="12" formatCode="0.00">
                  <c:v>533.17871756394447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7-43C8-959A-5C54C52118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9805199"/>
        <c:axId val="2099802703"/>
      </c:lineChart>
      <c:catAx>
        <c:axId val="2099805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Отчетный</a:t>
                </a:r>
                <a:r>
                  <a:rPr lang="ru-RU" baseline="0"/>
                  <a:t> период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9802703"/>
        <c:crosses val="autoZero"/>
        <c:auto val="1"/>
        <c:lblAlgn val="ctr"/>
        <c:lblOffset val="100"/>
        <c:noMultiLvlLbl val="0"/>
      </c:catAx>
      <c:valAx>
        <c:axId val="2099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Прибыль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980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времени производства продукции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val>
            <c:numRef>
              <c:f>Лин.Рег!$B$7:$B$18</c:f>
              <c:numCache>
                <c:formatCode>General</c:formatCode>
                <c:ptCount val="12"/>
                <c:pt idx="0">
                  <c:v>285</c:v>
                </c:pt>
                <c:pt idx="1">
                  <c:v>298</c:v>
                </c:pt>
                <c:pt idx="2">
                  <c:v>312</c:v>
                </c:pt>
                <c:pt idx="3">
                  <c:v>351</c:v>
                </c:pt>
                <c:pt idx="4">
                  <c:v>382</c:v>
                </c:pt>
                <c:pt idx="5">
                  <c:v>440</c:v>
                </c:pt>
                <c:pt idx="6">
                  <c:v>428</c:v>
                </c:pt>
                <c:pt idx="7">
                  <c:v>1016</c:v>
                </c:pt>
                <c:pt idx="8">
                  <c:v>1091</c:v>
                </c:pt>
                <c:pt idx="9">
                  <c:v>1188</c:v>
                </c:pt>
                <c:pt idx="10">
                  <c:v>1195</c:v>
                </c:pt>
                <c:pt idx="11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BE-4F55-8C33-8E07F66C86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0313871"/>
        <c:axId val="1230314703"/>
      </c:lineChart>
      <c:catAx>
        <c:axId val="123031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</a:t>
                </a:r>
                <a:r>
                  <a:rPr lang="ru-RU" baseline="0"/>
                  <a:t> продукта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0314703"/>
        <c:crosses val="autoZero"/>
        <c:auto val="1"/>
        <c:lblAlgn val="ctr"/>
        <c:lblOffset val="100"/>
        <c:noMultiLvlLbl val="0"/>
      </c:catAx>
      <c:valAx>
        <c:axId val="12303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изготовления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031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5</xdr:row>
      <xdr:rowOff>3175</xdr:rowOff>
    </xdr:from>
    <xdr:to>
      <xdr:col>13</xdr:col>
      <xdr:colOff>333375</xdr:colOff>
      <xdr:row>19</xdr:row>
      <xdr:rowOff>168275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EF622FC-CDA9-4660-A2E6-6AE69D637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333375</xdr:colOff>
      <xdr:row>14</xdr:row>
      <xdr:rowOff>34925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4A61076-15FB-4682-B413-AC4353A8FB5B}"/>
            </a:ext>
          </a:extLst>
        </xdr:cNvPr>
        <xdr:cNvSpPr txBox="1"/>
      </xdr:nvSpPr>
      <xdr:spPr>
        <a:xfrm>
          <a:off x="7445375" y="261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4</xdr:col>
      <xdr:colOff>92074</xdr:colOff>
      <xdr:row>8</xdr:row>
      <xdr:rowOff>117474</xdr:rowOff>
    </xdr:from>
    <xdr:to>
      <xdr:col>11</xdr:col>
      <xdr:colOff>450849</xdr:colOff>
      <xdr:row>24</xdr:row>
      <xdr:rowOff>95249</xdr:rowOff>
    </xdr:to>
    <xdr:graphicFrame macro="">
      <xdr:nvGraphicFramePr>
        <xdr:cNvPr id="46" name="Диаграмма 45">
          <a:extLst>
            <a:ext uri="{FF2B5EF4-FFF2-40B4-BE49-F238E27FC236}">
              <a16:creationId xmlns:a16="http://schemas.microsoft.com/office/drawing/2014/main" id="{7DE9AAE8-9454-4FA5-B03D-8CD789C79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7</xdr:row>
      <xdr:rowOff>76200</xdr:rowOff>
    </xdr:from>
    <xdr:to>
      <xdr:col>10</xdr:col>
      <xdr:colOff>768350</xdr:colOff>
      <xdr:row>12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33D3F4-EBE1-4A30-97F0-F865BAFF814E}"/>
            </a:ext>
          </a:extLst>
        </xdr:cNvPr>
        <xdr:cNvSpPr txBox="1"/>
      </xdr:nvSpPr>
      <xdr:spPr>
        <a:xfrm>
          <a:off x="1066800" y="1365250"/>
          <a:ext cx="3289300" cy="984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Исходя</a:t>
          </a:r>
          <a:r>
            <a:rPr lang="ru-RU" sz="1100" baseline="0"/>
            <a:t> из критериев минимизации рисков оптимальной является инициатива 1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workbookViewId="0">
      <selection activeCell="D1" sqref="D1"/>
    </sheetView>
  </sheetViews>
  <sheetFormatPr defaultRowHeight="14.5" x14ac:dyDescent="0.35"/>
  <cols>
    <col min="1" max="1" width="9.453125" bestFit="1" customWidth="1"/>
    <col min="2" max="2" width="15.26953125" customWidth="1"/>
    <col min="3" max="3" width="20.26953125" bestFit="1" customWidth="1"/>
    <col min="4" max="4" width="24.81640625" bestFit="1" customWidth="1"/>
    <col min="5" max="5" width="29.90625" bestFit="1" customWidth="1"/>
  </cols>
  <sheetData>
    <row r="1" spans="1:5" x14ac:dyDescent="0.35">
      <c r="A1" s="1" t="s">
        <v>10</v>
      </c>
      <c r="B1" s="1">
        <f>MOD(B4,8)</f>
        <v>2</v>
      </c>
    </row>
    <row r="2" spans="1:5" x14ac:dyDescent="0.35">
      <c r="A2" s="1" t="s">
        <v>0</v>
      </c>
      <c r="B2" s="1">
        <v>6</v>
      </c>
    </row>
    <row r="3" spans="1:5" x14ac:dyDescent="0.35">
      <c r="A3" s="1" t="s">
        <v>1</v>
      </c>
      <c r="B3" s="1">
        <v>7</v>
      </c>
    </row>
    <row r="4" spans="1:5" x14ac:dyDescent="0.35">
      <c r="A4" s="1" t="s">
        <v>2</v>
      </c>
      <c r="B4" s="1">
        <f>B2^2+B3^2 - B2*B3 +7</f>
        <v>50</v>
      </c>
    </row>
    <row r="6" spans="1:5" x14ac:dyDescent="0.35">
      <c r="A6" s="13" t="s">
        <v>8</v>
      </c>
      <c r="B6" s="13" t="s">
        <v>9</v>
      </c>
      <c r="C6" s="13" t="s">
        <v>3</v>
      </c>
      <c r="D6" s="13"/>
      <c r="E6" s="1"/>
    </row>
    <row r="7" spans="1:5" x14ac:dyDescent="0.35">
      <c r="A7" s="13"/>
      <c r="B7" s="13"/>
      <c r="C7" s="1" t="s">
        <v>4</v>
      </c>
      <c r="D7" s="1" t="s">
        <v>5</v>
      </c>
      <c r="E7" s="1" t="s">
        <v>6</v>
      </c>
    </row>
    <row r="8" spans="1:5" x14ac:dyDescent="0.35">
      <c r="A8" s="1">
        <v>1</v>
      </c>
      <c r="B8" s="1">
        <f>97+10*$B$4-3</f>
        <v>594</v>
      </c>
      <c r="C8" s="1">
        <v>1</v>
      </c>
      <c r="D8" s="2">
        <v>1</v>
      </c>
      <c r="E8" s="1">
        <f xml:space="preserve"> (C9*C10*C11*C12*C13*C14*C15*C16*C17*C18*C19)^(1/11)</f>
        <v>0.9910385084831681</v>
      </c>
    </row>
    <row r="9" spans="1:5" x14ac:dyDescent="0.35">
      <c r="A9" s="1">
        <v>2</v>
      </c>
      <c r="B9" s="1">
        <f>73+10*$B$4-3</f>
        <v>570</v>
      </c>
      <c r="C9" s="3">
        <f>B9/B8</f>
        <v>0.95959595959595956</v>
      </c>
      <c r="D9" s="4">
        <f>C9*100</f>
        <v>95.959595959595958</v>
      </c>
      <c r="E9" s="1" t="s">
        <v>7</v>
      </c>
    </row>
    <row r="10" spans="1:5" x14ac:dyDescent="0.35">
      <c r="A10" s="1">
        <v>3</v>
      </c>
      <c r="B10" s="1">
        <f>38+10*$B$4-3</f>
        <v>535</v>
      </c>
      <c r="C10" s="3">
        <f t="shared" ref="C10:C20" si="0">B10/B9</f>
        <v>0.93859649122807021</v>
      </c>
      <c r="D10" s="4">
        <f t="shared" ref="D10:D20" si="1">C10*100</f>
        <v>93.859649122807014</v>
      </c>
      <c r="E10" s="4">
        <f>E8*100</f>
        <v>99.10385084831681</v>
      </c>
    </row>
    <row r="11" spans="1:5" x14ac:dyDescent="0.35">
      <c r="A11" s="1">
        <v>4</v>
      </c>
      <c r="B11" s="1">
        <f>46+10*$B$4-3</f>
        <v>543</v>
      </c>
      <c r="C11" s="3">
        <f t="shared" si="0"/>
        <v>1.0149532710280373</v>
      </c>
      <c r="D11" s="4">
        <f t="shared" si="1"/>
        <v>101.49532710280373</v>
      </c>
      <c r="E11" s="1"/>
    </row>
    <row r="12" spans="1:5" x14ac:dyDescent="0.35">
      <c r="A12" s="1">
        <v>5</v>
      </c>
      <c r="B12" s="1">
        <f>41+10*$B$4-3</f>
        <v>538</v>
      </c>
      <c r="C12" s="3">
        <f t="shared" si="0"/>
        <v>0.99079189686924496</v>
      </c>
      <c r="D12" s="4">
        <f t="shared" si="1"/>
        <v>99.079189686924494</v>
      </c>
      <c r="E12" s="1"/>
    </row>
    <row r="13" spans="1:5" x14ac:dyDescent="0.35">
      <c r="A13" s="1">
        <v>6</v>
      </c>
      <c r="B13" s="1">
        <f>12+10*$B$4-3</f>
        <v>509</v>
      </c>
      <c r="C13" s="3">
        <f t="shared" si="0"/>
        <v>0.94609665427509293</v>
      </c>
      <c r="D13" s="4">
        <f t="shared" si="1"/>
        <v>94.609665427509299</v>
      </c>
      <c r="E13" s="1"/>
    </row>
    <row r="14" spans="1:5" x14ac:dyDescent="0.35">
      <c r="A14" s="1">
        <v>7</v>
      </c>
      <c r="B14" s="1">
        <f>42+10*$B$4-3</f>
        <v>539</v>
      </c>
      <c r="C14" s="3">
        <f t="shared" si="0"/>
        <v>1.0589390962671905</v>
      </c>
      <c r="D14" s="4">
        <f t="shared" si="1"/>
        <v>105.89390962671905</v>
      </c>
      <c r="E14" s="1"/>
    </row>
    <row r="15" spans="1:5" x14ac:dyDescent="0.35">
      <c r="A15" s="1">
        <v>8</v>
      </c>
      <c r="B15" s="1">
        <f>51+10*$B$4-3</f>
        <v>548</v>
      </c>
      <c r="C15" s="3">
        <f t="shared" si="0"/>
        <v>1.0166975881261595</v>
      </c>
      <c r="D15" s="4">
        <f t="shared" si="1"/>
        <v>101.66975881261595</v>
      </c>
      <c r="E15" s="1"/>
    </row>
    <row r="16" spans="1:5" x14ac:dyDescent="0.35">
      <c r="A16" s="1">
        <v>9</v>
      </c>
      <c r="B16" s="1">
        <f>33+10*$B$4-3</f>
        <v>530</v>
      </c>
      <c r="C16" s="3">
        <f t="shared" si="0"/>
        <v>0.96715328467153283</v>
      </c>
      <c r="D16" s="4">
        <f t="shared" si="1"/>
        <v>96.715328467153284</v>
      </c>
      <c r="E16" s="1"/>
    </row>
    <row r="17" spans="1:5" x14ac:dyDescent="0.35">
      <c r="A17" s="1">
        <v>10</v>
      </c>
      <c r="B17" s="1">
        <f>13+10*$B$4-3</f>
        <v>510</v>
      </c>
      <c r="C17" s="3">
        <f t="shared" si="0"/>
        <v>0.96226415094339623</v>
      </c>
      <c r="D17" s="4">
        <f t="shared" si="1"/>
        <v>96.226415094339629</v>
      </c>
      <c r="E17" s="1"/>
    </row>
    <row r="18" spans="1:5" x14ac:dyDescent="0.35">
      <c r="A18" s="1">
        <v>11</v>
      </c>
      <c r="B18" s="1">
        <f>22+10*$B$4-3</f>
        <v>519</v>
      </c>
      <c r="C18" s="3">
        <f t="shared" si="0"/>
        <v>1.0176470588235293</v>
      </c>
      <c r="D18" s="4">
        <f t="shared" si="1"/>
        <v>101.76470588235293</v>
      </c>
      <c r="E18" s="1"/>
    </row>
    <row r="19" spans="1:5" x14ac:dyDescent="0.35">
      <c r="A19" s="1">
        <v>12</v>
      </c>
      <c r="B19" s="1">
        <f>41+10*$B$4-3</f>
        <v>538</v>
      </c>
      <c r="C19" s="3">
        <f t="shared" si="0"/>
        <v>1.0366088631984585</v>
      </c>
      <c r="D19" s="4">
        <f t="shared" si="1"/>
        <v>103.66088631984584</v>
      </c>
      <c r="E19" s="1"/>
    </row>
    <row r="20" spans="1:5" x14ac:dyDescent="0.35">
      <c r="A20" s="1">
        <v>13</v>
      </c>
      <c r="B20" s="4">
        <f>B19*E8</f>
        <v>533.17871756394447</v>
      </c>
      <c r="C20" s="3">
        <f t="shared" si="0"/>
        <v>0.99103850848316821</v>
      </c>
      <c r="D20" s="4">
        <f t="shared" si="1"/>
        <v>99.103850848316824</v>
      </c>
      <c r="E20" s="1"/>
    </row>
  </sheetData>
  <mergeCells count="3">
    <mergeCell ref="C6:D6"/>
    <mergeCell ref="A6:A7"/>
    <mergeCell ref="B6:B7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F71A-95C0-49B3-B43C-00516CB7F12D}">
  <sheetPr>
    <pageSetUpPr fitToPage="1"/>
  </sheetPr>
  <dimension ref="A1:F18"/>
  <sheetViews>
    <sheetView workbookViewId="0">
      <selection activeCell="E1" sqref="E1:F8"/>
    </sheetView>
  </sheetViews>
  <sheetFormatPr defaultRowHeight="14.5" x14ac:dyDescent="0.35"/>
  <cols>
    <col min="1" max="1" width="33.7265625" bestFit="1" customWidth="1"/>
    <col min="2" max="2" width="21.36328125" bestFit="1" customWidth="1"/>
    <col min="3" max="3" width="20.54296875" bestFit="1" customWidth="1"/>
    <col min="5" max="5" width="12.54296875" bestFit="1" customWidth="1"/>
  </cols>
  <sheetData>
    <row r="1" spans="1:6" x14ac:dyDescent="0.35">
      <c r="A1" s="1" t="s">
        <v>10</v>
      </c>
      <c r="B1" s="1">
        <f>Экстраполяция!$B$1</f>
        <v>2</v>
      </c>
      <c r="C1" s="1" t="s">
        <v>11</v>
      </c>
      <c r="E1" s="1" t="s">
        <v>16</v>
      </c>
      <c r="F1" s="1">
        <v>12</v>
      </c>
    </row>
    <row r="2" spans="1:6" x14ac:dyDescent="0.35">
      <c r="A2" s="1" t="s">
        <v>0</v>
      </c>
      <c r="B2" s="1">
        <f>Экстраполяция!$B$2</f>
        <v>6</v>
      </c>
      <c r="C2" s="1">
        <f>17+2*$B$4-12</f>
        <v>105</v>
      </c>
      <c r="E2" s="1" t="s">
        <v>17</v>
      </c>
      <c r="F2" s="1">
        <f>SUM(A7:A18)</f>
        <v>1153</v>
      </c>
    </row>
    <row r="3" spans="1:6" x14ac:dyDescent="0.35">
      <c r="A3" s="1" t="s">
        <v>1</v>
      </c>
      <c r="B3" s="1">
        <f>Экстраполяция!$B$3</f>
        <v>7</v>
      </c>
      <c r="E3" s="1" t="s">
        <v>18</v>
      </c>
      <c r="F3" s="1">
        <f>SUM(B7:B18)</f>
        <v>8236</v>
      </c>
    </row>
    <row r="4" spans="1:6" x14ac:dyDescent="0.35">
      <c r="A4" s="1" t="s">
        <v>2</v>
      </c>
      <c r="B4" s="1">
        <f>Экстраполяция!$B$4</f>
        <v>50</v>
      </c>
      <c r="E4" s="1" t="s">
        <v>19</v>
      </c>
      <c r="F4" s="1">
        <f>SUM(C7:C18)</f>
        <v>111037</v>
      </c>
    </row>
    <row r="5" spans="1:6" x14ac:dyDescent="0.35">
      <c r="E5" s="1" t="s">
        <v>20</v>
      </c>
      <c r="F5" s="1">
        <f>SUM(D7:D18)</f>
        <v>811151</v>
      </c>
    </row>
    <row r="6" spans="1:6" x14ac:dyDescent="0.35">
      <c r="A6" s="1" t="s">
        <v>12</v>
      </c>
      <c r="B6" s="1" t="s">
        <v>13</v>
      </c>
      <c r="C6" s="5" t="s">
        <v>14</v>
      </c>
      <c r="D6" s="11" t="s">
        <v>15</v>
      </c>
      <c r="E6" s="1" t="s">
        <v>21</v>
      </c>
      <c r="F6" s="1">
        <f>(F1*F5- F2*F3)/(F1*F4-F2^2)</f>
        <v>78.320922570016478</v>
      </c>
    </row>
    <row r="7" spans="1:6" x14ac:dyDescent="0.35">
      <c r="A7" s="1">
        <f xml:space="preserve"> 1+2*$B$4-12</f>
        <v>89</v>
      </c>
      <c r="B7" s="1">
        <f>35+5*$B$4</f>
        <v>285</v>
      </c>
      <c r="C7" s="1">
        <f>A7^2</f>
        <v>7921</v>
      </c>
      <c r="D7" s="12">
        <f>A7*B7</f>
        <v>25365</v>
      </c>
      <c r="E7" s="1" t="s">
        <v>22</v>
      </c>
      <c r="F7" s="1">
        <f>(F3-F6*F2)/F1</f>
        <v>-6839.0019769357496</v>
      </c>
    </row>
    <row r="8" spans="1:6" x14ac:dyDescent="0.35">
      <c r="A8" s="1">
        <f xml:space="preserve"> 2+2*$B$4-12</f>
        <v>90</v>
      </c>
      <c r="B8" s="1">
        <f>48+5*$B$4</f>
        <v>298</v>
      </c>
      <c r="C8" s="1">
        <f t="shared" ref="C8:C18" si="0">A8^2</f>
        <v>8100</v>
      </c>
      <c r="D8" s="12">
        <f t="shared" ref="D8:D18" si="1">A8*B8</f>
        <v>26820</v>
      </c>
      <c r="E8" s="10" t="s">
        <v>23</v>
      </c>
      <c r="F8" s="10">
        <f>F7+F6*C2</f>
        <v>1384.6948929159807</v>
      </c>
    </row>
    <row r="9" spans="1:6" x14ac:dyDescent="0.35">
      <c r="A9" s="1">
        <f>3+2*$B$4-12</f>
        <v>91</v>
      </c>
      <c r="B9" s="1">
        <f>62+5*$B$4</f>
        <v>312</v>
      </c>
      <c r="C9" s="1">
        <f t="shared" si="0"/>
        <v>8281</v>
      </c>
      <c r="D9" s="1">
        <f t="shared" si="1"/>
        <v>28392</v>
      </c>
    </row>
    <row r="10" spans="1:6" x14ac:dyDescent="0.35">
      <c r="A10" s="1">
        <f xml:space="preserve"> 5+2*$B$4-12</f>
        <v>93</v>
      </c>
      <c r="B10" s="1">
        <f>101+5*$B$4</f>
        <v>351</v>
      </c>
      <c r="C10" s="1">
        <f t="shared" si="0"/>
        <v>8649</v>
      </c>
      <c r="D10" s="1">
        <f t="shared" si="1"/>
        <v>32643</v>
      </c>
    </row>
    <row r="11" spans="1:6" x14ac:dyDescent="0.35">
      <c r="A11" s="1">
        <f xml:space="preserve"> 6+2*$B$4-12</f>
        <v>94</v>
      </c>
      <c r="B11" s="1">
        <f>132+5*$B$4</f>
        <v>382</v>
      </c>
      <c r="C11" s="1">
        <f t="shared" si="0"/>
        <v>8836</v>
      </c>
      <c r="D11" s="1">
        <f t="shared" si="1"/>
        <v>35908</v>
      </c>
    </row>
    <row r="12" spans="1:6" x14ac:dyDescent="0.35">
      <c r="A12" s="1">
        <f xml:space="preserve"> 8+2*$B$4-12</f>
        <v>96</v>
      </c>
      <c r="B12" s="1">
        <f>190+5*$B$4</f>
        <v>440</v>
      </c>
      <c r="C12" s="1">
        <f t="shared" si="0"/>
        <v>9216</v>
      </c>
      <c r="D12" s="1">
        <f t="shared" si="1"/>
        <v>42240</v>
      </c>
    </row>
    <row r="13" spans="1:6" x14ac:dyDescent="0.35">
      <c r="A13" s="1">
        <f xml:space="preserve"> 9+2*$B$4-12</f>
        <v>97</v>
      </c>
      <c r="B13" s="1">
        <f>178+5*$B$4</f>
        <v>428</v>
      </c>
      <c r="C13" s="1">
        <f t="shared" si="0"/>
        <v>9409</v>
      </c>
      <c r="D13" s="1">
        <f t="shared" si="1"/>
        <v>41516</v>
      </c>
    </row>
    <row r="14" spans="1:6" x14ac:dyDescent="0.35">
      <c r="A14" s="1">
        <f xml:space="preserve"> 10+2*$B$4-12</f>
        <v>98</v>
      </c>
      <c r="B14" s="1">
        <f>766+5*$B$4</f>
        <v>1016</v>
      </c>
      <c r="C14" s="1">
        <f t="shared" si="0"/>
        <v>9604</v>
      </c>
      <c r="D14" s="1">
        <f t="shared" si="1"/>
        <v>99568</v>
      </c>
    </row>
    <row r="15" spans="1:6" x14ac:dyDescent="0.35">
      <c r="A15" s="1">
        <f xml:space="preserve"> 11+2*$B$4-12</f>
        <v>99</v>
      </c>
      <c r="B15" s="1">
        <f>841+5*$B$4</f>
        <v>1091</v>
      </c>
      <c r="C15" s="1">
        <f t="shared" si="0"/>
        <v>9801</v>
      </c>
      <c r="D15" s="1">
        <f t="shared" si="1"/>
        <v>108009</v>
      </c>
    </row>
    <row r="16" spans="1:6" x14ac:dyDescent="0.35">
      <c r="A16" s="1">
        <f xml:space="preserve"> 12+2*$B$4-12</f>
        <v>100</v>
      </c>
      <c r="B16" s="1">
        <f>938+5*$B$4</f>
        <v>1188</v>
      </c>
      <c r="C16" s="1">
        <f t="shared" si="0"/>
        <v>10000</v>
      </c>
      <c r="D16" s="1">
        <f t="shared" si="1"/>
        <v>118800</v>
      </c>
    </row>
    <row r="17" spans="1:4" x14ac:dyDescent="0.35">
      <c r="A17" s="1">
        <f xml:space="preserve"> 14+2*$B$4-12</f>
        <v>102</v>
      </c>
      <c r="B17" s="1">
        <f>945+5*$B$4</f>
        <v>1195</v>
      </c>
      <c r="C17" s="1">
        <f t="shared" si="0"/>
        <v>10404</v>
      </c>
      <c r="D17" s="1">
        <f t="shared" si="1"/>
        <v>121890</v>
      </c>
    </row>
    <row r="18" spans="1:4" x14ac:dyDescent="0.35">
      <c r="A18" s="1">
        <f xml:space="preserve"> 16+2*$B$4-12</f>
        <v>104</v>
      </c>
      <c r="B18" s="1">
        <f>1000+5*$B$4</f>
        <v>1250</v>
      </c>
      <c r="C18" s="1">
        <f t="shared" si="0"/>
        <v>10816</v>
      </c>
      <c r="D18" s="1">
        <f t="shared" si="1"/>
        <v>130000</v>
      </c>
    </row>
  </sheetData>
  <pageMargins left="0.7" right="0.7" top="0.75" bottom="0.75" header="0.3" footer="0.3"/>
  <pageSetup paperSize="9" scale="8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EAB4-BFB4-4FD3-A3B9-5686ECB38F5F}">
  <sheetPr>
    <pageSetUpPr fitToPage="1"/>
  </sheetPr>
  <dimension ref="A1:M6"/>
  <sheetViews>
    <sheetView tabSelected="1" workbookViewId="0">
      <selection activeCell="L15" sqref="L15"/>
    </sheetView>
  </sheetViews>
  <sheetFormatPr defaultRowHeight="14.5" x14ac:dyDescent="0.35"/>
  <cols>
    <col min="1" max="1" width="12.90625" bestFit="1" customWidth="1"/>
    <col min="2" max="10" width="4.26953125" bestFit="1" customWidth="1"/>
    <col min="11" max="11" width="14.6328125" bestFit="1" customWidth="1"/>
    <col min="12" max="12" width="19" bestFit="1" customWidth="1"/>
    <col min="13" max="13" width="22.90625" bestFit="1" customWidth="1"/>
  </cols>
  <sheetData>
    <row r="1" spans="1:13" x14ac:dyDescent="0.35">
      <c r="A1" s="1" t="s">
        <v>10</v>
      </c>
      <c r="B1" s="1">
        <f>Экстраполяция!$B$1</f>
        <v>2</v>
      </c>
    </row>
    <row r="3" spans="1:13" x14ac:dyDescent="0.35">
      <c r="A3" s="6" t="s">
        <v>24</v>
      </c>
      <c r="B3" s="7">
        <v>-4</v>
      </c>
      <c r="C3" s="7">
        <v>-3</v>
      </c>
      <c r="D3" s="7">
        <v>-2</v>
      </c>
      <c r="E3" s="7">
        <v>-1</v>
      </c>
      <c r="F3" s="7">
        <v>0</v>
      </c>
      <c r="G3" s="7">
        <v>1</v>
      </c>
      <c r="H3" s="7">
        <v>2</v>
      </c>
      <c r="I3" s="7">
        <v>3</v>
      </c>
      <c r="J3" s="7">
        <v>4</v>
      </c>
      <c r="K3" s="1" t="s">
        <v>28</v>
      </c>
      <c r="L3" s="1" t="s">
        <v>29</v>
      </c>
      <c r="M3" s="1" t="s">
        <v>30</v>
      </c>
    </row>
    <row r="4" spans="1:13" x14ac:dyDescent="0.35">
      <c r="A4" s="8" t="s">
        <v>25</v>
      </c>
      <c r="B4" s="9">
        <v>0.01</v>
      </c>
      <c r="C4" s="9">
        <v>0.02</v>
      </c>
      <c r="D4" s="9">
        <v>0.03</v>
      </c>
      <c r="E4" s="9">
        <v>0.04</v>
      </c>
      <c r="F4" s="9">
        <v>0.05</v>
      </c>
      <c r="G4" s="9">
        <v>0.06</v>
      </c>
      <c r="H4" s="9">
        <v>0.5</v>
      </c>
      <c r="I4" s="9">
        <v>0.19</v>
      </c>
      <c r="J4" s="9">
        <v>0.1</v>
      </c>
      <c r="K4" s="1">
        <f>B4*$B$3+C4*$C$3+D4*$D$3+E4*$E$3+F4*$F$3+G4*$G$3+H4*$H$3+I4*$I$3+J4*$J$3</f>
        <v>1.83</v>
      </c>
      <c r="L4" s="1">
        <f>B4*$B$3^2+C4*$C$3^2+D4*$D$3^2+E4*$E$3^2+F4*$F$3^2+G4*$G$3^2+H4*$H$3^2+I4*$I$3^2+J4*$J$3^2</f>
        <v>5.8699999999999992</v>
      </c>
      <c r="M4" s="10">
        <f>(L4-K4^2)^(1/2)</f>
        <v>1.5877972162716494</v>
      </c>
    </row>
    <row r="5" spans="1:13" x14ac:dyDescent="0.35">
      <c r="A5" s="8" t="s">
        <v>26</v>
      </c>
      <c r="B5" s="9">
        <v>0.1</v>
      </c>
      <c r="C5" s="9">
        <v>0.15</v>
      </c>
      <c r="D5" s="9">
        <v>0.1</v>
      </c>
      <c r="E5" s="9">
        <v>0.1</v>
      </c>
      <c r="F5" s="9">
        <v>0.05</v>
      </c>
      <c r="G5" s="9">
        <v>0.05</v>
      </c>
      <c r="H5" s="9">
        <v>0.25</v>
      </c>
      <c r="I5" s="9">
        <v>0.1</v>
      </c>
      <c r="J5" s="9">
        <v>0.1</v>
      </c>
      <c r="K5" s="1">
        <f>B5*$B$3+C5*$C$3+D5*$D$3+E5*$E$3+F5*$F$3+G5*$G$3+H5*$H$3+I5*$I$3+J5*$J$3</f>
        <v>9.9999999999999978E-2</v>
      </c>
      <c r="L5" s="1">
        <f>B5*$B$3^2+C5*$C$3^2+D5*$D$3^2+E5*$E$3^2+F5*$F$3^2+G5*$G$3^2+H5*$H$3^2+I5*$I$3^2+J5*$J$3^2</f>
        <v>7</v>
      </c>
      <c r="M5" s="1">
        <f>(L5-K5^2)^(1/2)</f>
        <v>2.6438608132804573</v>
      </c>
    </row>
    <row r="6" spans="1:13" x14ac:dyDescent="0.35">
      <c r="A6" s="8" t="s">
        <v>27</v>
      </c>
      <c r="B6" s="9">
        <v>0.05</v>
      </c>
      <c r="C6" s="9">
        <v>0.33</v>
      </c>
      <c r="D6" s="9">
        <v>0.21</v>
      </c>
      <c r="E6" s="9">
        <v>0.04</v>
      </c>
      <c r="F6" s="9">
        <v>0.1</v>
      </c>
      <c r="G6" s="9">
        <v>0.09</v>
      </c>
      <c r="H6" s="9">
        <v>0.02</v>
      </c>
      <c r="I6" s="9">
        <v>0.05</v>
      </c>
      <c r="J6" s="9">
        <v>0.11</v>
      </c>
      <c r="K6" s="1">
        <f>B6*$B$3+C6*$C$3+D6*$D$3+E6*$E$3+F6*$F$3+G6*$G$3+H6*$H$3+I6*$I$3+J6*$J$3</f>
        <v>-0.92999999999999972</v>
      </c>
      <c r="L6" s="1">
        <f>B6*$B$3^2+C6*$C$3^2+D6*$D$3^2+E6*$E$3^2+F6*$F$3^2+G6*$G$3^2+H6*$H$3^2+I6*$I$3^2+J6*$J$3^2</f>
        <v>7.03</v>
      </c>
      <c r="M6" s="1">
        <f>(L6-K6^2)^(1/2)</f>
        <v>2.4829619409084791</v>
      </c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Экстраполяция</vt:lpstr>
      <vt:lpstr>Лин.Рег</vt:lpstr>
      <vt:lpstr>Оценка рисков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H4RD</dc:creator>
  <cp:lastModifiedBy>H4RD</cp:lastModifiedBy>
  <cp:lastPrinted>2026-03-16T17:05:59Z</cp:lastPrinted>
  <dcterms:created xsi:type="dcterms:W3CDTF">2015-06-05T18:19:34Z</dcterms:created>
  <dcterms:modified xsi:type="dcterms:W3CDTF">2026-03-16T17:06:14Z</dcterms:modified>
</cp:coreProperties>
</file>