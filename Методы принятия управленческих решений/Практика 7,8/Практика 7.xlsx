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University\Методы принятия управленческих решений\Пратика 7,8\"/>
    </mc:Choice>
  </mc:AlternateContent>
  <xr:revisionPtr revIDLastSave="0" documentId="13_ncr:1_{C7C9115A-A5D6-4604-82C3-2E030F2F9CE0}" xr6:coauthVersionLast="47" xr6:coauthVersionMax="47" xr10:uidLastSave="{00000000-0000-0000-0000-000000000000}"/>
  <bookViews>
    <workbookView xWindow="-110" yWindow="-110" windowWidth="25820" windowHeight="13900" activeTab="3" xr2:uid="{00000000-000D-0000-FFFF-FFFF00000000}"/>
  </bookViews>
  <sheets>
    <sheet name="Задание 1" sheetId="1" r:id="rId1"/>
    <sheet name="Задание 2" sheetId="2" r:id="rId2"/>
    <sheet name="Задание 3" sheetId="3" r:id="rId3"/>
    <sheet name="Задание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" i="4" l="1"/>
  <c r="I39" i="4"/>
  <c r="I37" i="4"/>
  <c r="H37" i="4"/>
  <c r="H39" i="4"/>
  <c r="C39" i="4"/>
  <c r="D39" i="4"/>
  <c r="E39" i="4"/>
  <c r="F39" i="4"/>
  <c r="G39" i="4"/>
  <c r="B39" i="4"/>
  <c r="C38" i="4"/>
  <c r="D38" i="4"/>
  <c r="E38" i="4"/>
  <c r="F38" i="4"/>
  <c r="G38" i="4"/>
  <c r="H38" i="4"/>
  <c r="B38" i="4"/>
  <c r="C37" i="4"/>
  <c r="D37" i="4"/>
  <c r="E37" i="4"/>
  <c r="F37" i="4"/>
  <c r="G37" i="4"/>
  <c r="B37" i="4"/>
  <c r="N34" i="4"/>
  <c r="O34" i="4"/>
  <c r="P34" i="4"/>
  <c r="Q34" i="4"/>
  <c r="M34" i="4"/>
  <c r="L34" i="4"/>
  <c r="K34" i="4"/>
  <c r="AB36" i="4"/>
  <c r="AB35" i="4"/>
  <c r="AB34" i="4"/>
  <c r="AA37" i="4"/>
  <c r="AA38" i="4" s="1"/>
  <c r="Z37" i="4"/>
  <c r="Z38" i="4" s="1"/>
  <c r="Y37" i="4"/>
  <c r="Y38" i="4" s="1"/>
  <c r="Y39" i="4" s="1"/>
  <c r="Y40" i="4" s="1"/>
  <c r="Y41" i="4" s="1"/>
  <c r="AB26" i="4"/>
  <c r="AB25" i="4"/>
  <c r="AB24" i="4"/>
  <c r="AB27" i="4"/>
  <c r="AC27" i="4" s="1"/>
  <c r="AA27" i="4"/>
  <c r="AA28" i="4" s="1"/>
  <c r="Z27" i="4"/>
  <c r="Z28" i="4" s="1"/>
  <c r="Y27" i="4"/>
  <c r="Y28" i="4" s="1"/>
  <c r="Y29" i="4" s="1"/>
  <c r="Y30" i="4" s="1"/>
  <c r="Y31" i="4" s="1"/>
  <c r="AB16" i="4"/>
  <c r="AB15" i="4"/>
  <c r="AB14" i="4"/>
  <c r="AA17" i="4"/>
  <c r="Z17" i="4"/>
  <c r="Z18" i="4" s="1"/>
  <c r="Y17" i="4"/>
  <c r="Z7" i="4"/>
  <c r="Y7" i="4"/>
  <c r="AB6" i="4"/>
  <c r="AB5" i="4"/>
  <c r="AB4" i="4"/>
  <c r="AA7" i="4"/>
  <c r="AA8" i="4" s="1"/>
  <c r="S27" i="4"/>
  <c r="U26" i="4"/>
  <c r="U25" i="4"/>
  <c r="U24" i="4"/>
  <c r="U27" i="4" s="1"/>
  <c r="V27" i="4" s="1"/>
  <c r="T27" i="4"/>
  <c r="T28" i="4" s="1"/>
  <c r="R27" i="4"/>
  <c r="R28" i="4" s="1"/>
  <c r="R17" i="4"/>
  <c r="U14" i="4"/>
  <c r="U16" i="4"/>
  <c r="U15" i="4"/>
  <c r="T17" i="4"/>
  <c r="T18" i="4" s="1"/>
  <c r="S17" i="4"/>
  <c r="S18" i="4" s="1"/>
  <c r="U5" i="4"/>
  <c r="U6" i="4"/>
  <c r="U4" i="4"/>
  <c r="S7" i="4"/>
  <c r="S8" i="4" s="1"/>
  <c r="T7" i="4"/>
  <c r="T8" i="4" s="1"/>
  <c r="R7" i="4"/>
  <c r="R8" i="4" s="1"/>
  <c r="R9" i="4" s="1"/>
  <c r="R10" i="4" s="1"/>
  <c r="R11" i="4" s="1"/>
  <c r="C24" i="4"/>
  <c r="D24" i="4"/>
  <c r="E24" i="4"/>
  <c r="G24" i="4"/>
  <c r="H24" i="4"/>
  <c r="B24" i="4"/>
  <c r="I19" i="4"/>
  <c r="I18" i="4"/>
  <c r="I20" i="4"/>
  <c r="I21" i="4"/>
  <c r="I22" i="4"/>
  <c r="I23" i="4"/>
  <c r="F17" i="4"/>
  <c r="F24" i="4" s="1"/>
  <c r="D23" i="3"/>
  <c r="C19" i="1"/>
  <c r="C20" i="1"/>
  <c r="C21" i="1"/>
  <c r="C22" i="1"/>
  <c r="C23" i="1"/>
  <c r="C18" i="1"/>
  <c r="B19" i="1"/>
  <c r="B20" i="1"/>
  <c r="B21" i="1"/>
  <c r="B22" i="1"/>
  <c r="B23" i="1"/>
  <c r="B18" i="1"/>
  <c r="M15" i="1"/>
  <c r="M16" i="1"/>
  <c r="M17" i="1"/>
  <c r="M18" i="1"/>
  <c r="M14" i="1"/>
  <c r="M4" i="1"/>
  <c r="M5" i="1"/>
  <c r="M6" i="1"/>
  <c r="M7" i="1"/>
  <c r="M3" i="1"/>
  <c r="M8" i="1"/>
  <c r="M19" i="1"/>
  <c r="K18" i="1"/>
  <c r="H3" i="1"/>
  <c r="J8" i="1"/>
  <c r="D10" i="1"/>
  <c r="J16" i="1" s="1"/>
  <c r="D13" i="1"/>
  <c r="J19" i="1" s="1"/>
  <c r="D12" i="1"/>
  <c r="J18" i="1" s="1"/>
  <c r="D11" i="1"/>
  <c r="J17" i="1" s="1"/>
  <c r="D9" i="1"/>
  <c r="J15" i="1" s="1"/>
  <c r="D8" i="1"/>
  <c r="J14" i="1" s="1"/>
  <c r="C13" i="1"/>
  <c r="C12" i="1"/>
  <c r="J7" i="1" s="1"/>
  <c r="C11" i="1"/>
  <c r="J6" i="1" s="1"/>
  <c r="B4" i="1"/>
  <c r="C10" i="1" s="1"/>
  <c r="J5" i="1" s="1"/>
  <c r="B3" i="1"/>
  <c r="I17" i="4" l="1"/>
  <c r="R18" i="4"/>
  <c r="R19" i="4" s="1"/>
  <c r="R20" i="4" s="1"/>
  <c r="R21" i="4" s="1"/>
  <c r="V26" i="4"/>
  <c r="U7" i="4"/>
  <c r="Z8" i="4"/>
  <c r="AB17" i="4"/>
  <c r="AC17" i="4" s="1"/>
  <c r="U17" i="4"/>
  <c r="V15" i="4" s="1"/>
  <c r="V25" i="4"/>
  <c r="Y8" i="4"/>
  <c r="Y9" i="4" s="1"/>
  <c r="Y10" i="4" s="1"/>
  <c r="Y11" i="4" s="1"/>
  <c r="Y18" i="4"/>
  <c r="Y19" i="4" s="1"/>
  <c r="Y20" i="4" s="1"/>
  <c r="Y21" i="4" s="1"/>
  <c r="AC26" i="4"/>
  <c r="AC24" i="4"/>
  <c r="AC25" i="4"/>
  <c r="S28" i="4"/>
  <c r="V24" i="4"/>
  <c r="AA18" i="4"/>
  <c r="AB37" i="4"/>
  <c r="AC37" i="4" s="1"/>
  <c r="AB7" i="4"/>
  <c r="AC7" i="4" s="1"/>
  <c r="R29" i="4"/>
  <c r="R30" i="4" s="1"/>
  <c r="R31" i="4" s="1"/>
  <c r="M9" i="1"/>
  <c r="E1" i="1"/>
  <c r="B13" i="1"/>
  <c r="B10" i="1"/>
  <c r="B12" i="1"/>
  <c r="C9" i="1"/>
  <c r="J4" i="1" s="1"/>
  <c r="C8" i="1"/>
  <c r="J3" i="1" s="1"/>
  <c r="B8" i="1"/>
  <c r="B11" i="1"/>
  <c r="E2" i="1"/>
  <c r="B9" i="1"/>
  <c r="I24" i="4" l="1"/>
  <c r="J17" i="4"/>
  <c r="AC15" i="4"/>
  <c r="V5" i="4"/>
  <c r="V6" i="4"/>
  <c r="AC16" i="4"/>
  <c r="V16" i="4"/>
  <c r="AC14" i="4"/>
  <c r="V14" i="4"/>
  <c r="V17" i="4"/>
  <c r="V4" i="4"/>
  <c r="V7" i="4" s="1"/>
  <c r="AC6" i="4"/>
  <c r="AC4" i="4"/>
  <c r="AC5" i="4"/>
  <c r="AC36" i="4"/>
  <c r="AC35" i="4"/>
  <c r="AC34" i="4"/>
  <c r="H4" i="1"/>
  <c r="H15" i="1"/>
  <c r="I19" i="1"/>
  <c r="K19" i="1" s="1"/>
  <c r="L19" i="1" s="1"/>
  <c r="I14" i="1"/>
  <c r="K14" i="1" s="1"/>
  <c r="I16" i="1"/>
  <c r="K16" i="1" s="1"/>
  <c r="I15" i="1"/>
  <c r="K15" i="1" s="1"/>
  <c r="L15" i="1" s="1"/>
  <c r="I17" i="1"/>
  <c r="K17" i="1" s="1"/>
  <c r="I18" i="1"/>
  <c r="H6" i="1"/>
  <c r="H17" i="1"/>
  <c r="H14" i="1"/>
  <c r="H5" i="1"/>
  <c r="H16" i="1"/>
  <c r="I4" i="1"/>
  <c r="K4" i="1" s="1"/>
  <c r="L4" i="1" s="1"/>
  <c r="I7" i="1"/>
  <c r="K7" i="1" s="1"/>
  <c r="I8" i="1"/>
  <c r="K8" i="1" s="1"/>
  <c r="L8" i="1" s="1"/>
  <c r="I5" i="1"/>
  <c r="K5" i="1" s="1"/>
  <c r="L5" i="1" s="1"/>
  <c r="I6" i="1"/>
  <c r="K6" i="1" s="1"/>
  <c r="L6" i="1" s="1"/>
  <c r="I3" i="1"/>
  <c r="K3" i="1"/>
  <c r="L3" i="1" s="1"/>
  <c r="H18" i="1"/>
  <c r="H7" i="1"/>
  <c r="H8" i="1"/>
  <c r="H19" i="1"/>
  <c r="B25" i="4" l="1"/>
  <c r="J24" i="4"/>
  <c r="J23" i="4"/>
  <c r="H25" i="4" s="1"/>
  <c r="J22" i="4"/>
  <c r="J21" i="4"/>
  <c r="J20" i="4"/>
  <c r="J18" i="4"/>
  <c r="J19" i="4"/>
  <c r="L17" i="1"/>
  <c r="L7" i="1"/>
  <c r="L16" i="1"/>
  <c r="L18" i="1"/>
  <c r="L14" i="1"/>
  <c r="G25" i="4" l="1"/>
  <c r="D25" i="4"/>
  <c r="C25" i="4"/>
  <c r="E25" i="4"/>
  <c r="F25" i="4"/>
  <c r="B26" i="4"/>
  <c r="B27" i="4" s="1"/>
  <c r="B28" i="4" s="1"/>
  <c r="M20" i="1"/>
</calcChain>
</file>

<file path=xl/sharedStrings.xml><?xml version="1.0" encoding="utf-8"?>
<sst xmlns="http://schemas.openxmlformats.org/spreadsheetml/2006/main" count="368" uniqueCount="126">
  <si>
    <t xml:space="preserve">m = </t>
  </si>
  <si>
    <t xml:space="preserve">n = </t>
  </si>
  <si>
    <t>Варинт</t>
  </si>
  <si>
    <t>XX</t>
  </si>
  <si>
    <t>Переменные</t>
  </si>
  <si>
    <t>Новые значения</t>
  </si>
  <si>
    <t>IRR_A</t>
  </si>
  <si>
    <t>IRR_B</t>
  </si>
  <si>
    <t>Изменение переменной,%</t>
  </si>
  <si>
    <t>Постоянные издержки</t>
  </si>
  <si>
    <t>Ликвидационная стоимость</t>
  </si>
  <si>
    <t>Пременные издержки</t>
  </si>
  <si>
    <t>Объем реализации</t>
  </si>
  <si>
    <t>Цена реализации</t>
  </si>
  <si>
    <t>Ставка</t>
  </si>
  <si>
    <t xml:space="preserve">Переменная </t>
  </si>
  <si>
    <t xml:space="preserve"> Δx% </t>
  </si>
  <si>
    <t xml:space="preserve"> Исходное IRR_A </t>
  </si>
  <si>
    <t xml:space="preserve"> Новое IRR_A </t>
  </si>
  <si>
    <t xml:space="preserve"> Δy% </t>
  </si>
  <si>
    <t xml:space="preserve"> E_IRR_A </t>
  </si>
  <si>
    <t xml:space="preserve"> S_IRR_A</t>
  </si>
  <si>
    <t>Для IRR_A</t>
  </si>
  <si>
    <t>Для IRR_B</t>
  </si>
  <si>
    <t xml:space="preserve"> Исходное IRR_B</t>
  </si>
  <si>
    <t xml:space="preserve"> Новое IRR_B</t>
  </si>
  <si>
    <t>ИТОГО</t>
  </si>
  <si>
    <t>Таблица для графика</t>
  </si>
  <si>
    <t xml:space="preserve"> E_IRR_B</t>
  </si>
  <si>
    <t xml:space="preserve"> S_IRR_B</t>
  </si>
  <si>
    <t>Модель</t>
  </si>
  <si>
    <t>Автономность, часов</t>
  </si>
  <si>
    <t>Б/р балл X1</t>
  </si>
  <si>
    <t>Вес, кг</t>
  </si>
  <si>
    <t>Б/р балл X2</t>
  </si>
  <si>
    <t>Б/р балл X3</t>
  </si>
  <si>
    <t>Процессор/частота, ГГц</t>
  </si>
  <si>
    <t>Б/р балл X4</t>
  </si>
  <si>
    <t>Диагональ, дюймы</t>
  </si>
  <si>
    <t>Б/р балл X5</t>
  </si>
  <si>
    <t>Модель 1</t>
  </si>
  <si>
    <t>Модель 2</t>
  </si>
  <si>
    <t>Модель 3</t>
  </si>
  <si>
    <t>Модель 4</t>
  </si>
  <si>
    <t>Модель 5</t>
  </si>
  <si>
    <t>Исходные характеристики</t>
  </si>
  <si>
    <t>Критерий</t>
  </si>
  <si>
    <t>X1 Автономность</t>
  </si>
  <si>
    <t>X2 Вес</t>
  </si>
  <si>
    <t>X3 Цена</t>
  </si>
  <si>
    <t>X4 Производительность</t>
  </si>
  <si>
    <t>X5 Диагональ экрана</t>
  </si>
  <si>
    <t>Сумма баллов</t>
  </si>
  <si>
    <t>Место (меньше лучше)</t>
  </si>
  <si>
    <t>Оценка без весов</t>
  </si>
  <si>
    <t>Сравнения эксепртов</t>
  </si>
  <si>
    <t>Эксперт 1</t>
  </si>
  <si>
    <t>Σγ</t>
  </si>
  <si>
    <t>Вес Kв</t>
  </si>
  <si>
    <t>Эксперт 2</t>
  </si>
  <si>
    <t>Эксперт 3</t>
  </si>
  <si>
    <t>Эксперт 4</t>
  </si>
  <si>
    <t>Эксперт 5</t>
  </si>
  <si>
    <t>Эксперт 6</t>
  </si>
  <si>
    <t>Средниие весовые коэф</t>
  </si>
  <si>
    <t>Средний вес Kв</t>
  </si>
  <si>
    <t>Сумма</t>
  </si>
  <si>
    <t>Итоговая оценка</t>
  </si>
  <si>
    <t>Kв</t>
  </si>
  <si>
    <t>Модель 1 P</t>
  </si>
  <si>
    <t>Модель 1 P*Kв</t>
  </si>
  <si>
    <t>Модель 2 P</t>
  </si>
  <si>
    <t>Модель 2 P*Kв</t>
  </si>
  <si>
    <t>Модель 3 P</t>
  </si>
  <si>
    <t>Модель 3 P*Kв</t>
  </si>
  <si>
    <t>Модель 4 P</t>
  </si>
  <si>
    <t>Модель 4 P*Kв</t>
  </si>
  <si>
    <t>Модель 5 P</t>
  </si>
  <si>
    <t>Модель 5 P*Kв</t>
  </si>
  <si>
    <t>Принцип оценки</t>
  </si>
  <si>
    <t>1 - лучший</t>
  </si>
  <si>
    <t>10- худший</t>
  </si>
  <si>
    <t>Цена, руб,</t>
  </si>
  <si>
    <t>03,02,2026</t>
  </si>
  <si>
    <t>02,06,2026</t>
  </si>
  <si>
    <t>03,04,2026</t>
  </si>
  <si>
    <t>02,09,2026</t>
  </si>
  <si>
    <t xml:space="preserve">Итоговая оценка </t>
  </si>
  <si>
    <t>В качестве сегмента выбрана отрасль беспилотных авиационных систем</t>
  </si>
  <si>
    <t>Обозначение</t>
  </si>
  <si>
    <t>Продукт</t>
  </si>
  <si>
    <t>Продукт №1</t>
  </si>
  <si>
    <t>Агродрон-мультикоптер для обработки сельскохозяйственных угодий</t>
  </si>
  <si>
    <t>Продукт №2</t>
  </si>
  <si>
    <t>Беспилотник самолётного типа для мониторинга инфраструктуры, ЛЭП, трубопроводов и картографии</t>
  </si>
  <si>
    <t>Продукт №3</t>
  </si>
  <si>
    <t>Модульная образовательная БАС-платформа для вузов, колледжей и центров подготовки операторов</t>
  </si>
  <si>
    <t>Иерархия</t>
  </si>
  <si>
    <t>Матрица попарных сравнения критериев</t>
  </si>
  <si>
    <t>К1 Время</t>
  </si>
  <si>
    <t>К2 Финансы</t>
  </si>
  <si>
    <t>К3 Констр. готовность</t>
  </si>
  <si>
    <t>К4 Структура</t>
  </si>
  <si>
    <t>К5 Технология</t>
  </si>
  <si>
    <t>К6 Риск</t>
  </si>
  <si>
    <t>К7 Успех</t>
  </si>
  <si>
    <t>Ср.геометр</t>
  </si>
  <si>
    <t>Вектор приоритетов</t>
  </si>
  <si>
    <t>Сумма(Si)</t>
  </si>
  <si>
    <t>Pi</t>
  </si>
  <si>
    <t>Лямбда_макс</t>
  </si>
  <si>
    <t>ИС</t>
  </si>
  <si>
    <t>ОС</t>
  </si>
  <si>
    <t>Матрицы попарных сравнения для уровня 3</t>
  </si>
  <si>
    <t>П1</t>
  </si>
  <si>
    <t>П2</t>
  </si>
  <si>
    <t>П3</t>
  </si>
  <si>
    <t>К3 Конструкторская готовность</t>
  </si>
  <si>
    <t>Матрица локальных приоритетов</t>
  </si>
  <si>
    <t>К3 Констр.</t>
  </si>
  <si>
    <t>П1 Агродрон</t>
  </si>
  <si>
    <t>П2 Инфраструктурный БАС</t>
  </si>
  <si>
    <t>П3 Образовательная платформа</t>
  </si>
  <si>
    <t>Матрица глобальных приоритетов</t>
  </si>
  <si>
    <t>Веса</t>
  </si>
  <si>
    <t>Проект победитель -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</si>
</sst>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000"/>
    <numFmt numFmtId="169" formatCode="0.000"/>
    <numFmt numFmtId="171" formatCode="#,##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Fill="1" applyBorder="1" applyAlignment="1">
      <alignment horizontal="left"/>
    </xf>
    <xf numFmtId="0" fontId="0" fillId="0" borderId="1" xfId="0" applyFill="1" applyBorder="1"/>
    <xf numFmtId="16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/>
    <xf numFmtId="17" fontId="0" fillId="0" borderId="1" xfId="0" applyNumberFormat="1" applyBorder="1"/>
    <xf numFmtId="2" fontId="0" fillId="0" borderId="1" xfId="0" applyNumberFormat="1" applyBorder="1"/>
    <xf numFmtId="168" fontId="0" fillId="0" borderId="1" xfId="0" applyNumberFormat="1" applyBorder="1"/>
    <xf numFmtId="0" fontId="0" fillId="0" borderId="0" xfId="0" applyBorder="1" applyAlignment="1"/>
    <xf numFmtId="10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2" fontId="0" fillId="0" borderId="1" xfId="0" applyNumberForma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right" vertical="center" wrapText="1"/>
    </xf>
    <xf numFmtId="0" fontId="0" fillId="0" borderId="0" xfId="0" applyBorder="1"/>
    <xf numFmtId="169" fontId="0" fillId="0" borderId="1" xfId="0" applyNumberFormat="1" applyBorder="1"/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2" fontId="3" fillId="0" borderId="1" xfId="0" applyNumberFormat="1" applyFont="1" applyFill="1" applyBorder="1" applyAlignment="1">
      <alignment vertical="center" wrapText="1"/>
    </xf>
    <xf numFmtId="169" fontId="0" fillId="0" borderId="0" xfId="0" applyNumberFormat="1" applyBorder="1"/>
    <xf numFmtId="0" fontId="2" fillId="0" borderId="1" xfId="0" applyFont="1" applyFill="1" applyBorder="1" applyAlignment="1">
      <alignment vertical="center" wrapText="1"/>
    </xf>
    <xf numFmtId="169" fontId="2" fillId="0" borderId="4" xfId="0" applyNumberFormat="1" applyFont="1" applyFill="1" applyBorder="1" applyAlignment="1">
      <alignment horizontal="center" vertical="center" wrapText="1"/>
    </xf>
    <xf numFmtId="169" fontId="2" fillId="0" borderId="5" xfId="0" applyNumberFormat="1" applyFont="1" applyFill="1" applyBorder="1" applyAlignment="1">
      <alignment horizontal="center" vertical="center" wrapText="1"/>
    </xf>
    <xf numFmtId="169" fontId="2" fillId="0" borderId="3" xfId="0" applyNumberFormat="1" applyFont="1" applyFill="1" applyBorder="1" applyAlignment="1">
      <alignment horizontal="center" vertical="center" wrapText="1"/>
    </xf>
    <xf numFmtId="169" fontId="0" fillId="0" borderId="4" xfId="0" applyNumberFormat="1" applyBorder="1" applyAlignment="1">
      <alignment horizontal="center"/>
    </xf>
    <xf numFmtId="169" fontId="0" fillId="0" borderId="5" xfId="0" applyNumberFormat="1" applyBorder="1" applyAlignment="1">
      <alignment horizontal="center"/>
    </xf>
    <xf numFmtId="169" fontId="0" fillId="0" borderId="3" xfId="0" applyNumberFormat="1" applyBorder="1" applyAlignment="1">
      <alignment horizontal="center"/>
    </xf>
    <xf numFmtId="0" fontId="3" fillId="0" borderId="4" xfId="0" applyFont="1" applyFill="1" applyBorder="1" applyAlignment="1">
      <alignment horizontal="right" vertical="center" wrapText="1"/>
    </xf>
    <xf numFmtId="171" fontId="0" fillId="0" borderId="1" xfId="0" applyNumberFormat="1" applyBorder="1" applyAlignment="1">
      <alignment horizontal="right" vertical="center" wrapText="1"/>
    </xf>
    <xf numFmtId="171" fontId="0" fillId="0" borderId="1" xfId="0" applyNumberFormat="1" applyBorder="1"/>
    <xf numFmtId="171" fontId="0" fillId="0" borderId="6" xfId="0" applyNumberFormat="1" applyBorder="1"/>
    <xf numFmtId="17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right" vertical="center" wrapText="1"/>
    </xf>
    <xf numFmtId="0" fontId="0" fillId="0" borderId="0" xfId="0" applyFill="1" applyBorder="1" applyAlignment="1">
      <alignment vertical="center" wrapText="1"/>
    </xf>
    <xf numFmtId="0" fontId="0" fillId="0" borderId="2" xfId="0" applyBorder="1" applyAlignment="1">
      <alignment horizontal="left"/>
    </xf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horizontal="left"/>
    </xf>
    <xf numFmtId="169" fontId="0" fillId="2" borderId="1" xfId="0" applyNumberFormat="1" applyFill="1" applyBorder="1"/>
  </cellXfs>
  <cellStyles count="1">
    <cellStyle name="Обычный" xfId="0" builtinId="0"/>
  </cellStyles>
  <dxfs count="2"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Сравнение чувствительности </a:t>
            </a:r>
            <a:r>
              <a:rPr lang="en-US" sz="1400" b="0" i="0" u="none" strike="noStrike" baseline="0"/>
              <a:t>IRR_A </a:t>
            </a:r>
            <a:r>
              <a:rPr lang="ru-RU" sz="1400" b="0" i="0" u="none" strike="noStrike" baseline="0"/>
              <a:t>и </a:t>
            </a:r>
            <a:r>
              <a:rPr lang="en-US" sz="1400" b="0" i="0" u="none" strike="noStrike" baseline="0"/>
              <a:t>IRR_B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'Задание 1'!$B$17</c:f>
              <c:strCache>
                <c:ptCount val="1"/>
                <c:pt idx="0">
                  <c:v> E_IRR_A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'Задание 1'!$A$18:$A$23</c:f>
              <c:strCache>
                <c:ptCount val="6"/>
                <c:pt idx="0">
                  <c:v>Ставка</c:v>
                </c:pt>
                <c:pt idx="1">
                  <c:v>Постоянные издержки</c:v>
                </c:pt>
                <c:pt idx="2">
                  <c:v>Ликвидационная стоимость</c:v>
                </c:pt>
                <c:pt idx="3">
                  <c:v>Пременные издержки</c:v>
                </c:pt>
                <c:pt idx="4">
                  <c:v>Объем реализации</c:v>
                </c:pt>
                <c:pt idx="5">
                  <c:v>Цена реализации</c:v>
                </c:pt>
              </c:strCache>
            </c:strRef>
          </c:cat>
          <c:val>
            <c:numRef>
              <c:f>'Задание 1'!$B$18:$B$23</c:f>
              <c:numCache>
                <c:formatCode>General</c:formatCode>
                <c:ptCount val="6"/>
                <c:pt idx="0">
                  <c:v>6.6666666666666666E-2</c:v>
                </c:pt>
                <c:pt idx="1">
                  <c:v>0.38709677419354838</c:v>
                </c:pt>
                <c:pt idx="2">
                  <c:v>0.20689655172413793</c:v>
                </c:pt>
                <c:pt idx="3">
                  <c:v>0.73333333333333328</c:v>
                </c:pt>
                <c:pt idx="4">
                  <c:v>0.32258064516129031</c:v>
                </c:pt>
                <c:pt idx="5">
                  <c:v>0.27586206896551724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8-475A-846C-41C43FF2027C}"/>
            </c:ext>
          </c:extLst>
        </c:ser>
        <c:ser>
          <c:idx val="1"/>
          <c:order val="1"/>
          <c:tx>
            <c:strRef>
              <c:f>'Задание 1'!$C$17</c:f>
              <c:strCache>
                <c:ptCount val="1"/>
                <c:pt idx="0">
                  <c:v> E_IRR_B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'Задание 1'!$A$18:$A$23</c:f>
              <c:strCache>
                <c:ptCount val="6"/>
                <c:pt idx="0">
                  <c:v>Ставка</c:v>
                </c:pt>
                <c:pt idx="1">
                  <c:v>Постоянные издержки</c:v>
                </c:pt>
                <c:pt idx="2">
                  <c:v>Ликвидационная стоимость</c:v>
                </c:pt>
                <c:pt idx="3">
                  <c:v>Пременные издержки</c:v>
                </c:pt>
                <c:pt idx="4">
                  <c:v>Объем реализации</c:v>
                </c:pt>
                <c:pt idx="5">
                  <c:v>Цена реализации</c:v>
                </c:pt>
              </c:strCache>
            </c:strRef>
          </c:cat>
          <c:val>
            <c:numRef>
              <c:f>'Задание 1'!$C$18:$C$23</c:f>
              <c:numCache>
                <c:formatCode>General</c:formatCode>
                <c:ptCount val="6"/>
                <c:pt idx="0">
                  <c:v>0.1818181818181818</c:v>
                </c:pt>
                <c:pt idx="1">
                  <c:v>0.2932551319648094</c:v>
                </c:pt>
                <c:pt idx="2">
                  <c:v>6.2695924764890276E-2</c:v>
                </c:pt>
                <c:pt idx="3">
                  <c:v>0.30303030303030304</c:v>
                </c:pt>
                <c:pt idx="4">
                  <c:v>0.52785923753665687</c:v>
                </c:pt>
                <c:pt idx="5">
                  <c:v>0.75235109717868331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D8-475A-846C-41C43FF20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939775"/>
        <c:axId val="1795942687"/>
      </c:radarChart>
      <c:catAx>
        <c:axId val="179593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5942687"/>
        <c:crosses val="autoZero"/>
        <c:auto val="1"/>
        <c:lblAlgn val="ctr"/>
        <c:lblOffset val="100"/>
        <c:noMultiLvlLbl val="0"/>
      </c:catAx>
      <c:valAx>
        <c:axId val="179594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593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415925</xdr:colOff>
      <xdr:row>21</xdr:row>
      <xdr:rowOff>41275</xdr:rowOff>
    </xdr:from>
    <xdr:to>
      <xdr:col>8</xdr:col>
      <xdr:colOff>847725</xdr:colOff>
      <xdr:row>36</xdr:row>
      <xdr:rowOff>22225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140611B-CDAA-459E-AA2C-4FBFCBFDE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279400</xdr:colOff>
      <xdr:row>1</xdr:row>
      <xdr:rowOff>63500</xdr:rowOff>
    </xdr:from>
    <xdr:to>
      <xdr:col>12</xdr:col>
      <xdr:colOff>212725</xdr:colOff>
      <xdr:row>17</xdr:row>
      <xdr:rowOff>79375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E75C3610-9B91-4592-94EA-633D59EC4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400" y="247650"/>
          <a:ext cx="7248525" cy="29622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3</xdr:row>
      <xdr:rowOff>25400</xdr:rowOff>
    </xdr:from>
    <xdr:to>
      <xdr:col>15</xdr:col>
      <xdr:colOff>317500</xdr:colOff>
      <xdr:row>10</xdr:row>
      <xdr:rowOff>83077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33C820A-7B2A-485E-BCAD-1186BD8ED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50" y="577850"/>
          <a:ext cx="7772400" cy="31807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3"/>
  <sheetViews>
    <sheetView topLeftCell="A10" workbookViewId="0">
      <selection activeCell="K27" sqref="K27"/>
    </sheetView>
  </sheetViews>
  <sheetFormatPr defaultRowHeight="14.5" x14ac:dyDescent="0.35"/>
  <cols>
    <col min="1" max="1" width="25.1796875" bestFit="1" customWidth="1"/>
    <col min="2" max="2" width="24" bestFit="1" customWidth="1"/>
    <col min="3" max="4" width="7.7265625" customWidth="1"/>
    <col min="6" max="6" width="12.453125" customWidth="1"/>
    <col min="7" max="7" width="25.1796875" bestFit="1" customWidth="1"/>
    <col min="8" max="8" width="5.1796875" bestFit="1" customWidth="1"/>
    <col min="9" max="9" width="15" bestFit="1" customWidth="1"/>
    <col min="10" max="10" width="12" bestFit="1" customWidth="1"/>
    <col min="11" max="13" width="11.81640625" bestFit="1" customWidth="1"/>
  </cols>
  <sheetData>
    <row r="1" spans="1:13" x14ac:dyDescent="0.35">
      <c r="A1" t="s">
        <v>0</v>
      </c>
      <c r="B1">
        <v>6</v>
      </c>
      <c r="D1" s="5" t="s">
        <v>6</v>
      </c>
      <c r="E1">
        <f>25+$B$4*0.5</f>
        <v>50</v>
      </c>
      <c r="G1" t="s">
        <v>22</v>
      </c>
    </row>
    <row r="2" spans="1:13" x14ac:dyDescent="0.35">
      <c r="A2" t="s">
        <v>1</v>
      </c>
      <c r="B2">
        <v>7</v>
      </c>
      <c r="D2" s="5" t="s">
        <v>7</v>
      </c>
      <c r="E2">
        <f>30+$B$4*0.5</f>
        <v>55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 t="s">
        <v>20</v>
      </c>
      <c r="M2" s="6" t="s">
        <v>21</v>
      </c>
    </row>
    <row r="3" spans="1:13" x14ac:dyDescent="0.35">
      <c r="A3" t="s">
        <v>2</v>
      </c>
      <c r="B3">
        <f>MOD((B1^2+B2^2 -B1*B2+7),3)</f>
        <v>2</v>
      </c>
      <c r="G3" s="6" t="s">
        <v>14</v>
      </c>
      <c r="H3" s="6">
        <f>B8</f>
        <v>30</v>
      </c>
      <c r="I3" s="6">
        <f>$E$1</f>
        <v>50</v>
      </c>
      <c r="J3" s="6">
        <f>C8</f>
        <v>49</v>
      </c>
      <c r="K3" s="6">
        <f xml:space="preserve"> ABS((J3 - I3) / I3 * 100)</f>
        <v>2</v>
      </c>
      <c r="L3" s="6">
        <f>K3/H3</f>
        <v>6.6666666666666666E-2</v>
      </c>
      <c r="M3" s="6">
        <f>L3*L4*SIN(RADIANS(60))/2</f>
        <v>1.1174521339154047E-2</v>
      </c>
    </row>
    <row r="4" spans="1:13" x14ac:dyDescent="0.35">
      <c r="A4" t="s">
        <v>3</v>
      </c>
      <c r="B4">
        <f>B1^2+B2^2 -B1*B2+7</f>
        <v>50</v>
      </c>
      <c r="G4" s="6" t="s">
        <v>9</v>
      </c>
      <c r="H4" s="6">
        <f>B9</f>
        <v>31</v>
      </c>
      <c r="I4" s="6">
        <f t="shared" ref="I4:I8" si="0">$E$1</f>
        <v>50</v>
      </c>
      <c r="J4" s="6">
        <f>C9</f>
        <v>44</v>
      </c>
      <c r="K4" s="6">
        <f t="shared" ref="K4:K8" si="1" xml:space="preserve"> ABS((J4 - I4) / I4 * 100)</f>
        <v>12</v>
      </c>
      <c r="L4" s="6">
        <f t="shared" ref="L4:L8" si="2">K4/H4</f>
        <v>0.38709677419354838</v>
      </c>
      <c r="M4" s="6">
        <f t="shared" ref="M4:M7" si="3">L4*L5*SIN(RADIANS(60))/2</f>
        <v>3.4679548983581526E-2</v>
      </c>
    </row>
    <row r="5" spans="1:13" x14ac:dyDescent="0.35">
      <c r="G5" s="6" t="s">
        <v>10</v>
      </c>
      <c r="H5" s="6">
        <f>B10</f>
        <v>29</v>
      </c>
      <c r="I5" s="6">
        <f t="shared" si="0"/>
        <v>50</v>
      </c>
      <c r="J5" s="6">
        <f>C10</f>
        <v>47</v>
      </c>
      <c r="K5" s="6">
        <f t="shared" si="1"/>
        <v>6</v>
      </c>
      <c r="L5" s="6">
        <f t="shared" si="2"/>
        <v>0.20689655172413793</v>
      </c>
      <c r="M5" s="6">
        <f t="shared" si="3"/>
        <v>6.5698478907784991E-2</v>
      </c>
    </row>
    <row r="6" spans="1:13" x14ac:dyDescent="0.35">
      <c r="A6" s="3" t="s">
        <v>4</v>
      </c>
      <c r="B6" s="3" t="s">
        <v>8</v>
      </c>
      <c r="C6" s="4" t="s">
        <v>5</v>
      </c>
      <c r="D6" s="4"/>
      <c r="E6" s="2"/>
      <c r="G6" s="6" t="s">
        <v>11</v>
      </c>
      <c r="H6" s="6">
        <f>B11</f>
        <v>30</v>
      </c>
      <c r="I6" s="6">
        <f t="shared" si="0"/>
        <v>50</v>
      </c>
      <c r="J6" s="6">
        <f>C11</f>
        <v>39</v>
      </c>
      <c r="K6" s="6">
        <f t="shared" si="1"/>
        <v>22</v>
      </c>
      <c r="L6" s="6">
        <f t="shared" si="2"/>
        <v>0.73333333333333328</v>
      </c>
      <c r="M6" s="6">
        <f t="shared" si="3"/>
        <v>0.10243311227557875</v>
      </c>
    </row>
    <row r="7" spans="1:13" x14ac:dyDescent="0.35">
      <c r="A7" s="3"/>
      <c r="B7" s="3"/>
      <c r="C7" s="5" t="s">
        <v>6</v>
      </c>
      <c r="D7" s="5" t="s">
        <v>7</v>
      </c>
      <c r="G7" s="6" t="s">
        <v>12</v>
      </c>
      <c r="H7" s="6">
        <f>B12</f>
        <v>31</v>
      </c>
      <c r="I7" s="6">
        <f t="shared" si="0"/>
        <v>50</v>
      </c>
      <c r="J7" s="6">
        <f>C12</f>
        <v>45</v>
      </c>
      <c r="K7" s="6">
        <f t="shared" si="1"/>
        <v>10</v>
      </c>
      <c r="L7" s="6">
        <f t="shared" si="2"/>
        <v>0.32258064516129031</v>
      </c>
      <c r="M7" s="6">
        <f t="shared" si="3"/>
        <v>3.8532832203979468E-2</v>
      </c>
    </row>
    <row r="8" spans="1:13" x14ac:dyDescent="0.35">
      <c r="A8" s="6" t="s">
        <v>14</v>
      </c>
      <c r="B8" s="6">
        <f>5+$B$4*0.5</f>
        <v>30</v>
      </c>
      <c r="C8" s="6">
        <f>24+$B$4*0.5</f>
        <v>49</v>
      </c>
      <c r="D8" s="6">
        <f>27+$B$4*0.5</f>
        <v>52</v>
      </c>
      <c r="G8" s="6" t="s">
        <v>13</v>
      </c>
      <c r="H8" s="6">
        <f>B13</f>
        <v>29</v>
      </c>
      <c r="I8" s="6">
        <f t="shared" si="0"/>
        <v>50</v>
      </c>
      <c r="J8" s="6">
        <f>C13</f>
        <v>46</v>
      </c>
      <c r="K8" s="6">
        <f t="shared" si="1"/>
        <v>8</v>
      </c>
      <c r="L8" s="6">
        <f t="shared" si="2"/>
        <v>0.27586206896551724</v>
      </c>
      <c r="M8" s="6">
        <f>L8*L3*SIN(RADIANS(60))/2</f>
        <v>7.9634519888224231E-3</v>
      </c>
    </row>
    <row r="9" spans="1:13" x14ac:dyDescent="0.35">
      <c r="A9" s="6" t="s">
        <v>9</v>
      </c>
      <c r="B9" s="6">
        <f>6+$B$4*0.5</f>
        <v>31</v>
      </c>
      <c r="C9" s="6">
        <f>19+$B$4*0.5</f>
        <v>44</v>
      </c>
      <c r="D9" s="6">
        <f>25+$B$4*0.5</f>
        <v>50</v>
      </c>
      <c r="G9" s="7" t="s">
        <v>26</v>
      </c>
      <c r="H9" s="7"/>
      <c r="I9" s="7"/>
      <c r="J9" s="7"/>
      <c r="K9" s="7"/>
      <c r="L9" s="7"/>
      <c r="M9" s="8">
        <f>SUM(M3:M8)</f>
        <v>0.26048194569890121</v>
      </c>
    </row>
    <row r="10" spans="1:13" x14ac:dyDescent="0.35">
      <c r="A10" s="6" t="s">
        <v>10</v>
      </c>
      <c r="B10" s="6">
        <f>4+$B$4*0.5</f>
        <v>29</v>
      </c>
      <c r="C10" s="6">
        <f>22+$B$4*0.5</f>
        <v>47</v>
      </c>
      <c r="D10" s="6">
        <f>29+$B$4*0.5</f>
        <v>54</v>
      </c>
    </row>
    <row r="11" spans="1:13" x14ac:dyDescent="0.35">
      <c r="A11" s="6" t="s">
        <v>11</v>
      </c>
      <c r="B11" s="6">
        <f t="shared" ref="B11" si="4">5+$B$4*0.5</f>
        <v>30</v>
      </c>
      <c r="C11" s="6">
        <f>14+$B$4*0.5</f>
        <v>39</v>
      </c>
      <c r="D11" s="6">
        <f>25+$B$4*0.5</f>
        <v>50</v>
      </c>
    </row>
    <row r="12" spans="1:13" x14ac:dyDescent="0.35">
      <c r="A12" s="6" t="s">
        <v>12</v>
      </c>
      <c r="B12" s="6">
        <f>6+$B$4*0.5</f>
        <v>31</v>
      </c>
      <c r="C12" s="6">
        <f>20+$B$4*0.5</f>
        <v>45</v>
      </c>
      <c r="D12" s="6">
        <f>21+$B$4*0.5</f>
        <v>46</v>
      </c>
      <c r="G12" t="s">
        <v>23</v>
      </c>
    </row>
    <row r="13" spans="1:13" x14ac:dyDescent="0.35">
      <c r="A13" s="6" t="s">
        <v>13</v>
      </c>
      <c r="B13" s="6">
        <f>4+$B$4*0.5</f>
        <v>29</v>
      </c>
      <c r="C13" s="6">
        <f>21+$B$4*0.5</f>
        <v>46</v>
      </c>
      <c r="D13" s="6">
        <f>18+$B$4*0.5</f>
        <v>43</v>
      </c>
      <c r="G13" s="6" t="s">
        <v>15</v>
      </c>
      <c r="H13" s="6" t="s">
        <v>16</v>
      </c>
      <c r="I13" s="6" t="s">
        <v>24</v>
      </c>
      <c r="J13" s="6" t="s">
        <v>25</v>
      </c>
      <c r="K13" s="6" t="s">
        <v>19</v>
      </c>
      <c r="L13" s="6" t="s">
        <v>28</v>
      </c>
      <c r="M13" s="6" t="s">
        <v>29</v>
      </c>
    </row>
    <row r="14" spans="1:13" x14ac:dyDescent="0.35">
      <c r="G14" s="6" t="s">
        <v>14</v>
      </c>
      <c r="H14" s="6">
        <f>B8</f>
        <v>30</v>
      </c>
      <c r="I14" s="6">
        <f>$E$2</f>
        <v>55</v>
      </c>
      <c r="J14" s="6">
        <f>D8</f>
        <v>52</v>
      </c>
      <c r="K14" s="6">
        <f xml:space="preserve"> ABS((J14 - I14) / I14 * 100)</f>
        <v>5.4545454545454541</v>
      </c>
      <c r="L14" s="6">
        <f>K14/H14</f>
        <v>0.1818181818181818</v>
      </c>
      <c r="M14" s="6">
        <f>L14*L15*SIN(RADIANS(60))/2</f>
        <v>2.3087854006516622E-2</v>
      </c>
    </row>
    <row r="15" spans="1:13" x14ac:dyDescent="0.35">
      <c r="G15" s="6" t="s">
        <v>9</v>
      </c>
      <c r="H15" s="6">
        <f>B9</f>
        <v>31</v>
      </c>
      <c r="I15" s="6">
        <f t="shared" ref="I15:I19" si="5">$E$2</f>
        <v>55</v>
      </c>
      <c r="J15" s="6">
        <f>D9</f>
        <v>50</v>
      </c>
      <c r="K15" s="6">
        <f t="shared" ref="K15:K19" si="6" xml:space="preserve"> ABS((J15 - I15) / I15 * 100)</f>
        <v>9.0909090909090917</v>
      </c>
      <c r="L15" s="6">
        <f t="shared" ref="L15:L19" si="7">K15/H15</f>
        <v>0.2932551319648094</v>
      </c>
      <c r="M15" s="6">
        <f t="shared" ref="M15:M18" si="8">L15*L16*SIN(RADIANS(60))/2</f>
        <v>7.9613289677643532E-3</v>
      </c>
    </row>
    <row r="16" spans="1:13" x14ac:dyDescent="0.35">
      <c r="A16" t="s">
        <v>27</v>
      </c>
      <c r="G16" s="6" t="s">
        <v>10</v>
      </c>
      <c r="H16" s="6">
        <f>B10</f>
        <v>29</v>
      </c>
      <c r="I16" s="6">
        <f t="shared" si="5"/>
        <v>55</v>
      </c>
      <c r="J16" s="6">
        <f>D10</f>
        <v>54</v>
      </c>
      <c r="K16" s="6">
        <f t="shared" si="6"/>
        <v>1.8181818181818181</v>
      </c>
      <c r="L16" s="6">
        <f t="shared" si="7"/>
        <v>6.2695924764890276E-2</v>
      </c>
      <c r="M16" s="6">
        <f t="shared" si="8"/>
        <v>8.2267066000231651E-3</v>
      </c>
    </row>
    <row r="17" spans="1:13" x14ac:dyDescent="0.35">
      <c r="A17" s="6" t="s">
        <v>15</v>
      </c>
      <c r="B17" s="6" t="s">
        <v>20</v>
      </c>
      <c r="C17" s="6" t="s">
        <v>28</v>
      </c>
      <c r="G17" s="6" t="s">
        <v>11</v>
      </c>
      <c r="H17" s="6">
        <f>B11</f>
        <v>30</v>
      </c>
      <c r="I17" s="6">
        <f t="shared" si="5"/>
        <v>55</v>
      </c>
      <c r="J17" s="6">
        <f>D11</f>
        <v>50</v>
      </c>
      <c r="K17" s="6">
        <f t="shared" si="6"/>
        <v>9.0909090909090917</v>
      </c>
      <c r="L17" s="6">
        <f t="shared" si="7"/>
        <v>0.30303030303030304</v>
      </c>
      <c r="M17" s="6">
        <f t="shared" si="8"/>
        <v>6.9263562019549876E-2</v>
      </c>
    </row>
    <row r="18" spans="1:13" x14ac:dyDescent="0.35">
      <c r="A18" s="6" t="s">
        <v>14</v>
      </c>
      <c r="B18" s="6">
        <f>L3</f>
        <v>6.6666666666666666E-2</v>
      </c>
      <c r="C18" s="6">
        <f>L14</f>
        <v>0.1818181818181818</v>
      </c>
      <c r="G18" s="6" t="s">
        <v>12</v>
      </c>
      <c r="H18" s="6">
        <f>B12</f>
        <v>31</v>
      </c>
      <c r="I18" s="6">
        <f t="shared" si="5"/>
        <v>55</v>
      </c>
      <c r="J18" s="6">
        <f>D12</f>
        <v>46</v>
      </c>
      <c r="K18" s="6">
        <f xml:space="preserve"> ABS((J18 - I18) / I18 * 100)</f>
        <v>16.363636363636363</v>
      </c>
      <c r="L18" s="6">
        <f t="shared" si="7"/>
        <v>0.52785923753665687</v>
      </c>
      <c r="M18" s="6">
        <f t="shared" si="8"/>
        <v>0.17196470570371</v>
      </c>
    </row>
    <row r="19" spans="1:13" x14ac:dyDescent="0.35">
      <c r="A19" s="6" t="s">
        <v>9</v>
      </c>
      <c r="B19" s="6">
        <f t="shared" ref="B19:B23" si="9">L4</f>
        <v>0.38709677419354838</v>
      </c>
      <c r="C19" s="6">
        <f t="shared" ref="C19:C23" si="10">L15</f>
        <v>0.2932551319648094</v>
      </c>
      <c r="G19" s="6" t="s">
        <v>13</v>
      </c>
      <c r="H19" s="6">
        <f>B13</f>
        <v>29</v>
      </c>
      <c r="I19" s="6">
        <f t="shared" si="5"/>
        <v>55</v>
      </c>
      <c r="J19" s="6">
        <f>D13</f>
        <v>43</v>
      </c>
      <c r="K19" s="6">
        <f t="shared" si="6"/>
        <v>21.818181818181817</v>
      </c>
      <c r="L19" s="6">
        <f t="shared" si="7"/>
        <v>0.75235109717868331</v>
      </c>
      <c r="M19" s="6">
        <f>L19*L14*SIN(RADIANS(60))/2</f>
        <v>5.9232287520166779E-2</v>
      </c>
    </row>
    <row r="20" spans="1:13" x14ac:dyDescent="0.35">
      <c r="A20" s="6" t="s">
        <v>10</v>
      </c>
      <c r="B20" s="6">
        <f t="shared" si="9"/>
        <v>0.20689655172413793</v>
      </c>
      <c r="C20" s="6">
        <f t="shared" si="10"/>
        <v>6.2695924764890276E-2</v>
      </c>
      <c r="G20" s="7" t="s">
        <v>26</v>
      </c>
      <c r="H20" s="7"/>
      <c r="I20" s="7"/>
      <c r="J20" s="7"/>
      <c r="K20" s="7"/>
      <c r="L20" s="7"/>
      <c r="M20" s="8">
        <f>SUM(M14:M19)</f>
        <v>0.3397364448177308</v>
      </c>
    </row>
    <row r="21" spans="1:13" x14ac:dyDescent="0.35">
      <c r="A21" s="6" t="s">
        <v>11</v>
      </c>
      <c r="B21" s="6">
        <f t="shared" si="9"/>
        <v>0.73333333333333328</v>
      </c>
      <c r="C21" s="6">
        <f t="shared" si="10"/>
        <v>0.30303030303030304</v>
      </c>
    </row>
    <row r="22" spans="1:13" x14ac:dyDescent="0.35">
      <c r="A22" s="6" t="s">
        <v>12</v>
      </c>
      <c r="B22" s="6">
        <f t="shared" si="9"/>
        <v>0.32258064516129031</v>
      </c>
      <c r="C22" s="6">
        <f t="shared" si="10"/>
        <v>0.52785923753665687</v>
      </c>
    </row>
    <row r="23" spans="1:13" x14ac:dyDescent="0.35">
      <c r="A23" s="6" t="s">
        <v>13</v>
      </c>
      <c r="B23" s="6">
        <f t="shared" si="9"/>
        <v>0.27586206896551724</v>
      </c>
      <c r="C23" s="6">
        <f t="shared" si="10"/>
        <v>0.75235109717868331</v>
      </c>
    </row>
  </sheetData>
  <mergeCells count="5">
    <mergeCell ref="G20:L20"/>
    <mergeCell ref="A6:A7"/>
    <mergeCell ref="B6:B7"/>
    <mergeCell ref="C6:D6"/>
    <mergeCell ref="G9:L9"/>
  </mergeCells>
  <pageMargins left="0.7" right="0.7" top="0.75" bottom="0.75" header="0.3" footer="0.3"/>
  <pageSetup paperSize="9" scale="73" orientation="landscape" r:id="rId1"/>
  <ignoredErrors>
    <ignoredError sqref="D10 I14:I19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A0BB3-1029-4155-AAC7-334F64647E9B}">
  <sheetPr>
    <pageSetUpPr fitToPage="1"/>
  </sheetPr>
  <dimension ref="A1:U48"/>
  <sheetViews>
    <sheetView topLeftCell="C1" zoomScale="85" zoomScaleNormal="85" workbookViewId="0">
      <selection activeCell="K13" sqref="K13"/>
    </sheetView>
  </sheetViews>
  <sheetFormatPr defaultRowHeight="14.5" x14ac:dyDescent="0.35"/>
  <cols>
    <col min="1" max="1" width="22" bestFit="1" customWidth="1"/>
    <col min="2" max="2" width="19.08984375" bestFit="1" customWidth="1"/>
    <col min="3" max="3" width="10.81640625" bestFit="1" customWidth="1"/>
    <col min="4" max="4" width="13.6328125" bestFit="1" customWidth="1"/>
    <col min="5" max="5" width="10.81640625" bestFit="1" customWidth="1"/>
    <col min="6" max="6" width="13.6328125" bestFit="1" customWidth="1"/>
    <col min="7" max="7" width="10.81640625" bestFit="1" customWidth="1"/>
    <col min="8" max="8" width="21.36328125" bestFit="1" customWidth="1"/>
    <col min="9" max="9" width="10.81640625" bestFit="1" customWidth="1"/>
    <col min="10" max="10" width="17.453125" bestFit="1" customWidth="1"/>
    <col min="11" max="11" width="10.81640625" bestFit="1" customWidth="1"/>
    <col min="12" max="12" width="13.6328125" bestFit="1" customWidth="1"/>
    <col min="13" max="14" width="21.6328125" bestFit="1" customWidth="1"/>
    <col min="15" max="15" width="15.81640625" bestFit="1" customWidth="1"/>
    <col min="16" max="16" width="6.26953125" bestFit="1" customWidth="1"/>
    <col min="17" max="17" width="7.7265625" bestFit="1" customWidth="1"/>
    <col min="18" max="18" width="21.7265625" bestFit="1" customWidth="1"/>
    <col min="19" max="19" width="19.1796875" bestFit="1" customWidth="1"/>
    <col min="20" max="20" width="9" bestFit="1" customWidth="1"/>
    <col min="21" max="21" width="6.1796875" bestFit="1" customWidth="1"/>
  </cols>
  <sheetData>
    <row r="1" spans="1:21" x14ac:dyDescent="0.35">
      <c r="A1" s="10" t="s">
        <v>45</v>
      </c>
      <c r="B1" s="10"/>
      <c r="N1" s="2" t="s">
        <v>55</v>
      </c>
      <c r="O1" s="2"/>
      <c r="P1" s="10"/>
      <c r="Q1" s="10"/>
    </row>
    <row r="2" spans="1:21" x14ac:dyDescent="0.35">
      <c r="A2" s="6" t="s">
        <v>30</v>
      </c>
      <c r="B2" s="6" t="s">
        <v>31</v>
      </c>
      <c r="C2" s="6" t="s">
        <v>32</v>
      </c>
      <c r="D2" s="6" t="s">
        <v>33</v>
      </c>
      <c r="E2" s="6" t="s">
        <v>34</v>
      </c>
      <c r="F2" s="6" t="s">
        <v>82</v>
      </c>
      <c r="G2" s="6" t="s">
        <v>35</v>
      </c>
      <c r="H2" s="6" t="s">
        <v>36</v>
      </c>
      <c r="I2" s="6" t="s">
        <v>37</v>
      </c>
      <c r="J2" s="6" t="s">
        <v>38</v>
      </c>
      <c r="K2" s="6" t="s">
        <v>39</v>
      </c>
      <c r="N2" s="6" t="s">
        <v>56</v>
      </c>
      <c r="O2" s="6"/>
      <c r="P2" s="6"/>
      <c r="Q2" s="6"/>
      <c r="R2" s="6"/>
      <c r="S2" s="6"/>
      <c r="T2" s="6"/>
      <c r="U2" s="6"/>
    </row>
    <row r="3" spans="1:21" x14ac:dyDescent="0.35">
      <c r="A3" s="6" t="s">
        <v>40</v>
      </c>
      <c r="B3" s="6">
        <v>8</v>
      </c>
      <c r="C3" s="6">
        <v>5</v>
      </c>
      <c r="D3" s="13">
        <v>1.3</v>
      </c>
      <c r="E3" s="6">
        <v>6</v>
      </c>
      <c r="F3" s="6">
        <v>70000</v>
      </c>
      <c r="G3" s="6">
        <v>5</v>
      </c>
      <c r="H3" s="9" t="s">
        <v>83</v>
      </c>
      <c r="I3" s="6">
        <v>2</v>
      </c>
      <c r="J3" s="13">
        <v>15.6</v>
      </c>
      <c r="K3" s="6">
        <v>3</v>
      </c>
      <c r="N3" s="6" t="s">
        <v>46</v>
      </c>
      <c r="O3" s="6" t="s">
        <v>47</v>
      </c>
      <c r="P3" s="6" t="s">
        <v>48</v>
      </c>
      <c r="Q3" s="6" t="s">
        <v>49</v>
      </c>
      <c r="R3" s="6" t="s">
        <v>50</v>
      </c>
      <c r="S3" s="6" t="s">
        <v>51</v>
      </c>
      <c r="T3" s="6" t="s">
        <v>57</v>
      </c>
      <c r="U3" s="6" t="s">
        <v>58</v>
      </c>
    </row>
    <row r="4" spans="1:21" x14ac:dyDescent="0.35">
      <c r="A4" s="6" t="s">
        <v>41</v>
      </c>
      <c r="B4" s="6">
        <v>12</v>
      </c>
      <c r="C4" s="6">
        <v>1</v>
      </c>
      <c r="D4" s="13">
        <v>1.8</v>
      </c>
      <c r="E4" s="6">
        <v>1</v>
      </c>
      <c r="F4" s="6">
        <v>95000</v>
      </c>
      <c r="G4" s="6">
        <v>10</v>
      </c>
      <c r="H4" s="6">
        <v>3</v>
      </c>
      <c r="I4" s="6">
        <v>4</v>
      </c>
      <c r="J4" s="13">
        <v>14</v>
      </c>
      <c r="K4" s="6">
        <v>6</v>
      </c>
      <c r="N4" s="6" t="s">
        <v>47</v>
      </c>
      <c r="O4" s="13">
        <v>0.5</v>
      </c>
      <c r="P4" s="13">
        <v>0</v>
      </c>
      <c r="Q4" s="13">
        <v>0</v>
      </c>
      <c r="R4" s="13">
        <v>0</v>
      </c>
      <c r="S4" s="13">
        <v>1</v>
      </c>
      <c r="T4" s="13">
        <v>1.5</v>
      </c>
      <c r="U4" s="13">
        <v>0.12</v>
      </c>
    </row>
    <row r="5" spans="1:21" x14ac:dyDescent="0.35">
      <c r="A5" s="6" t="s">
        <v>42</v>
      </c>
      <c r="B5" s="6">
        <v>6</v>
      </c>
      <c r="C5" s="6">
        <v>10</v>
      </c>
      <c r="D5" s="13">
        <v>2.2000000000000002</v>
      </c>
      <c r="E5" s="6">
        <v>10</v>
      </c>
      <c r="F5" s="6">
        <v>55000</v>
      </c>
      <c r="G5" s="6">
        <v>1</v>
      </c>
      <c r="H5" s="9" t="s">
        <v>84</v>
      </c>
      <c r="I5" s="6">
        <v>8</v>
      </c>
      <c r="J5" s="13">
        <v>15.6</v>
      </c>
      <c r="K5" s="6">
        <v>3</v>
      </c>
      <c r="N5" s="6" t="s">
        <v>48</v>
      </c>
      <c r="O5" s="13">
        <v>1</v>
      </c>
      <c r="P5" s="13">
        <v>0.5</v>
      </c>
      <c r="Q5" s="13">
        <v>0</v>
      </c>
      <c r="R5" s="13">
        <v>0</v>
      </c>
      <c r="S5" s="13">
        <v>1</v>
      </c>
      <c r="T5" s="13">
        <v>2.5</v>
      </c>
      <c r="U5" s="13">
        <v>0.2</v>
      </c>
    </row>
    <row r="6" spans="1:21" x14ac:dyDescent="0.35">
      <c r="A6" s="6" t="s">
        <v>43</v>
      </c>
      <c r="B6" s="6">
        <v>10</v>
      </c>
      <c r="C6" s="6">
        <v>3</v>
      </c>
      <c r="D6" s="13">
        <v>1.5</v>
      </c>
      <c r="E6" s="6">
        <v>3</v>
      </c>
      <c r="F6" s="6">
        <v>80000</v>
      </c>
      <c r="G6" s="6">
        <v>7</v>
      </c>
      <c r="H6" s="9" t="s">
        <v>85</v>
      </c>
      <c r="I6" s="6">
        <v>1</v>
      </c>
      <c r="J6" s="13">
        <v>13.3</v>
      </c>
      <c r="K6" s="6">
        <v>8</v>
      </c>
      <c r="N6" s="6" t="s">
        <v>49</v>
      </c>
      <c r="O6" s="13">
        <v>1</v>
      </c>
      <c r="P6" s="13">
        <v>1</v>
      </c>
      <c r="Q6" s="13">
        <v>0.5</v>
      </c>
      <c r="R6" s="13">
        <v>1</v>
      </c>
      <c r="S6" s="13">
        <v>1</v>
      </c>
      <c r="T6" s="13">
        <v>4.5</v>
      </c>
      <c r="U6" s="13">
        <v>0.36</v>
      </c>
    </row>
    <row r="7" spans="1:21" x14ac:dyDescent="0.35">
      <c r="A7" s="6" t="s">
        <v>44</v>
      </c>
      <c r="B7" s="6">
        <v>9</v>
      </c>
      <c r="C7" s="6">
        <v>4</v>
      </c>
      <c r="D7" s="13">
        <v>1.9</v>
      </c>
      <c r="E7" s="6">
        <v>7</v>
      </c>
      <c r="F7" s="6">
        <v>65000</v>
      </c>
      <c r="G7" s="6">
        <v>3</v>
      </c>
      <c r="H7" s="9" t="s">
        <v>86</v>
      </c>
      <c r="I7" s="6">
        <v>5</v>
      </c>
      <c r="J7" s="13">
        <v>16</v>
      </c>
      <c r="K7" s="6">
        <v>1</v>
      </c>
      <c r="N7" s="6" t="s">
        <v>50</v>
      </c>
      <c r="O7" s="13">
        <v>1</v>
      </c>
      <c r="P7" s="13">
        <v>1</v>
      </c>
      <c r="Q7" s="13">
        <v>0</v>
      </c>
      <c r="R7" s="13">
        <v>0.5</v>
      </c>
      <c r="S7" s="13">
        <v>1</v>
      </c>
      <c r="T7" s="13">
        <v>3.5</v>
      </c>
      <c r="U7" s="13">
        <v>0.28000000000000003</v>
      </c>
    </row>
    <row r="8" spans="1:21" x14ac:dyDescent="0.35">
      <c r="N8" s="6" t="s">
        <v>51</v>
      </c>
      <c r="O8" s="13">
        <v>0</v>
      </c>
      <c r="P8" s="13">
        <v>0</v>
      </c>
      <c r="Q8" s="13">
        <v>0</v>
      </c>
      <c r="R8" s="13">
        <v>0</v>
      </c>
      <c r="S8" s="13">
        <v>0.5</v>
      </c>
      <c r="T8" s="13">
        <v>0.5</v>
      </c>
      <c r="U8" s="13">
        <v>0.04</v>
      </c>
    </row>
    <row r="9" spans="1:21" x14ac:dyDescent="0.35">
      <c r="A9" t="s">
        <v>54</v>
      </c>
      <c r="H9" s="1" t="s">
        <v>79</v>
      </c>
      <c r="I9" s="1"/>
    </row>
    <row r="10" spans="1:21" x14ac:dyDescent="0.35">
      <c r="A10" s="6" t="s">
        <v>46</v>
      </c>
      <c r="B10" s="6" t="s">
        <v>40</v>
      </c>
      <c r="C10" s="6" t="s">
        <v>41</v>
      </c>
      <c r="D10" s="6" t="s">
        <v>42</v>
      </c>
      <c r="E10" s="6" t="s">
        <v>43</v>
      </c>
      <c r="F10" s="6" t="s">
        <v>44</v>
      </c>
      <c r="H10" s="15" t="s">
        <v>80</v>
      </c>
      <c r="I10" t="s">
        <v>81</v>
      </c>
      <c r="N10" s="6" t="s">
        <v>59</v>
      </c>
      <c r="O10" s="6"/>
      <c r="P10" s="6"/>
      <c r="Q10" s="6"/>
      <c r="R10" s="6"/>
      <c r="S10" s="6"/>
      <c r="T10" s="6"/>
      <c r="U10" s="6"/>
    </row>
    <row r="11" spans="1:21" x14ac:dyDescent="0.35">
      <c r="A11" s="6" t="s">
        <v>47</v>
      </c>
      <c r="B11" s="6">
        <v>5</v>
      </c>
      <c r="C11" s="6">
        <v>1</v>
      </c>
      <c r="D11" s="6">
        <v>10</v>
      </c>
      <c r="E11" s="6">
        <v>3</v>
      </c>
      <c r="F11" s="6">
        <v>4</v>
      </c>
      <c r="N11" s="6" t="s">
        <v>46</v>
      </c>
      <c r="O11" s="6" t="s">
        <v>47</v>
      </c>
      <c r="P11" s="6" t="s">
        <v>48</v>
      </c>
      <c r="Q11" s="6" t="s">
        <v>49</v>
      </c>
      <c r="R11" s="6" t="s">
        <v>50</v>
      </c>
      <c r="S11" s="6" t="s">
        <v>51</v>
      </c>
      <c r="T11" s="6" t="s">
        <v>57</v>
      </c>
      <c r="U11" s="6" t="s">
        <v>58</v>
      </c>
    </row>
    <row r="12" spans="1:21" x14ac:dyDescent="0.35">
      <c r="A12" s="6" t="s">
        <v>48</v>
      </c>
      <c r="B12" s="6">
        <v>6</v>
      </c>
      <c r="C12" s="6">
        <v>1</v>
      </c>
      <c r="D12" s="6">
        <v>10</v>
      </c>
      <c r="E12" s="6">
        <v>3</v>
      </c>
      <c r="F12" s="6">
        <v>7</v>
      </c>
      <c r="N12" s="6" t="s">
        <v>47</v>
      </c>
      <c r="O12" s="13">
        <v>0.5</v>
      </c>
      <c r="P12" s="13">
        <v>1</v>
      </c>
      <c r="Q12" s="13">
        <v>1</v>
      </c>
      <c r="R12" s="13">
        <v>0</v>
      </c>
      <c r="S12" s="13">
        <v>1</v>
      </c>
      <c r="T12" s="13">
        <v>3.5</v>
      </c>
      <c r="U12" s="13">
        <v>0.28000000000000003</v>
      </c>
    </row>
    <row r="13" spans="1:21" x14ac:dyDescent="0.35">
      <c r="A13" s="6" t="s">
        <v>49</v>
      </c>
      <c r="B13" s="6">
        <v>5</v>
      </c>
      <c r="C13" s="6">
        <v>10</v>
      </c>
      <c r="D13" s="6">
        <v>1</v>
      </c>
      <c r="E13" s="6">
        <v>7</v>
      </c>
      <c r="F13" s="6">
        <v>3</v>
      </c>
      <c r="N13" s="6" t="s">
        <v>48</v>
      </c>
      <c r="O13" s="13">
        <v>0</v>
      </c>
      <c r="P13" s="13">
        <v>0.5</v>
      </c>
      <c r="Q13" s="13">
        <v>0</v>
      </c>
      <c r="R13" s="13">
        <v>0</v>
      </c>
      <c r="S13" s="13">
        <v>1</v>
      </c>
      <c r="T13" s="13">
        <v>1.5</v>
      </c>
      <c r="U13" s="13">
        <v>0.12</v>
      </c>
    </row>
    <row r="14" spans="1:21" x14ac:dyDescent="0.35">
      <c r="A14" s="6" t="s">
        <v>50</v>
      </c>
      <c r="B14" s="6">
        <v>2</v>
      </c>
      <c r="C14" s="6">
        <v>4</v>
      </c>
      <c r="D14" s="6">
        <v>8</v>
      </c>
      <c r="E14" s="6">
        <v>1</v>
      </c>
      <c r="F14" s="6">
        <v>5</v>
      </c>
      <c r="N14" s="6" t="s">
        <v>49</v>
      </c>
      <c r="O14" s="13">
        <v>0</v>
      </c>
      <c r="P14" s="13">
        <v>1</v>
      </c>
      <c r="Q14" s="13">
        <v>0.5</v>
      </c>
      <c r="R14" s="13">
        <v>0</v>
      </c>
      <c r="S14" s="13">
        <v>1</v>
      </c>
      <c r="T14" s="13">
        <v>2.5</v>
      </c>
      <c r="U14" s="13">
        <v>0.2</v>
      </c>
    </row>
    <row r="15" spans="1:21" x14ac:dyDescent="0.35">
      <c r="A15" s="6" t="s">
        <v>51</v>
      </c>
      <c r="B15" s="6">
        <v>3</v>
      </c>
      <c r="C15" s="6">
        <v>6</v>
      </c>
      <c r="D15" s="6">
        <v>3</v>
      </c>
      <c r="E15" s="6">
        <v>8</v>
      </c>
      <c r="F15" s="6">
        <v>1</v>
      </c>
      <c r="N15" s="6" t="s">
        <v>50</v>
      </c>
      <c r="O15" s="13">
        <v>1</v>
      </c>
      <c r="P15" s="13">
        <v>1</v>
      </c>
      <c r="Q15" s="13">
        <v>1</v>
      </c>
      <c r="R15" s="13">
        <v>0.5</v>
      </c>
      <c r="S15" s="13">
        <v>1</v>
      </c>
      <c r="T15" s="13">
        <v>4.5</v>
      </c>
      <c r="U15" s="13">
        <v>0.36</v>
      </c>
    </row>
    <row r="16" spans="1:21" x14ac:dyDescent="0.35">
      <c r="A16" s="6" t="s">
        <v>52</v>
      </c>
      <c r="B16" s="6">
        <v>21</v>
      </c>
      <c r="C16" s="6">
        <v>22</v>
      </c>
      <c r="D16" s="6">
        <v>32</v>
      </c>
      <c r="E16" s="6">
        <v>22</v>
      </c>
      <c r="F16" s="6">
        <v>20</v>
      </c>
      <c r="N16" s="6" t="s">
        <v>51</v>
      </c>
      <c r="O16" s="13">
        <v>0</v>
      </c>
      <c r="P16" s="13">
        <v>0</v>
      </c>
      <c r="Q16" s="13">
        <v>0</v>
      </c>
      <c r="R16" s="13">
        <v>0</v>
      </c>
      <c r="S16" s="13">
        <v>0.5</v>
      </c>
      <c r="T16" s="13">
        <v>0.5</v>
      </c>
      <c r="U16" s="13">
        <v>0.04</v>
      </c>
    </row>
    <row r="17" spans="1:21" x14ac:dyDescent="0.35">
      <c r="A17" s="6" t="s">
        <v>53</v>
      </c>
      <c r="B17" s="6">
        <v>2</v>
      </c>
      <c r="C17" s="6">
        <v>3</v>
      </c>
      <c r="D17" s="6">
        <v>5</v>
      </c>
      <c r="E17" s="6">
        <v>3</v>
      </c>
      <c r="F17" s="6">
        <v>1</v>
      </c>
    </row>
    <row r="18" spans="1:21" x14ac:dyDescent="0.35">
      <c r="N18" s="6" t="s">
        <v>60</v>
      </c>
      <c r="O18" s="6"/>
      <c r="P18" s="6"/>
      <c r="Q18" s="6"/>
      <c r="R18" s="6"/>
      <c r="S18" s="6"/>
      <c r="T18" s="6"/>
      <c r="U18" s="6"/>
    </row>
    <row r="19" spans="1:21" x14ac:dyDescent="0.35">
      <c r="A19" t="s">
        <v>64</v>
      </c>
      <c r="N19" s="6" t="s">
        <v>46</v>
      </c>
      <c r="O19" s="6" t="s">
        <v>47</v>
      </c>
      <c r="P19" s="6" t="s">
        <v>48</v>
      </c>
      <c r="Q19" s="6" t="s">
        <v>49</v>
      </c>
      <c r="R19" s="6" t="s">
        <v>50</v>
      </c>
      <c r="S19" s="6" t="s">
        <v>51</v>
      </c>
      <c r="T19" s="6" t="s">
        <v>57</v>
      </c>
      <c r="U19" s="6" t="s">
        <v>58</v>
      </c>
    </row>
    <row r="20" spans="1:21" x14ac:dyDescent="0.35">
      <c r="A20" s="6" t="s">
        <v>46</v>
      </c>
      <c r="B20" s="6" t="s">
        <v>65</v>
      </c>
      <c r="N20" s="6" t="s">
        <v>47</v>
      </c>
      <c r="O20" s="13">
        <v>0.5</v>
      </c>
      <c r="P20" s="13">
        <v>0</v>
      </c>
      <c r="Q20" s="13">
        <v>1</v>
      </c>
      <c r="R20" s="13">
        <v>1</v>
      </c>
      <c r="S20" s="13">
        <v>1</v>
      </c>
      <c r="T20" s="13">
        <v>3.5</v>
      </c>
      <c r="U20" s="13">
        <v>0.28000000000000003</v>
      </c>
    </row>
    <row r="21" spans="1:21" x14ac:dyDescent="0.35">
      <c r="A21" s="6" t="s">
        <v>47</v>
      </c>
      <c r="B21" s="6">
        <v>0.25330000000000003</v>
      </c>
      <c r="N21" s="6" t="s">
        <v>48</v>
      </c>
      <c r="O21" s="13">
        <v>1</v>
      </c>
      <c r="P21" s="13">
        <v>0.5</v>
      </c>
      <c r="Q21" s="13">
        <v>1</v>
      </c>
      <c r="R21" s="13">
        <v>1</v>
      </c>
      <c r="S21" s="13">
        <v>1</v>
      </c>
      <c r="T21" s="13">
        <v>4.5</v>
      </c>
      <c r="U21" s="13">
        <v>0.36</v>
      </c>
    </row>
    <row r="22" spans="1:21" x14ac:dyDescent="0.35">
      <c r="A22" s="6" t="s">
        <v>48</v>
      </c>
      <c r="B22" s="6">
        <v>0.2</v>
      </c>
      <c r="N22" s="6" t="s">
        <v>49</v>
      </c>
      <c r="O22" s="13">
        <v>0</v>
      </c>
      <c r="P22" s="13">
        <v>0</v>
      </c>
      <c r="Q22" s="13">
        <v>0.5</v>
      </c>
      <c r="R22" s="13">
        <v>1</v>
      </c>
      <c r="S22" s="13">
        <v>1</v>
      </c>
      <c r="T22" s="13">
        <v>2.5</v>
      </c>
      <c r="U22" s="13">
        <v>0.2</v>
      </c>
    </row>
    <row r="23" spans="1:21" x14ac:dyDescent="0.35">
      <c r="A23" s="6" t="s">
        <v>49</v>
      </c>
      <c r="B23" s="6">
        <v>0.25330000000000003</v>
      </c>
      <c r="N23" s="6" t="s">
        <v>50</v>
      </c>
      <c r="O23" s="13">
        <v>0</v>
      </c>
      <c r="P23" s="13">
        <v>0</v>
      </c>
      <c r="Q23" s="13">
        <v>0</v>
      </c>
      <c r="R23" s="13">
        <v>0.5</v>
      </c>
      <c r="S23" s="13">
        <v>1</v>
      </c>
      <c r="T23" s="13">
        <v>1.5</v>
      </c>
      <c r="U23" s="13">
        <v>0.12</v>
      </c>
    </row>
    <row r="24" spans="1:21" x14ac:dyDescent="0.35">
      <c r="A24" s="6" t="s">
        <v>50</v>
      </c>
      <c r="B24" s="6">
        <v>0.22670000000000001</v>
      </c>
      <c r="N24" s="6" t="s">
        <v>51</v>
      </c>
      <c r="O24" s="13">
        <v>0</v>
      </c>
      <c r="P24" s="13">
        <v>0</v>
      </c>
      <c r="Q24" s="13">
        <v>0</v>
      </c>
      <c r="R24" s="13">
        <v>0</v>
      </c>
      <c r="S24" s="13">
        <v>0.5</v>
      </c>
      <c r="T24" s="13">
        <v>0.5</v>
      </c>
      <c r="U24" s="13">
        <v>0.04</v>
      </c>
    </row>
    <row r="25" spans="1:21" x14ac:dyDescent="0.35">
      <c r="A25" s="6" t="s">
        <v>51</v>
      </c>
      <c r="B25" s="6">
        <v>6.6699999999999995E-2</v>
      </c>
    </row>
    <row r="26" spans="1:21" x14ac:dyDescent="0.35">
      <c r="A26" s="6" t="s">
        <v>66</v>
      </c>
      <c r="B26" s="6">
        <v>1</v>
      </c>
      <c r="N26" s="6" t="s">
        <v>61</v>
      </c>
      <c r="O26" s="6"/>
      <c r="P26" s="6"/>
      <c r="Q26" s="6"/>
      <c r="R26" s="6"/>
      <c r="S26" s="6"/>
      <c r="T26" s="6"/>
      <c r="U26" s="6"/>
    </row>
    <row r="27" spans="1:21" x14ac:dyDescent="0.35">
      <c r="N27" s="6" t="s">
        <v>46</v>
      </c>
      <c r="O27" s="6" t="s">
        <v>47</v>
      </c>
      <c r="P27" s="6" t="s">
        <v>48</v>
      </c>
      <c r="Q27" s="6" t="s">
        <v>49</v>
      </c>
      <c r="R27" s="6" t="s">
        <v>50</v>
      </c>
      <c r="S27" s="6" t="s">
        <v>51</v>
      </c>
      <c r="T27" s="6" t="s">
        <v>57</v>
      </c>
      <c r="U27" s="6" t="s">
        <v>58</v>
      </c>
    </row>
    <row r="28" spans="1:21" x14ac:dyDescent="0.35">
      <c r="A28" s="6" t="s">
        <v>67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N28" s="11" t="s">
        <v>47</v>
      </c>
      <c r="O28" s="13">
        <v>0.5</v>
      </c>
      <c r="P28" s="13">
        <v>1</v>
      </c>
      <c r="Q28" s="13">
        <v>0</v>
      </c>
      <c r="R28" s="13">
        <v>1</v>
      </c>
      <c r="S28" s="13">
        <v>1</v>
      </c>
      <c r="T28" s="13">
        <v>3.5</v>
      </c>
      <c r="U28" s="13">
        <v>0.28000000000000003</v>
      </c>
    </row>
    <row r="29" spans="1:21" x14ac:dyDescent="0.35">
      <c r="A29" s="6" t="s">
        <v>46</v>
      </c>
      <c r="B29" s="6" t="s">
        <v>68</v>
      </c>
      <c r="C29" s="6" t="s">
        <v>69</v>
      </c>
      <c r="D29" s="6" t="s">
        <v>70</v>
      </c>
      <c r="E29" s="6" t="s">
        <v>71</v>
      </c>
      <c r="F29" s="6" t="s">
        <v>72</v>
      </c>
      <c r="G29" s="6" t="s">
        <v>73</v>
      </c>
      <c r="H29" s="6" t="s">
        <v>74</v>
      </c>
      <c r="I29" s="6" t="s">
        <v>75</v>
      </c>
      <c r="J29" s="6" t="s">
        <v>76</v>
      </c>
      <c r="K29" s="6" t="s">
        <v>77</v>
      </c>
      <c r="L29" s="6" t="s">
        <v>78</v>
      </c>
      <c r="N29" s="11" t="s">
        <v>48</v>
      </c>
      <c r="O29" s="13">
        <v>0</v>
      </c>
      <c r="P29" s="13">
        <v>0.5</v>
      </c>
      <c r="Q29" s="13">
        <v>0</v>
      </c>
      <c r="R29" s="13">
        <v>1</v>
      </c>
      <c r="S29" s="13">
        <v>1</v>
      </c>
      <c r="T29" s="13">
        <v>2.5</v>
      </c>
      <c r="U29" s="13">
        <v>0.2</v>
      </c>
    </row>
    <row r="30" spans="1:21" x14ac:dyDescent="0.35">
      <c r="A30" s="6" t="s">
        <v>47</v>
      </c>
      <c r="B30" s="6">
        <v>0.25330000000000003</v>
      </c>
      <c r="C30" s="6">
        <v>5</v>
      </c>
      <c r="D30" s="12">
        <v>1.2666999999999999</v>
      </c>
      <c r="E30" s="6">
        <v>1</v>
      </c>
      <c r="F30" s="6">
        <v>0.25330000000000003</v>
      </c>
      <c r="G30" s="6">
        <v>10</v>
      </c>
      <c r="H30" s="12">
        <v>2.5333000000000001</v>
      </c>
      <c r="I30" s="6">
        <v>3</v>
      </c>
      <c r="J30" s="6">
        <v>0.76</v>
      </c>
      <c r="K30" s="6">
        <v>4</v>
      </c>
      <c r="L30" s="6">
        <v>1.0133000000000001</v>
      </c>
      <c r="N30" s="11" t="s">
        <v>49</v>
      </c>
      <c r="O30" s="13">
        <v>1</v>
      </c>
      <c r="P30" s="13">
        <v>1</v>
      </c>
      <c r="Q30" s="13">
        <v>0.5</v>
      </c>
      <c r="R30" s="13">
        <v>1</v>
      </c>
      <c r="S30" s="13">
        <v>1</v>
      </c>
      <c r="T30" s="13">
        <v>4.5</v>
      </c>
      <c r="U30" s="13">
        <v>0.36</v>
      </c>
    </row>
    <row r="31" spans="1:21" x14ac:dyDescent="0.35">
      <c r="A31" s="6" t="s">
        <v>48</v>
      </c>
      <c r="B31" s="6">
        <v>0.2</v>
      </c>
      <c r="C31" s="6">
        <v>6</v>
      </c>
      <c r="D31" s="9">
        <v>1.2</v>
      </c>
      <c r="E31" s="6">
        <v>1</v>
      </c>
      <c r="F31" s="6">
        <v>0.2</v>
      </c>
      <c r="G31" s="6">
        <v>10</v>
      </c>
      <c r="H31" s="6">
        <v>2</v>
      </c>
      <c r="I31" s="6">
        <v>3</v>
      </c>
      <c r="J31" s="6">
        <v>0.6</v>
      </c>
      <c r="K31" s="6">
        <v>7</v>
      </c>
      <c r="L31" s="9">
        <v>1.4</v>
      </c>
      <c r="N31" s="11" t="s">
        <v>50</v>
      </c>
      <c r="O31" s="13">
        <v>0</v>
      </c>
      <c r="P31" s="13">
        <v>0</v>
      </c>
      <c r="Q31" s="13">
        <v>0</v>
      </c>
      <c r="R31" s="13">
        <v>0.5</v>
      </c>
      <c r="S31" s="13">
        <v>0</v>
      </c>
      <c r="T31" s="13">
        <v>0.5</v>
      </c>
      <c r="U31" s="13">
        <v>0.04</v>
      </c>
    </row>
    <row r="32" spans="1:21" x14ac:dyDescent="0.35">
      <c r="A32" s="6" t="s">
        <v>49</v>
      </c>
      <c r="B32" s="6">
        <v>0.25330000000000003</v>
      </c>
      <c r="C32" s="6">
        <v>5</v>
      </c>
      <c r="D32" s="12">
        <v>1.2666999999999999</v>
      </c>
      <c r="E32" s="6">
        <v>10</v>
      </c>
      <c r="F32" s="12">
        <v>2.5333000000000001</v>
      </c>
      <c r="G32" s="6">
        <v>1</v>
      </c>
      <c r="H32" s="6">
        <v>0.25330000000000003</v>
      </c>
      <c r="I32" s="6">
        <v>7</v>
      </c>
      <c r="J32" s="12">
        <v>1.7733000000000001</v>
      </c>
      <c r="K32" s="6">
        <v>3</v>
      </c>
      <c r="L32" s="6">
        <v>0.76</v>
      </c>
      <c r="N32" s="11" t="s">
        <v>51</v>
      </c>
      <c r="O32" s="13">
        <v>0</v>
      </c>
      <c r="P32" s="13">
        <v>0</v>
      </c>
      <c r="Q32" s="13">
        <v>0</v>
      </c>
      <c r="R32" s="13">
        <v>1</v>
      </c>
      <c r="S32" s="13">
        <v>0.5</v>
      </c>
      <c r="T32" s="13">
        <v>1.5</v>
      </c>
      <c r="U32" s="13">
        <v>0.12</v>
      </c>
    </row>
    <row r="33" spans="1:21" x14ac:dyDescent="0.35">
      <c r="A33" s="6" t="s">
        <v>50</v>
      </c>
      <c r="B33" s="6">
        <v>0.22670000000000001</v>
      </c>
      <c r="C33" s="6">
        <v>2</v>
      </c>
      <c r="D33" s="6">
        <v>0.45329999999999998</v>
      </c>
      <c r="E33" s="6">
        <v>4</v>
      </c>
      <c r="F33" s="6">
        <v>0.90669999999999995</v>
      </c>
      <c r="G33" s="6">
        <v>8</v>
      </c>
      <c r="H33" s="12">
        <v>1.8132999999999999</v>
      </c>
      <c r="I33" s="6">
        <v>1</v>
      </c>
      <c r="J33" s="6">
        <v>0.22670000000000001</v>
      </c>
      <c r="K33" s="6">
        <v>5</v>
      </c>
      <c r="L33" s="6">
        <v>1.1333</v>
      </c>
    </row>
    <row r="34" spans="1:21" x14ac:dyDescent="0.35">
      <c r="A34" s="6" t="s">
        <v>51</v>
      </c>
      <c r="B34" s="6">
        <v>6.6699999999999995E-2</v>
      </c>
      <c r="C34" s="6">
        <v>3</v>
      </c>
      <c r="D34" s="6">
        <v>0.2</v>
      </c>
      <c r="E34" s="6">
        <v>6</v>
      </c>
      <c r="F34" s="6">
        <v>0.4</v>
      </c>
      <c r="G34" s="6">
        <v>3</v>
      </c>
      <c r="H34" s="6">
        <v>0.2</v>
      </c>
      <c r="I34" s="6">
        <v>8</v>
      </c>
      <c r="J34" s="6">
        <v>0.5333</v>
      </c>
      <c r="K34" s="6">
        <v>1</v>
      </c>
      <c r="L34" s="6">
        <v>6.6699999999999995E-2</v>
      </c>
      <c r="N34" s="11" t="s">
        <v>62</v>
      </c>
      <c r="O34" s="6"/>
      <c r="P34" s="6"/>
      <c r="Q34" s="6"/>
      <c r="R34" s="6"/>
      <c r="S34" s="6"/>
      <c r="T34" s="6"/>
      <c r="U34" s="6"/>
    </row>
    <row r="35" spans="1:21" x14ac:dyDescent="0.35">
      <c r="A35" s="6" t="s">
        <v>52</v>
      </c>
      <c r="B35" s="13"/>
      <c r="C35" s="13"/>
      <c r="D35" s="14">
        <v>4.3867000000000003</v>
      </c>
      <c r="E35" s="14"/>
      <c r="F35" s="14">
        <v>4.2933000000000003</v>
      </c>
      <c r="G35" s="14"/>
      <c r="H35" s="14">
        <v>6.8</v>
      </c>
      <c r="I35" s="14"/>
      <c r="J35" s="14">
        <v>3.8933</v>
      </c>
      <c r="K35" s="14"/>
      <c r="L35" s="14">
        <v>4.3733000000000004</v>
      </c>
      <c r="N35" s="11" t="s">
        <v>46</v>
      </c>
      <c r="O35" s="6" t="s">
        <v>47</v>
      </c>
      <c r="P35" s="6" t="s">
        <v>48</v>
      </c>
      <c r="Q35" s="6" t="s">
        <v>49</v>
      </c>
      <c r="R35" s="6" t="s">
        <v>50</v>
      </c>
      <c r="S35" s="6" t="s">
        <v>51</v>
      </c>
      <c r="T35" s="6" t="s">
        <v>57</v>
      </c>
      <c r="U35" s="6" t="s">
        <v>58</v>
      </c>
    </row>
    <row r="36" spans="1:21" x14ac:dyDescent="0.35">
      <c r="A36" s="6" t="s">
        <v>53</v>
      </c>
      <c r="B36" s="6"/>
      <c r="C36" s="6"/>
      <c r="D36" s="6">
        <v>4</v>
      </c>
      <c r="E36" s="6"/>
      <c r="F36" s="6">
        <v>2</v>
      </c>
      <c r="G36" s="6"/>
      <c r="H36" s="6">
        <v>5</v>
      </c>
      <c r="I36" s="6"/>
      <c r="J36" s="6">
        <v>1</v>
      </c>
      <c r="K36" s="6"/>
      <c r="L36" s="6">
        <v>3</v>
      </c>
      <c r="N36" s="11" t="s">
        <v>47</v>
      </c>
      <c r="O36" s="13">
        <v>0.5</v>
      </c>
      <c r="P36" s="13">
        <v>1</v>
      </c>
      <c r="Q36" s="13">
        <v>0</v>
      </c>
      <c r="R36" s="13">
        <v>0</v>
      </c>
      <c r="S36" s="13">
        <v>1</v>
      </c>
      <c r="T36" s="13">
        <v>2.5</v>
      </c>
      <c r="U36" s="13">
        <v>0.2</v>
      </c>
    </row>
    <row r="37" spans="1:21" x14ac:dyDescent="0.35">
      <c r="N37" s="6" t="s">
        <v>48</v>
      </c>
      <c r="O37" s="13">
        <v>0</v>
      </c>
      <c r="P37" s="13">
        <v>0.5</v>
      </c>
      <c r="Q37" s="13">
        <v>0</v>
      </c>
      <c r="R37" s="13">
        <v>0</v>
      </c>
      <c r="S37" s="13">
        <v>0</v>
      </c>
      <c r="T37" s="13">
        <v>0.5</v>
      </c>
      <c r="U37" s="13">
        <v>0.04</v>
      </c>
    </row>
    <row r="38" spans="1:21" x14ac:dyDescent="0.35">
      <c r="N38" s="6" t="s">
        <v>49</v>
      </c>
      <c r="O38" s="13">
        <v>1</v>
      </c>
      <c r="P38" s="13">
        <v>1</v>
      </c>
      <c r="Q38" s="13">
        <v>0.5</v>
      </c>
      <c r="R38" s="13">
        <v>0</v>
      </c>
      <c r="S38" s="13">
        <v>1</v>
      </c>
      <c r="T38" s="13">
        <v>3.5</v>
      </c>
      <c r="U38" s="13">
        <v>0.28000000000000003</v>
      </c>
    </row>
    <row r="39" spans="1:21" x14ac:dyDescent="0.35">
      <c r="N39" s="6" t="s">
        <v>50</v>
      </c>
      <c r="O39" s="13">
        <v>1</v>
      </c>
      <c r="P39" s="13">
        <v>1</v>
      </c>
      <c r="Q39" s="13">
        <v>1</v>
      </c>
      <c r="R39" s="13">
        <v>0.5</v>
      </c>
      <c r="S39" s="13">
        <v>1</v>
      </c>
      <c r="T39" s="13">
        <v>4.5</v>
      </c>
      <c r="U39" s="13">
        <v>0.36</v>
      </c>
    </row>
    <row r="40" spans="1:21" x14ac:dyDescent="0.35">
      <c r="N40" s="6" t="s">
        <v>51</v>
      </c>
      <c r="O40" s="13">
        <v>0</v>
      </c>
      <c r="P40" s="13">
        <v>1</v>
      </c>
      <c r="Q40" s="13">
        <v>0</v>
      </c>
      <c r="R40" s="13">
        <v>0</v>
      </c>
      <c r="S40" s="13">
        <v>0.5</v>
      </c>
      <c r="T40" s="13">
        <v>1.5</v>
      </c>
      <c r="U40" s="13">
        <v>0.12</v>
      </c>
    </row>
    <row r="42" spans="1:21" x14ac:dyDescent="0.35">
      <c r="N42" s="6" t="s">
        <v>63</v>
      </c>
      <c r="O42" s="6"/>
      <c r="P42" s="6"/>
      <c r="Q42" s="6"/>
      <c r="R42" s="6"/>
      <c r="S42" s="6"/>
      <c r="T42" s="6"/>
      <c r="U42" s="6"/>
    </row>
    <row r="43" spans="1:21" x14ac:dyDescent="0.35">
      <c r="N43" s="6" t="s">
        <v>46</v>
      </c>
      <c r="O43" s="6" t="s">
        <v>47</v>
      </c>
      <c r="P43" s="6" t="s">
        <v>48</v>
      </c>
      <c r="Q43" s="6" t="s">
        <v>49</v>
      </c>
      <c r="R43" s="6" t="s">
        <v>50</v>
      </c>
      <c r="S43" s="6" t="s">
        <v>51</v>
      </c>
      <c r="T43" s="6" t="s">
        <v>57</v>
      </c>
      <c r="U43" s="6" t="s">
        <v>58</v>
      </c>
    </row>
    <row r="44" spans="1:21" x14ac:dyDescent="0.35">
      <c r="N44" s="6" t="s">
        <v>47</v>
      </c>
      <c r="O44" s="13">
        <v>0.5</v>
      </c>
      <c r="P44" s="13">
        <v>1</v>
      </c>
      <c r="Q44" s="13">
        <v>1</v>
      </c>
      <c r="R44" s="13">
        <v>1</v>
      </c>
      <c r="S44" s="13">
        <v>1</v>
      </c>
      <c r="T44" s="13">
        <v>4.5</v>
      </c>
      <c r="U44" s="13">
        <v>0.36</v>
      </c>
    </row>
    <row r="45" spans="1:21" x14ac:dyDescent="0.35">
      <c r="N45" s="6" t="s">
        <v>48</v>
      </c>
      <c r="O45" s="13">
        <v>0</v>
      </c>
      <c r="P45" s="13">
        <v>0.5</v>
      </c>
      <c r="Q45" s="13">
        <v>1</v>
      </c>
      <c r="R45" s="13">
        <v>1</v>
      </c>
      <c r="S45" s="13">
        <v>1</v>
      </c>
      <c r="T45" s="13">
        <v>3.5</v>
      </c>
      <c r="U45" s="13">
        <v>0.28000000000000003</v>
      </c>
    </row>
    <row r="46" spans="1:21" x14ac:dyDescent="0.35">
      <c r="N46" s="6" t="s">
        <v>49</v>
      </c>
      <c r="O46" s="13">
        <v>0</v>
      </c>
      <c r="P46" s="13">
        <v>0</v>
      </c>
      <c r="Q46" s="13">
        <v>0.5</v>
      </c>
      <c r="R46" s="13">
        <v>0</v>
      </c>
      <c r="S46" s="13">
        <v>1</v>
      </c>
      <c r="T46" s="13">
        <v>1.5</v>
      </c>
      <c r="U46" s="13">
        <v>0.12</v>
      </c>
    </row>
    <row r="47" spans="1:21" x14ac:dyDescent="0.35">
      <c r="N47" s="6" t="s">
        <v>50</v>
      </c>
      <c r="O47" s="13">
        <v>0</v>
      </c>
      <c r="P47" s="13">
        <v>0</v>
      </c>
      <c r="Q47" s="13">
        <v>1</v>
      </c>
      <c r="R47" s="13">
        <v>0.5</v>
      </c>
      <c r="S47" s="13">
        <v>1</v>
      </c>
      <c r="T47" s="13">
        <v>2.5</v>
      </c>
      <c r="U47" s="13">
        <v>0.2</v>
      </c>
    </row>
    <row r="48" spans="1:21" x14ac:dyDescent="0.35">
      <c r="N48" s="6" t="s">
        <v>51</v>
      </c>
      <c r="O48" s="13">
        <v>0</v>
      </c>
      <c r="P48" s="13">
        <v>0</v>
      </c>
      <c r="Q48" s="13">
        <v>0</v>
      </c>
      <c r="R48" s="13">
        <v>0</v>
      </c>
      <c r="S48" s="13">
        <v>0.5</v>
      </c>
      <c r="T48" s="13">
        <v>0.5</v>
      </c>
      <c r="U48" s="13">
        <v>0.04</v>
      </c>
    </row>
  </sheetData>
  <mergeCells count="3">
    <mergeCell ref="A1:B1"/>
    <mergeCell ref="P1:Q1"/>
    <mergeCell ref="H9:I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66" scale="9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7C398-6495-4DA3-9103-7F6E34599EEF}">
  <dimension ref="B23:D23"/>
  <sheetViews>
    <sheetView workbookViewId="0">
      <selection activeCell="H24" sqref="H24"/>
    </sheetView>
  </sheetViews>
  <sheetFormatPr defaultRowHeight="14.5" x14ac:dyDescent="0.35"/>
  <sheetData>
    <row r="23" spans="2:4" x14ac:dyDescent="0.35">
      <c r="B23" s="1" t="s">
        <v>87</v>
      </c>
      <c r="C23" s="1"/>
      <c r="D23" s="16">
        <f>0.75*0.8 +0.25*0.4</f>
        <v>0.70000000000000007</v>
      </c>
    </row>
  </sheetData>
  <mergeCells count="1">
    <mergeCell ref="B23:C23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7CCFE-36F8-4B4C-8F11-FEDC455159CB}">
  <sheetPr>
    <pageSetUpPr fitToPage="1"/>
  </sheetPr>
  <dimension ref="A1:AC42"/>
  <sheetViews>
    <sheetView tabSelected="1" zoomScale="85" zoomScaleNormal="85" workbookViewId="0">
      <selection activeCell="B9" sqref="B9"/>
    </sheetView>
  </sheetViews>
  <sheetFormatPr defaultRowHeight="14.5" x14ac:dyDescent="0.35"/>
  <cols>
    <col min="1" max="1" width="13.1796875" customWidth="1"/>
    <col min="2" max="2" width="27.81640625" bestFit="1" customWidth="1"/>
    <col min="9" max="9" width="10.90625" customWidth="1"/>
  </cols>
  <sheetData>
    <row r="1" spans="1:29" x14ac:dyDescent="0.35">
      <c r="A1" s="17" t="s">
        <v>88</v>
      </c>
      <c r="B1" s="17"/>
      <c r="C1" s="17"/>
      <c r="D1" s="17"/>
      <c r="E1" s="17"/>
      <c r="F1" s="17"/>
      <c r="G1" s="17"/>
      <c r="H1" s="17"/>
    </row>
    <row r="2" spans="1:29" x14ac:dyDescent="0.35">
      <c r="Q2" s="1" t="s">
        <v>113</v>
      </c>
      <c r="R2" s="1"/>
      <c r="S2" s="1"/>
      <c r="T2" s="1"/>
      <c r="U2" s="1"/>
    </row>
    <row r="3" spans="1:29" ht="43.5" x14ac:dyDescent="0.35">
      <c r="A3" s="19" t="s">
        <v>89</v>
      </c>
      <c r="B3" s="19" t="s">
        <v>90</v>
      </c>
      <c r="D3" s="18" t="s">
        <v>97</v>
      </c>
      <c r="E3" s="18"/>
      <c r="Q3" s="21" t="s">
        <v>99</v>
      </c>
      <c r="R3" s="22" t="s">
        <v>114</v>
      </c>
      <c r="S3" s="22" t="s">
        <v>115</v>
      </c>
      <c r="T3" s="22" t="s">
        <v>116</v>
      </c>
      <c r="U3" s="40" t="s">
        <v>106</v>
      </c>
      <c r="V3" s="25" t="s">
        <v>107</v>
      </c>
      <c r="W3" s="26"/>
      <c r="X3" s="21" t="s">
        <v>102</v>
      </c>
      <c r="Y3" s="22" t="s">
        <v>114</v>
      </c>
      <c r="Z3" s="22" t="s">
        <v>115</v>
      </c>
      <c r="AA3" s="22" t="s">
        <v>116</v>
      </c>
      <c r="AB3" s="40" t="s">
        <v>106</v>
      </c>
      <c r="AC3" s="25" t="s">
        <v>107</v>
      </c>
    </row>
    <row r="4" spans="1:29" ht="43.5" x14ac:dyDescent="0.35">
      <c r="A4" s="20" t="s">
        <v>91</v>
      </c>
      <c r="B4" s="20" t="s">
        <v>92</v>
      </c>
      <c r="Q4" s="20" t="s">
        <v>114</v>
      </c>
      <c r="R4" s="41">
        <v>1</v>
      </c>
      <c r="S4" s="41">
        <v>0.5</v>
      </c>
      <c r="T4" s="41">
        <v>0.33</v>
      </c>
      <c r="U4" s="42">
        <f>(R4*S4*T4)^(1/3)</f>
        <v>0.54848065524326195</v>
      </c>
      <c r="V4" s="43">
        <f>U4/$U$7</f>
        <v>0.16296661868571247</v>
      </c>
      <c r="X4" s="20" t="s">
        <v>114</v>
      </c>
      <c r="Y4" s="41">
        <v>1</v>
      </c>
      <c r="Z4" s="41">
        <v>0.33</v>
      </c>
      <c r="AA4" s="41">
        <v>0.5</v>
      </c>
      <c r="AB4" s="42">
        <f>(Y4*Z4*AA4)^(1/3)</f>
        <v>0.54848065524326195</v>
      </c>
      <c r="AC4" s="43">
        <f>AB4/$AB$7</f>
        <v>0.16296661868571247</v>
      </c>
    </row>
    <row r="5" spans="1:29" ht="58" x14ac:dyDescent="0.35">
      <c r="A5" s="20" t="s">
        <v>93</v>
      </c>
      <c r="B5" s="20" t="s">
        <v>94</v>
      </c>
      <c r="Q5" s="20" t="s">
        <v>115</v>
      </c>
      <c r="R5" s="41">
        <v>2</v>
      </c>
      <c r="S5" s="41">
        <v>1</v>
      </c>
      <c r="T5" s="41">
        <v>0.5</v>
      </c>
      <c r="U5" s="42">
        <f t="shared" ref="U5:U6" si="0">(R5*S5*T5)^(1/3)</f>
        <v>1</v>
      </c>
      <c r="V5" s="42">
        <f t="shared" ref="V5:V6" si="1">U5/$U$7</f>
        <v>0.29712373103374734</v>
      </c>
      <c r="X5" s="20" t="s">
        <v>115</v>
      </c>
      <c r="Y5" s="41">
        <v>3</v>
      </c>
      <c r="Z5" s="41">
        <v>1</v>
      </c>
      <c r="AA5" s="41">
        <v>2</v>
      </c>
      <c r="AB5" s="42">
        <f t="shared" ref="AB5:AB6" si="2">(Y5*Z5*AA5)^(1/3)</f>
        <v>1.8171205928321397</v>
      </c>
      <c r="AC5" s="42">
        <f>AB5/$AB$7</f>
        <v>0.53990965028054017</v>
      </c>
    </row>
    <row r="6" spans="1:29" ht="58" x14ac:dyDescent="0.35">
      <c r="A6" s="20" t="s">
        <v>95</v>
      </c>
      <c r="B6" s="20" t="s">
        <v>96</v>
      </c>
      <c r="Q6" s="20" t="s">
        <v>116</v>
      </c>
      <c r="R6" s="41">
        <v>3</v>
      </c>
      <c r="S6" s="41">
        <v>2</v>
      </c>
      <c r="T6" s="41">
        <v>1</v>
      </c>
      <c r="U6" s="42">
        <f t="shared" si="0"/>
        <v>1.8171205928321397</v>
      </c>
      <c r="V6" s="42">
        <f t="shared" si="1"/>
        <v>0.53990965028054017</v>
      </c>
      <c r="X6" s="20" t="s">
        <v>116</v>
      </c>
      <c r="Y6" s="41">
        <v>2</v>
      </c>
      <c r="Z6" s="41">
        <v>0.5</v>
      </c>
      <c r="AA6" s="41">
        <v>1</v>
      </c>
      <c r="AB6" s="42">
        <f t="shared" si="2"/>
        <v>1</v>
      </c>
      <c r="AC6" s="42">
        <f t="shared" ref="AC6:AC7" si="3">AB6/$AB$7</f>
        <v>0.29712373103374734</v>
      </c>
    </row>
    <row r="7" spans="1:29" ht="29" x14ac:dyDescent="0.35">
      <c r="Q7" s="30" t="s">
        <v>108</v>
      </c>
      <c r="R7" s="42">
        <f>SUM(R4:R6)</f>
        <v>6</v>
      </c>
      <c r="S7" s="42">
        <f t="shared" ref="S7:T7" si="4">SUM(S4:S6)</f>
        <v>3.5</v>
      </c>
      <c r="T7" s="42">
        <f t="shared" si="4"/>
        <v>1.83</v>
      </c>
      <c r="U7" s="42">
        <f>SUM(U4:U6)</f>
        <v>3.3656012480754018</v>
      </c>
      <c r="V7" s="42">
        <f>SUM(V4:V6)</f>
        <v>1</v>
      </c>
      <c r="X7" s="30" t="s">
        <v>108</v>
      </c>
      <c r="Y7" s="42">
        <f>SUM(Y4:Y6)</f>
        <v>6</v>
      </c>
      <c r="Z7" s="42">
        <f>SUM(Z4:Z6)</f>
        <v>1.83</v>
      </c>
      <c r="AA7" s="42">
        <f t="shared" ref="AA7" si="5">SUM(AA4:AA6)</f>
        <v>3.5</v>
      </c>
      <c r="AB7" s="42">
        <f>SUM(AB4:AB6)</f>
        <v>3.3656012480754018</v>
      </c>
      <c r="AC7" s="42">
        <f t="shared" si="3"/>
        <v>1</v>
      </c>
    </row>
    <row r="8" spans="1:29" x14ac:dyDescent="0.35">
      <c r="Q8" s="29" t="s">
        <v>109</v>
      </c>
      <c r="R8" s="42">
        <f>R7*U4</f>
        <v>3.2908839314595717</v>
      </c>
      <c r="S8" s="42">
        <f>S7*U5</f>
        <v>3.5</v>
      </c>
      <c r="T8" s="42">
        <f>T7*U6</f>
        <v>3.3253306848828159</v>
      </c>
      <c r="U8" s="42"/>
      <c r="V8" s="42"/>
      <c r="X8" s="29" t="s">
        <v>109</v>
      </c>
      <c r="Y8" s="42">
        <f>Y7*AB4</f>
        <v>3.2908839314595717</v>
      </c>
      <c r="Z8" s="42">
        <f>Z7*AB5</f>
        <v>3.3253306848828159</v>
      </c>
      <c r="AA8" s="42">
        <f>AA7*AB6</f>
        <v>3.5</v>
      </c>
      <c r="AB8" s="42"/>
      <c r="AC8" s="42"/>
    </row>
    <row r="9" spans="1:29" ht="29" x14ac:dyDescent="0.35">
      <c r="Q9" s="33" t="s">
        <v>110</v>
      </c>
      <c r="R9" s="44">
        <f>SUM(R8:T8)</f>
        <v>10.116214616342388</v>
      </c>
      <c r="S9" s="44"/>
      <c r="T9" s="44"/>
      <c r="U9" s="44"/>
      <c r="V9" s="44"/>
      <c r="X9" s="33" t="s">
        <v>110</v>
      </c>
      <c r="Y9" s="44">
        <f>SUM(Y8:AA8)</f>
        <v>10.116214616342388</v>
      </c>
      <c r="Z9" s="44"/>
      <c r="AA9" s="44"/>
      <c r="AB9" s="44"/>
      <c r="AC9" s="44"/>
    </row>
    <row r="10" spans="1:29" x14ac:dyDescent="0.35">
      <c r="Q10" s="33" t="s">
        <v>111</v>
      </c>
      <c r="R10" s="44">
        <f>(R9-3)/2</f>
        <v>3.558107308171194</v>
      </c>
      <c r="S10" s="44"/>
      <c r="T10" s="44"/>
      <c r="U10" s="44"/>
      <c r="V10" s="44"/>
      <c r="X10" s="33" t="s">
        <v>111</v>
      </c>
      <c r="Y10" s="44">
        <f>(Y9-3)/2</f>
        <v>3.558107308171194</v>
      </c>
      <c r="Z10" s="44"/>
      <c r="AA10" s="44"/>
      <c r="AB10" s="44"/>
      <c r="AC10" s="44"/>
    </row>
    <row r="11" spans="1:29" x14ac:dyDescent="0.35">
      <c r="Q11" s="33" t="s">
        <v>112</v>
      </c>
      <c r="R11" s="44">
        <f>R10*0.58</f>
        <v>2.0637022387392925</v>
      </c>
      <c r="S11" s="44"/>
      <c r="T11" s="44"/>
      <c r="U11" s="44"/>
      <c r="V11" s="44"/>
      <c r="X11" s="33" t="s">
        <v>112</v>
      </c>
      <c r="Y11" s="44">
        <f>Y10*0.58</f>
        <v>2.0637022387392925</v>
      </c>
      <c r="Z11" s="44"/>
      <c r="AA11" s="44"/>
      <c r="AB11" s="44"/>
      <c r="AC11" s="44"/>
    </row>
    <row r="13" spans="1:29" ht="43.5" x14ac:dyDescent="0.35">
      <c r="Q13" s="21" t="s">
        <v>100</v>
      </c>
      <c r="R13" s="22" t="s">
        <v>114</v>
      </c>
      <c r="S13" s="22" t="s">
        <v>115</v>
      </c>
      <c r="T13" s="22" t="s">
        <v>116</v>
      </c>
      <c r="U13" s="25" t="s">
        <v>106</v>
      </c>
      <c r="V13" s="25" t="s">
        <v>107</v>
      </c>
      <c r="X13" s="21" t="s">
        <v>103</v>
      </c>
      <c r="Y13" s="22" t="s">
        <v>114</v>
      </c>
      <c r="Z13" s="22" t="s">
        <v>115</v>
      </c>
      <c r="AA13" s="22" t="s">
        <v>116</v>
      </c>
      <c r="AB13" s="40" t="s">
        <v>106</v>
      </c>
      <c r="AC13" s="25" t="s">
        <v>107</v>
      </c>
    </row>
    <row r="14" spans="1:29" x14ac:dyDescent="0.35">
      <c r="Q14" s="20" t="s">
        <v>114</v>
      </c>
      <c r="R14" s="41">
        <v>1</v>
      </c>
      <c r="S14" s="41">
        <v>0.5</v>
      </c>
      <c r="T14" s="41">
        <v>0.25</v>
      </c>
      <c r="U14" s="42">
        <f>(R14*S14*T14)^(1/3)</f>
        <v>0.50000000000000011</v>
      </c>
      <c r="V14" s="43">
        <f>U14/$U$17</f>
        <v>0.14285714285714288</v>
      </c>
      <c r="X14" s="20" t="s">
        <v>114</v>
      </c>
      <c r="Y14" s="41">
        <v>1</v>
      </c>
      <c r="Z14" s="41">
        <v>0.25</v>
      </c>
      <c r="AA14" s="41">
        <v>0.5</v>
      </c>
      <c r="AB14" s="42">
        <f>(Y14*Z14*AA14)^(1/3)</f>
        <v>0.50000000000000011</v>
      </c>
      <c r="AC14" s="43">
        <f>AB14/$AB$17</f>
        <v>0.14285714285714288</v>
      </c>
    </row>
    <row r="15" spans="1:29" x14ac:dyDescent="0.35">
      <c r="A15" s="1" t="s">
        <v>98</v>
      </c>
      <c r="B15" s="1"/>
      <c r="Q15" s="20" t="s">
        <v>115</v>
      </c>
      <c r="R15" s="41">
        <v>2</v>
      </c>
      <c r="S15" s="41">
        <v>1</v>
      </c>
      <c r="T15" s="41">
        <v>0.5</v>
      </c>
      <c r="U15" s="42">
        <f t="shared" ref="U15:U16" si="6">(R15*S15*T15)^(1/3)</f>
        <v>1</v>
      </c>
      <c r="V15" s="42">
        <f t="shared" ref="V15:V17" si="7">U15/$U$17</f>
        <v>0.2857142857142857</v>
      </c>
      <c r="X15" s="20" t="s">
        <v>115</v>
      </c>
      <c r="Y15" s="41">
        <v>4</v>
      </c>
      <c r="Z15" s="41">
        <v>1</v>
      </c>
      <c r="AA15" s="41">
        <v>2</v>
      </c>
      <c r="AB15" s="42">
        <f t="shared" ref="AB15:AB16" si="8">(Y15*Z15*AA15)^(1/3)</f>
        <v>1.9999999999999998</v>
      </c>
      <c r="AC15" s="42">
        <f t="shared" ref="AC15:AC17" si="9">AB15/$AB$17</f>
        <v>0.5714285714285714</v>
      </c>
    </row>
    <row r="16" spans="1:29" ht="58" x14ac:dyDescent="0.35">
      <c r="A16" s="21" t="s">
        <v>46</v>
      </c>
      <c r="B16" s="22" t="s">
        <v>99</v>
      </c>
      <c r="C16" s="22" t="s">
        <v>100</v>
      </c>
      <c r="D16" s="22" t="s">
        <v>101</v>
      </c>
      <c r="E16" s="22" t="s">
        <v>102</v>
      </c>
      <c r="F16" s="22" t="s">
        <v>103</v>
      </c>
      <c r="G16" s="22" t="s">
        <v>104</v>
      </c>
      <c r="H16" s="22" t="s">
        <v>105</v>
      </c>
      <c r="I16" s="25" t="s">
        <v>106</v>
      </c>
      <c r="J16" s="25" t="s">
        <v>107</v>
      </c>
      <c r="Q16" s="20" t="s">
        <v>116</v>
      </c>
      <c r="R16" s="41">
        <v>4</v>
      </c>
      <c r="S16" s="41">
        <v>2</v>
      </c>
      <c r="T16" s="41">
        <v>1</v>
      </c>
      <c r="U16" s="42">
        <f t="shared" si="6"/>
        <v>1.9999999999999998</v>
      </c>
      <c r="V16" s="42">
        <f t="shared" si="7"/>
        <v>0.5714285714285714</v>
      </c>
      <c r="X16" s="20" t="s">
        <v>116</v>
      </c>
      <c r="Y16" s="41">
        <v>2</v>
      </c>
      <c r="Z16" s="41">
        <v>0.5</v>
      </c>
      <c r="AA16" s="41">
        <v>1</v>
      </c>
      <c r="AB16" s="42">
        <f t="shared" si="8"/>
        <v>1</v>
      </c>
      <c r="AC16" s="42">
        <f t="shared" si="9"/>
        <v>0.2857142857142857</v>
      </c>
    </row>
    <row r="17" spans="1:29" ht="29" x14ac:dyDescent="0.35">
      <c r="A17" s="24" t="s">
        <v>99</v>
      </c>
      <c r="B17" s="23">
        <v>1</v>
      </c>
      <c r="C17" s="23">
        <v>0.5</v>
      </c>
      <c r="D17" s="23">
        <v>0.5</v>
      </c>
      <c r="E17" s="23">
        <v>1</v>
      </c>
      <c r="F17" s="23">
        <f>0.33</f>
        <v>0.33</v>
      </c>
      <c r="G17" s="23">
        <v>0.5</v>
      </c>
      <c r="H17" s="23">
        <v>0.33</v>
      </c>
      <c r="I17" s="6">
        <f>(B17*C17*D17*E17*F17*G17*H17)^(1/7)</f>
        <v>0.54127715650318675</v>
      </c>
      <c r="J17" s="28">
        <f>I17/$I$24</f>
        <v>7.2117846066069025E-2</v>
      </c>
      <c r="Q17" s="30" t="s">
        <v>108</v>
      </c>
      <c r="R17" s="42">
        <f>SUM(R14:R16)</f>
        <v>7</v>
      </c>
      <c r="S17" s="42">
        <f t="shared" ref="S17" si="10">SUM(S14:S16)</f>
        <v>3.5</v>
      </c>
      <c r="T17" s="42">
        <f t="shared" ref="T17" si="11">SUM(T14:T16)</f>
        <v>1.75</v>
      </c>
      <c r="U17" s="42">
        <f>SUM(U14:U16)</f>
        <v>3.5</v>
      </c>
      <c r="V17" s="42">
        <f t="shared" si="7"/>
        <v>1</v>
      </c>
      <c r="X17" s="30" t="s">
        <v>108</v>
      </c>
      <c r="Y17" s="42">
        <f>SUM(Y14:Y16)</f>
        <v>7</v>
      </c>
      <c r="Z17" s="42">
        <f>SUM(Z14:Z16)</f>
        <v>1.75</v>
      </c>
      <c r="AA17" s="42">
        <f t="shared" ref="AA17" si="12">SUM(AA14:AA16)</f>
        <v>3.5</v>
      </c>
      <c r="AB17" s="42">
        <f>SUM(AB14:AB16)</f>
        <v>3.5</v>
      </c>
      <c r="AC17" s="42">
        <f t="shared" si="9"/>
        <v>1</v>
      </c>
    </row>
    <row r="18" spans="1:29" x14ac:dyDescent="0.35">
      <c r="A18" s="24" t="s">
        <v>100</v>
      </c>
      <c r="B18" s="23">
        <v>2</v>
      </c>
      <c r="C18" s="23">
        <v>1</v>
      </c>
      <c r="D18" s="23">
        <v>1</v>
      </c>
      <c r="E18" s="23">
        <v>2</v>
      </c>
      <c r="F18" s="23">
        <v>1</v>
      </c>
      <c r="G18" s="23">
        <v>2</v>
      </c>
      <c r="H18" s="23">
        <v>1</v>
      </c>
      <c r="I18" s="6">
        <f>(B18*C18*D18*E18*F18*G18*H18)^(1/7)</f>
        <v>1.3459001926323562</v>
      </c>
      <c r="J18" s="28">
        <f t="shared" ref="J18:J24" si="13">I18/$I$24</f>
        <v>0.17932296189924551</v>
      </c>
      <c r="Q18" s="29" t="s">
        <v>109</v>
      </c>
      <c r="R18" s="42">
        <f>R17*U14</f>
        <v>3.5000000000000009</v>
      </c>
      <c r="S18" s="42">
        <f>S17*U15</f>
        <v>3.5</v>
      </c>
      <c r="T18" s="42">
        <f>T17*U16</f>
        <v>3.4999999999999996</v>
      </c>
      <c r="U18" s="42"/>
      <c r="V18" s="42"/>
      <c r="X18" s="29" t="s">
        <v>109</v>
      </c>
      <c r="Y18" s="42">
        <f>Y17*AB14</f>
        <v>3.5000000000000009</v>
      </c>
      <c r="Z18" s="42">
        <f>Z17*AB15</f>
        <v>3.4999999999999996</v>
      </c>
      <c r="AA18" s="42">
        <f>AA17*AB16</f>
        <v>3.5</v>
      </c>
      <c r="AB18" s="42"/>
      <c r="AC18" s="42"/>
    </row>
    <row r="19" spans="1:29" ht="29" x14ac:dyDescent="0.35">
      <c r="A19" s="24" t="s">
        <v>101</v>
      </c>
      <c r="B19" s="23">
        <v>2</v>
      </c>
      <c r="C19" s="23">
        <v>1</v>
      </c>
      <c r="D19" s="23">
        <v>1</v>
      </c>
      <c r="E19" s="23">
        <v>1</v>
      </c>
      <c r="F19" s="23">
        <v>0.5</v>
      </c>
      <c r="G19" s="23">
        <v>1</v>
      </c>
      <c r="H19" s="23">
        <v>0.5</v>
      </c>
      <c r="I19" s="6">
        <f>(B19*C19*D19*E19*F19*G19*H19)^(1/7)</f>
        <v>0.90572366426390671</v>
      </c>
      <c r="J19" s="28">
        <f t="shared" si="13"/>
        <v>0.12067540448179959</v>
      </c>
      <c r="Q19" s="33" t="s">
        <v>110</v>
      </c>
      <c r="R19" s="44">
        <f>SUM(R18:T18)</f>
        <v>10.5</v>
      </c>
      <c r="S19" s="44"/>
      <c r="T19" s="44"/>
      <c r="U19" s="44"/>
      <c r="V19" s="44"/>
      <c r="X19" s="33" t="s">
        <v>110</v>
      </c>
      <c r="Y19" s="44">
        <f>SUM(Y18:AA18)</f>
        <v>10.5</v>
      </c>
      <c r="Z19" s="44"/>
      <c r="AA19" s="44"/>
      <c r="AB19" s="44"/>
      <c r="AC19" s="44"/>
    </row>
    <row r="20" spans="1:29" x14ac:dyDescent="0.35">
      <c r="A20" s="24" t="s">
        <v>102</v>
      </c>
      <c r="B20" s="23">
        <v>1</v>
      </c>
      <c r="C20" s="23">
        <v>0.5</v>
      </c>
      <c r="D20" s="23">
        <v>1</v>
      </c>
      <c r="E20" s="23">
        <v>1</v>
      </c>
      <c r="F20" s="23">
        <v>0.5</v>
      </c>
      <c r="G20" s="23">
        <v>1</v>
      </c>
      <c r="H20" s="23">
        <v>0.5</v>
      </c>
      <c r="I20" s="6">
        <f t="shared" ref="I18:I24" si="14">(B20*C20*D20*E20*F20*G20*H20)^(1/7)</f>
        <v>0.74299714456847421</v>
      </c>
      <c r="J20" s="28">
        <f t="shared" si="13"/>
        <v>9.8994300896942763E-2</v>
      </c>
      <c r="Q20" s="33" t="s">
        <v>111</v>
      </c>
      <c r="R20" s="44">
        <f>(R19-3)/2</f>
        <v>3.75</v>
      </c>
      <c r="S20" s="44"/>
      <c r="T20" s="44"/>
      <c r="U20" s="44"/>
      <c r="V20" s="44"/>
      <c r="X20" s="33" t="s">
        <v>111</v>
      </c>
      <c r="Y20" s="44">
        <f>(Y19-3)/2</f>
        <v>3.75</v>
      </c>
      <c r="Z20" s="44"/>
      <c r="AA20" s="44"/>
      <c r="AB20" s="44"/>
      <c r="AC20" s="44"/>
    </row>
    <row r="21" spans="1:29" ht="29" x14ac:dyDescent="0.35">
      <c r="A21" s="24" t="s">
        <v>103</v>
      </c>
      <c r="B21" s="23">
        <v>3</v>
      </c>
      <c r="C21" s="23">
        <v>1</v>
      </c>
      <c r="D21" s="23">
        <v>2</v>
      </c>
      <c r="E21" s="23">
        <v>2</v>
      </c>
      <c r="F21" s="23">
        <v>1</v>
      </c>
      <c r="G21" s="23">
        <v>2</v>
      </c>
      <c r="H21" s="23">
        <v>1</v>
      </c>
      <c r="I21" s="6">
        <f t="shared" si="14"/>
        <v>1.5746101062584457</v>
      </c>
      <c r="J21" s="28">
        <f t="shared" si="13"/>
        <v>0.20979545856107934</v>
      </c>
      <c r="Q21" s="33" t="s">
        <v>112</v>
      </c>
      <c r="R21" s="44">
        <f>R20*0.58</f>
        <v>2.1749999999999998</v>
      </c>
      <c r="S21" s="44"/>
      <c r="T21" s="44"/>
      <c r="U21" s="44"/>
      <c r="V21" s="44"/>
      <c r="X21" s="33" t="s">
        <v>112</v>
      </c>
      <c r="Y21" s="44">
        <f>Y20*0.58</f>
        <v>2.1749999999999998</v>
      </c>
      <c r="Z21" s="44"/>
      <c r="AA21" s="44"/>
      <c r="AB21" s="44"/>
      <c r="AC21" s="44"/>
    </row>
    <row r="22" spans="1:29" x14ac:dyDescent="0.35">
      <c r="A22" s="24" t="s">
        <v>104</v>
      </c>
      <c r="B22" s="23">
        <v>2</v>
      </c>
      <c r="C22" s="23">
        <v>0.5</v>
      </c>
      <c r="D22" s="23">
        <v>1</v>
      </c>
      <c r="E22" s="23">
        <v>1</v>
      </c>
      <c r="F22" s="23">
        <v>0.5</v>
      </c>
      <c r="G22" s="23">
        <v>1</v>
      </c>
      <c r="H22" s="23">
        <v>0.5</v>
      </c>
      <c r="I22" s="6">
        <f t="shared" si="14"/>
        <v>0.82033535600763796</v>
      </c>
      <c r="J22" s="28">
        <f t="shared" si="13"/>
        <v>0.1092985695337846</v>
      </c>
    </row>
    <row r="23" spans="1:29" ht="72.5" x14ac:dyDescent="0.35">
      <c r="A23" s="24" t="s">
        <v>105</v>
      </c>
      <c r="B23" s="23">
        <v>3</v>
      </c>
      <c r="C23" s="23">
        <v>1</v>
      </c>
      <c r="D23" s="23">
        <v>2</v>
      </c>
      <c r="E23" s="23">
        <v>2</v>
      </c>
      <c r="F23" s="23">
        <v>1</v>
      </c>
      <c r="G23" s="23">
        <v>2</v>
      </c>
      <c r="H23" s="23">
        <v>1</v>
      </c>
      <c r="I23" s="6">
        <f t="shared" si="14"/>
        <v>1.5746101062584457</v>
      </c>
      <c r="J23" s="28">
        <f t="shared" si="13"/>
        <v>0.20979545856107934</v>
      </c>
      <c r="Q23" s="21" t="s">
        <v>117</v>
      </c>
      <c r="R23" s="22" t="s">
        <v>114</v>
      </c>
      <c r="S23" s="22" t="s">
        <v>115</v>
      </c>
      <c r="T23" s="22" t="s">
        <v>116</v>
      </c>
      <c r="U23" s="25" t="s">
        <v>106</v>
      </c>
      <c r="V23" s="25" t="s">
        <v>107</v>
      </c>
      <c r="X23" s="21" t="s">
        <v>104</v>
      </c>
      <c r="Y23" s="22" t="s">
        <v>114</v>
      </c>
      <c r="Z23" s="22" t="s">
        <v>115</v>
      </c>
      <c r="AA23" s="22" t="s">
        <v>116</v>
      </c>
      <c r="AB23" s="40" t="s">
        <v>106</v>
      </c>
      <c r="AC23" s="25" t="s">
        <v>107</v>
      </c>
    </row>
    <row r="24" spans="1:29" x14ac:dyDescent="0.35">
      <c r="A24" s="30" t="s">
        <v>108</v>
      </c>
      <c r="B24" s="31">
        <f>SUM(B17:B23)</f>
        <v>14</v>
      </c>
      <c r="C24" s="31">
        <f t="shared" ref="C24:I24" si="15">SUM(C17:C23)</f>
        <v>5.5</v>
      </c>
      <c r="D24" s="31">
        <f t="shared" si="15"/>
        <v>8.5</v>
      </c>
      <c r="E24" s="31">
        <f t="shared" si="15"/>
        <v>10</v>
      </c>
      <c r="F24" s="31">
        <f t="shared" si="15"/>
        <v>4.83</v>
      </c>
      <c r="G24" s="31">
        <f t="shared" si="15"/>
        <v>9.5</v>
      </c>
      <c r="H24" s="31">
        <f t="shared" si="15"/>
        <v>4.83</v>
      </c>
      <c r="I24" s="31">
        <f t="shared" si="15"/>
        <v>7.5054537264924521</v>
      </c>
      <c r="J24" s="28">
        <f t="shared" si="13"/>
        <v>1</v>
      </c>
      <c r="Q24" s="20" t="s">
        <v>114</v>
      </c>
      <c r="R24" s="41">
        <v>1</v>
      </c>
      <c r="S24" s="41">
        <v>0.33</v>
      </c>
      <c r="T24" s="41">
        <v>0.5</v>
      </c>
      <c r="U24" s="42">
        <f>(R24*S24*T24)^(1/3)</f>
        <v>0.54848065524326195</v>
      </c>
      <c r="V24" s="42">
        <f>U24/$U$27</f>
        <v>0.16296661868571247</v>
      </c>
      <c r="X24" s="20" t="s">
        <v>114</v>
      </c>
      <c r="Y24" s="41">
        <v>1</v>
      </c>
      <c r="Z24" s="41">
        <v>0.33</v>
      </c>
      <c r="AA24" s="41">
        <v>0.25</v>
      </c>
      <c r="AB24" s="42">
        <f>(Y24*Z24*AA24)^(1/3)</f>
        <v>0.43532938455868059</v>
      </c>
      <c r="AC24" s="43">
        <f>AB24/$AB$27</f>
        <v>0.12159890490213293</v>
      </c>
    </row>
    <row r="25" spans="1:29" x14ac:dyDescent="0.35">
      <c r="A25" s="29" t="s">
        <v>109</v>
      </c>
      <c r="B25" s="28">
        <f>B24*J17</f>
        <v>1.0096498449249665</v>
      </c>
      <c r="C25" s="28">
        <f>C24*J18</f>
        <v>0.9862762904458503</v>
      </c>
      <c r="D25" s="28">
        <f>D24*J19</f>
        <v>1.0257409380952964</v>
      </c>
      <c r="E25" s="28">
        <f>E24*J20</f>
        <v>0.98994300896942766</v>
      </c>
      <c r="F25" s="28">
        <f>F24*J21</f>
        <v>1.0133120648500131</v>
      </c>
      <c r="G25" s="28">
        <f>G24*J22</f>
        <v>1.0383364105709536</v>
      </c>
      <c r="H25" s="28">
        <f>H24*J23</f>
        <v>1.0133120648500131</v>
      </c>
      <c r="I25" s="6"/>
      <c r="J25" s="6"/>
      <c r="Q25" s="20" t="s">
        <v>115</v>
      </c>
      <c r="R25" s="41">
        <v>3</v>
      </c>
      <c r="S25" s="41">
        <v>1</v>
      </c>
      <c r="T25" s="41">
        <v>2</v>
      </c>
      <c r="U25" s="42">
        <f t="shared" ref="U25:U26" si="16">(R25*S25*T25)^(1/3)</f>
        <v>1.8171205928321397</v>
      </c>
      <c r="V25" s="42">
        <f t="shared" ref="V25:V27" si="17">U25/$U$27</f>
        <v>0.53990965028054017</v>
      </c>
      <c r="X25" s="20" t="s">
        <v>115</v>
      </c>
      <c r="Y25" s="41">
        <v>3</v>
      </c>
      <c r="Z25" s="41">
        <v>1</v>
      </c>
      <c r="AA25" s="41">
        <v>0.5</v>
      </c>
      <c r="AB25" s="42">
        <f t="shared" ref="AB25:AB26" si="18">(Y25*Z25*AA25)^(1/3)</f>
        <v>1.1447142425533319</v>
      </c>
      <c r="AC25" s="42">
        <f t="shared" ref="AC25:AC27" si="19">AB25/$AB$27</f>
        <v>0.31974868515129307</v>
      </c>
    </row>
    <row r="26" spans="1:29" x14ac:dyDescent="0.35">
      <c r="A26" s="33" t="s">
        <v>110</v>
      </c>
      <c r="B26" s="34">
        <f>SUM(B25:H25)</f>
        <v>7.0765706227065204</v>
      </c>
      <c r="C26" s="35"/>
      <c r="D26" s="35"/>
      <c r="E26" s="35"/>
      <c r="F26" s="35"/>
      <c r="G26" s="35"/>
      <c r="H26" s="35"/>
      <c r="I26" s="35"/>
      <c r="J26" s="36"/>
      <c r="Q26" s="20" t="s">
        <v>116</v>
      </c>
      <c r="R26" s="41">
        <v>2</v>
      </c>
      <c r="S26" s="41">
        <v>0.5</v>
      </c>
      <c r="T26" s="41">
        <v>1</v>
      </c>
      <c r="U26" s="42">
        <f t="shared" si="16"/>
        <v>1</v>
      </c>
      <c r="V26" s="42">
        <f t="shared" si="17"/>
        <v>0.29712373103374734</v>
      </c>
      <c r="X26" s="20" t="s">
        <v>116</v>
      </c>
      <c r="Y26" s="41">
        <v>4</v>
      </c>
      <c r="Z26" s="41">
        <v>2</v>
      </c>
      <c r="AA26" s="41">
        <v>1</v>
      </c>
      <c r="AB26" s="42">
        <f t="shared" si="18"/>
        <v>1.9999999999999998</v>
      </c>
      <c r="AC26" s="42">
        <f t="shared" si="19"/>
        <v>0.55865240994657406</v>
      </c>
    </row>
    <row r="27" spans="1:29" ht="29" x14ac:dyDescent="0.35">
      <c r="A27" s="33" t="s">
        <v>111</v>
      </c>
      <c r="B27" s="37">
        <f>(B26-7)/6</f>
        <v>1.2761770451086729E-2</v>
      </c>
      <c r="C27" s="38"/>
      <c r="D27" s="38"/>
      <c r="E27" s="38"/>
      <c r="F27" s="38"/>
      <c r="G27" s="38"/>
      <c r="H27" s="38"/>
      <c r="I27" s="38"/>
      <c r="J27" s="39"/>
      <c r="Q27" s="30" t="s">
        <v>108</v>
      </c>
      <c r="R27" s="42">
        <f>SUM(R24:R26)</f>
        <v>6</v>
      </c>
      <c r="S27" s="42">
        <f>SUM(S24:S26)</f>
        <v>1.83</v>
      </c>
      <c r="T27" s="42">
        <f t="shared" ref="T27" si="20">SUM(T24:T26)</f>
        <v>3.5</v>
      </c>
      <c r="U27" s="42">
        <f>SUM(U24:U26)</f>
        <v>3.3656012480754018</v>
      </c>
      <c r="V27" s="42">
        <f t="shared" si="17"/>
        <v>1</v>
      </c>
      <c r="X27" s="30" t="s">
        <v>108</v>
      </c>
      <c r="Y27" s="42">
        <f>SUM(Y24:Y26)</f>
        <v>8</v>
      </c>
      <c r="Z27" s="42">
        <f>SUM(Z24:Z26)</f>
        <v>3.33</v>
      </c>
      <c r="AA27" s="42">
        <f t="shared" ref="AA27" si="21">SUM(AA24:AA26)</f>
        <v>1.75</v>
      </c>
      <c r="AB27" s="42">
        <f>SUM(AB24:AB26)</f>
        <v>3.580043627112012</v>
      </c>
      <c r="AC27" s="42">
        <f t="shared" si="19"/>
        <v>1</v>
      </c>
    </row>
    <row r="28" spans="1:29" x14ac:dyDescent="0.35">
      <c r="A28" s="33" t="s">
        <v>112</v>
      </c>
      <c r="B28" s="37">
        <f>B27/1.32</f>
        <v>9.6680079174899462E-3</v>
      </c>
      <c r="C28" s="38"/>
      <c r="D28" s="38"/>
      <c r="E28" s="38"/>
      <c r="F28" s="38"/>
      <c r="G28" s="38"/>
      <c r="H28" s="38"/>
      <c r="I28" s="38"/>
      <c r="J28" s="39"/>
      <c r="Q28" s="29" t="s">
        <v>109</v>
      </c>
      <c r="R28" s="42">
        <f>R27*U24</f>
        <v>3.2908839314595717</v>
      </c>
      <c r="S28" s="42">
        <f>S27*U25</f>
        <v>3.3253306848828159</v>
      </c>
      <c r="T28" s="42">
        <f>T27*U26</f>
        <v>3.5</v>
      </c>
      <c r="U28" s="42"/>
      <c r="V28" s="42"/>
      <c r="X28" s="29" t="s">
        <v>109</v>
      </c>
      <c r="Y28" s="42">
        <f>Y27*AB24</f>
        <v>3.4826350764694447</v>
      </c>
      <c r="Z28" s="42">
        <f>Z27*AB25</f>
        <v>3.8118984277025953</v>
      </c>
      <c r="AA28" s="42">
        <f>AA27*AB26</f>
        <v>3.4999999999999996</v>
      </c>
      <c r="AB28" s="42"/>
      <c r="AC28" s="42"/>
    </row>
    <row r="29" spans="1:29" ht="29" x14ac:dyDescent="0.35">
      <c r="A29" s="27"/>
      <c r="B29" s="27"/>
      <c r="C29" s="27"/>
      <c r="D29" s="27"/>
      <c r="E29" s="27"/>
      <c r="F29" s="27"/>
      <c r="G29" s="27"/>
      <c r="Q29" s="33" t="s">
        <v>110</v>
      </c>
      <c r="R29" s="44">
        <f>SUM(R28:T28)</f>
        <v>10.116214616342388</v>
      </c>
      <c r="S29" s="44"/>
      <c r="T29" s="44"/>
      <c r="U29" s="44"/>
      <c r="V29" s="44"/>
      <c r="X29" s="33" t="s">
        <v>110</v>
      </c>
      <c r="Y29" s="44">
        <f>SUM(Y28:AA28)</f>
        <v>10.79453350417204</v>
      </c>
      <c r="Z29" s="44"/>
      <c r="AA29" s="44"/>
      <c r="AB29" s="44"/>
      <c r="AC29" s="44"/>
    </row>
    <row r="30" spans="1:29" x14ac:dyDescent="0.35">
      <c r="A30" s="47" t="s">
        <v>118</v>
      </c>
      <c r="B30" s="47"/>
      <c r="C30" s="27"/>
      <c r="D30" s="27"/>
      <c r="E30" s="27"/>
      <c r="Q30" s="33" t="s">
        <v>111</v>
      </c>
      <c r="R30" s="44">
        <f>(R29-3)/2</f>
        <v>3.558107308171194</v>
      </c>
      <c r="S30" s="44"/>
      <c r="T30" s="44"/>
      <c r="U30" s="44"/>
      <c r="V30" s="44"/>
      <c r="X30" s="33" t="s">
        <v>111</v>
      </c>
      <c r="Y30" s="44">
        <f>(Y29-3)/2</f>
        <v>3.8972667520860202</v>
      </c>
      <c r="Z30" s="44"/>
      <c r="AA30" s="44"/>
      <c r="AB30" s="44"/>
      <c r="AC30" s="44"/>
    </row>
    <row r="31" spans="1:29" ht="43.5" x14ac:dyDescent="0.35">
      <c r="A31" s="21" t="s">
        <v>90</v>
      </c>
      <c r="B31" s="22" t="s">
        <v>99</v>
      </c>
      <c r="C31" s="22" t="s">
        <v>100</v>
      </c>
      <c r="D31" s="22" t="s">
        <v>119</v>
      </c>
      <c r="E31" s="22" t="s">
        <v>102</v>
      </c>
      <c r="F31" s="22" t="s">
        <v>103</v>
      </c>
      <c r="G31" s="22" t="s">
        <v>104</v>
      </c>
      <c r="H31" s="22" t="s">
        <v>105</v>
      </c>
      <c r="J31" s="48"/>
      <c r="K31" s="32"/>
      <c r="Q31" s="33" t="s">
        <v>112</v>
      </c>
      <c r="R31" s="44">
        <f>R30*0.58</f>
        <v>2.0637022387392925</v>
      </c>
      <c r="S31" s="44"/>
      <c r="T31" s="44"/>
      <c r="U31" s="44"/>
      <c r="V31" s="44"/>
      <c r="X31" s="33" t="s">
        <v>112</v>
      </c>
      <c r="Y31" s="44">
        <f>Y30*0.58</f>
        <v>2.2604147162098918</v>
      </c>
      <c r="Z31" s="44"/>
      <c r="AA31" s="44"/>
      <c r="AB31" s="44"/>
      <c r="AC31" s="44"/>
    </row>
    <row r="32" spans="1:29" x14ac:dyDescent="0.35">
      <c r="A32" s="20" t="s">
        <v>120</v>
      </c>
      <c r="B32" s="45">
        <v>0.16300000000000001</v>
      </c>
      <c r="C32" s="45">
        <v>0.14299999999999999</v>
      </c>
      <c r="D32" s="45">
        <v>0.16300000000000001</v>
      </c>
      <c r="E32" s="45">
        <v>0.16300000000000001</v>
      </c>
      <c r="F32" s="45">
        <v>0.14299999999999999</v>
      </c>
      <c r="G32" s="45">
        <v>0.122</v>
      </c>
      <c r="H32" s="45">
        <v>0.4</v>
      </c>
      <c r="J32" s="48"/>
      <c r="K32" s="32"/>
    </row>
    <row r="33" spans="1:29" ht="58" x14ac:dyDescent="0.35">
      <c r="A33" s="20" t="s">
        <v>121</v>
      </c>
      <c r="B33" s="45">
        <v>0.29699999999999999</v>
      </c>
      <c r="C33" s="45">
        <v>0.28599999999999998</v>
      </c>
      <c r="D33" s="45">
        <v>0.54</v>
      </c>
      <c r="E33" s="45">
        <v>0.54</v>
      </c>
      <c r="F33" s="45">
        <v>0.57099999999999995</v>
      </c>
      <c r="G33" s="45">
        <v>0.32</v>
      </c>
      <c r="H33" s="45">
        <v>0.4</v>
      </c>
      <c r="J33" s="24" t="s">
        <v>124</v>
      </c>
      <c r="K33" s="24" t="s">
        <v>99</v>
      </c>
      <c r="L33" s="24" t="s">
        <v>100</v>
      </c>
      <c r="M33" s="24" t="s">
        <v>101</v>
      </c>
      <c r="N33" s="24" t="s">
        <v>102</v>
      </c>
      <c r="O33" s="24" t="s">
        <v>103</v>
      </c>
      <c r="P33" s="24" t="s">
        <v>104</v>
      </c>
      <c r="Q33" s="24" t="s">
        <v>105</v>
      </c>
      <c r="X33" s="21" t="s">
        <v>105</v>
      </c>
      <c r="Y33" s="22" t="s">
        <v>114</v>
      </c>
      <c r="Z33" s="22" t="s">
        <v>115</v>
      </c>
      <c r="AA33" s="22" t="s">
        <v>116</v>
      </c>
      <c r="AB33" s="40" t="s">
        <v>106</v>
      </c>
      <c r="AC33" s="25" t="s">
        <v>107</v>
      </c>
    </row>
    <row r="34" spans="1:29" ht="58" x14ac:dyDescent="0.35">
      <c r="A34" s="20" t="s">
        <v>122</v>
      </c>
      <c r="B34" s="45">
        <v>0.54</v>
      </c>
      <c r="C34" s="45">
        <v>0.57099999999999995</v>
      </c>
      <c r="D34" s="45">
        <v>0.29699999999999999</v>
      </c>
      <c r="E34" s="45">
        <v>0.29699999999999999</v>
      </c>
      <c r="F34" s="45">
        <v>0.28599999999999998</v>
      </c>
      <c r="G34" s="45">
        <v>0.55800000000000005</v>
      </c>
      <c r="H34" s="45">
        <v>0.2</v>
      </c>
      <c r="J34" s="25" t="s">
        <v>107</v>
      </c>
      <c r="K34" s="28">
        <f>J17</f>
        <v>7.2117846066069025E-2</v>
      </c>
      <c r="L34" s="28">
        <f>J18</f>
        <v>0.17932296189924551</v>
      </c>
      <c r="M34" s="28">
        <f>J19</f>
        <v>0.12067540448179959</v>
      </c>
      <c r="N34" s="28">
        <f>J20</f>
        <v>9.8994300896942763E-2</v>
      </c>
      <c r="O34" s="28">
        <f>J21</f>
        <v>0.20979545856107934</v>
      </c>
      <c r="P34" s="28">
        <f>J22</f>
        <v>0.1092985695337846</v>
      </c>
      <c r="Q34" s="28">
        <f>J23</f>
        <v>0.20979545856107934</v>
      </c>
      <c r="X34" s="20" t="s">
        <v>114</v>
      </c>
      <c r="Y34" s="41">
        <v>1</v>
      </c>
      <c r="Z34" s="41">
        <v>1</v>
      </c>
      <c r="AA34" s="41">
        <v>2</v>
      </c>
      <c r="AB34" s="42">
        <f>(Y34*Z34*AA34)^(1/3)</f>
        <v>1.2599210498948732</v>
      </c>
      <c r="AC34" s="43">
        <f>AB34/$AB$37</f>
        <v>0.39999999999999997</v>
      </c>
    </row>
    <row r="35" spans="1:29" x14ac:dyDescent="0.35">
      <c r="J35" s="48"/>
      <c r="K35" s="32"/>
      <c r="X35" s="20" t="s">
        <v>115</v>
      </c>
      <c r="Y35" s="41">
        <v>1</v>
      </c>
      <c r="Z35" s="41">
        <v>1</v>
      </c>
      <c r="AA35" s="41">
        <v>2</v>
      </c>
      <c r="AB35" s="42">
        <f t="shared" ref="AB35:AB36" si="22">(Y35*Z35*AA35)^(1/3)</f>
        <v>1.2599210498948732</v>
      </c>
      <c r="AC35" s="42">
        <f t="shared" ref="AC35:AC37" si="23">AB35/$AB$37</f>
        <v>0.39999999999999997</v>
      </c>
    </row>
    <row r="36" spans="1:29" ht="14.5" customHeight="1" x14ac:dyDescent="0.35">
      <c r="A36" s="49" t="s">
        <v>123</v>
      </c>
      <c r="B36" s="49"/>
      <c r="C36" s="46"/>
      <c r="D36" s="46"/>
      <c r="E36" s="46"/>
      <c r="F36" s="46"/>
      <c r="G36" s="46"/>
      <c r="J36" s="48"/>
      <c r="K36" s="32"/>
      <c r="X36" s="20" t="s">
        <v>116</v>
      </c>
      <c r="Y36" s="41">
        <v>0.5</v>
      </c>
      <c r="Z36" s="41">
        <v>0.5</v>
      </c>
      <c r="AA36" s="41">
        <v>1</v>
      </c>
      <c r="AB36" s="42">
        <f t="shared" si="22"/>
        <v>0.6299605249474366</v>
      </c>
      <c r="AC36" s="42">
        <f t="shared" si="23"/>
        <v>0.19999999999999998</v>
      </c>
    </row>
    <row r="37" spans="1:29" ht="29" x14ac:dyDescent="0.35">
      <c r="A37" s="20" t="s">
        <v>120</v>
      </c>
      <c r="B37" s="28">
        <f>B32*K34</f>
        <v>1.1755208908769252E-2</v>
      </c>
      <c r="C37" s="28">
        <f t="shared" ref="C37:H37" si="24">C32*L34</f>
        <v>2.5643183551592105E-2</v>
      </c>
      <c r="D37" s="28">
        <f t="shared" si="24"/>
        <v>1.9670090930533332E-2</v>
      </c>
      <c r="E37" s="28">
        <f t="shared" si="24"/>
        <v>1.6136071046201669E-2</v>
      </c>
      <c r="F37" s="28">
        <f t="shared" si="24"/>
        <v>3.0000750574234344E-2</v>
      </c>
      <c r="G37" s="28">
        <f t="shared" si="24"/>
        <v>1.333442548312172E-2</v>
      </c>
      <c r="H37" s="28">
        <f>H32*Q34</f>
        <v>8.3918183424431747E-2</v>
      </c>
      <c r="I37" s="28">
        <f>SUM(B37:H37)</f>
        <v>0.20045791391888418</v>
      </c>
      <c r="X37" s="30" t="s">
        <v>108</v>
      </c>
      <c r="Y37" s="42">
        <f>SUM(Y34:Y36)</f>
        <v>2.5</v>
      </c>
      <c r="Z37" s="42">
        <f>SUM(Z34:Z36)</f>
        <v>2.5</v>
      </c>
      <c r="AA37" s="42">
        <f t="shared" ref="AA37" si="25">SUM(AA34:AA36)</f>
        <v>5</v>
      </c>
      <c r="AB37" s="42">
        <f>SUM(AB34:AB36)</f>
        <v>3.1498026247371831</v>
      </c>
      <c r="AC37" s="42">
        <f t="shared" si="23"/>
        <v>1</v>
      </c>
    </row>
    <row r="38" spans="1:29" ht="43.5" x14ac:dyDescent="0.35">
      <c r="A38" s="20" t="s">
        <v>121</v>
      </c>
      <c r="B38" s="50">
        <f>B33*K34</f>
        <v>2.14190002816225E-2</v>
      </c>
      <c r="C38" s="50">
        <f t="shared" ref="C38:H38" si="26">C33*L34</f>
        <v>5.1286367103184211E-2</v>
      </c>
      <c r="D38" s="50">
        <f t="shared" si="26"/>
        <v>6.5164718420171783E-2</v>
      </c>
      <c r="E38" s="50">
        <f t="shared" si="26"/>
        <v>5.3456922484349093E-2</v>
      </c>
      <c r="F38" s="50">
        <f t="shared" si="26"/>
        <v>0.1197932068383763</v>
      </c>
      <c r="G38" s="50">
        <f t="shared" si="26"/>
        <v>3.4975542250811072E-2</v>
      </c>
      <c r="H38" s="50">
        <f t="shared" si="26"/>
        <v>8.3918183424431747E-2</v>
      </c>
      <c r="I38" s="28">
        <f t="shared" ref="I38:I39" si="27">SUM(B38:H38)</f>
        <v>0.43001394080294669</v>
      </c>
      <c r="K38" s="1" t="s">
        <v>125</v>
      </c>
      <c r="L38" s="1"/>
      <c r="M38" s="1"/>
      <c r="X38" s="29" t="s">
        <v>109</v>
      </c>
      <c r="Y38" s="42">
        <f>Y37*AB34</f>
        <v>3.1498026247371831</v>
      </c>
      <c r="Z38" s="42">
        <f>Z37*AB35</f>
        <v>3.1498026247371831</v>
      </c>
      <c r="AA38" s="42">
        <f>AA37*AB36</f>
        <v>3.1498026247371831</v>
      </c>
      <c r="AB38" s="42"/>
      <c r="AC38" s="42"/>
    </row>
    <row r="39" spans="1:29" ht="58" x14ac:dyDescent="0.35">
      <c r="A39" s="20" t="s">
        <v>122</v>
      </c>
      <c r="B39" s="28">
        <f>B34*K34</f>
        <v>3.8943636875677277E-2</v>
      </c>
      <c r="C39" s="28">
        <f t="shared" ref="C39:H39" si="28">C34*L34</f>
        <v>0.10239341124446918</v>
      </c>
      <c r="D39" s="28">
        <f t="shared" si="28"/>
        <v>3.5840595131094478E-2</v>
      </c>
      <c r="E39" s="28">
        <f t="shared" si="28"/>
        <v>2.9401307366391998E-2</v>
      </c>
      <c r="F39" s="28">
        <f t="shared" si="28"/>
        <v>6.0001501148468687E-2</v>
      </c>
      <c r="G39" s="28">
        <f t="shared" si="28"/>
        <v>6.0988601799851813E-2</v>
      </c>
      <c r="H39" s="28">
        <f>H34*Q34</f>
        <v>4.1959091712215874E-2</v>
      </c>
      <c r="I39" s="28">
        <f t="shared" si="27"/>
        <v>0.36952814527816935</v>
      </c>
      <c r="X39" s="33" t="s">
        <v>110</v>
      </c>
      <c r="Y39" s="44">
        <f>SUM(Y38:AA38)</f>
        <v>9.4494078742115484</v>
      </c>
      <c r="Z39" s="44"/>
      <c r="AA39" s="44"/>
      <c r="AB39" s="44"/>
      <c r="AC39" s="44"/>
    </row>
    <row r="40" spans="1:29" x14ac:dyDescent="0.35">
      <c r="A40" s="48"/>
      <c r="X40" s="33" t="s">
        <v>111</v>
      </c>
      <c r="Y40" s="44">
        <f>(Y39-3)/2</f>
        <v>3.2247039371057742</v>
      </c>
      <c r="Z40" s="44"/>
      <c r="AA40" s="44"/>
      <c r="AB40" s="44"/>
      <c r="AC40" s="44"/>
    </row>
    <row r="41" spans="1:29" x14ac:dyDescent="0.35">
      <c r="A41" s="48"/>
      <c r="X41" s="33" t="s">
        <v>112</v>
      </c>
      <c r="Y41" s="44">
        <f>Y40*0.58</f>
        <v>1.8703282835213488</v>
      </c>
      <c r="Z41" s="44"/>
      <c r="AA41" s="44"/>
      <c r="AB41" s="44"/>
      <c r="AC41" s="44"/>
    </row>
    <row r="42" spans="1:29" x14ac:dyDescent="0.35">
      <c r="A42" s="48"/>
    </row>
  </sheetData>
  <mergeCells count="31">
    <mergeCell ref="A30:B30"/>
    <mergeCell ref="A36:B36"/>
    <mergeCell ref="K38:M38"/>
    <mergeCell ref="Y29:AC29"/>
    <mergeCell ref="Y30:AC30"/>
    <mergeCell ref="Y31:AC31"/>
    <mergeCell ref="Y39:AC39"/>
    <mergeCell ref="Y40:AC40"/>
    <mergeCell ref="Y41:AC41"/>
    <mergeCell ref="Y9:AC9"/>
    <mergeCell ref="Y10:AC10"/>
    <mergeCell ref="Y11:AC11"/>
    <mergeCell ref="Y19:AC19"/>
    <mergeCell ref="Y20:AC20"/>
    <mergeCell ref="Y21:AC21"/>
    <mergeCell ref="R19:V19"/>
    <mergeCell ref="R20:V20"/>
    <mergeCell ref="R21:V21"/>
    <mergeCell ref="R29:V29"/>
    <mergeCell ref="R30:V30"/>
    <mergeCell ref="R31:V31"/>
    <mergeCell ref="Q2:U2"/>
    <mergeCell ref="R9:V9"/>
    <mergeCell ref="R11:V11"/>
    <mergeCell ref="R10:V10"/>
    <mergeCell ref="A1:H1"/>
    <mergeCell ref="D3:E3"/>
    <mergeCell ref="A15:B15"/>
    <mergeCell ref="B26:J26"/>
    <mergeCell ref="B27:J27"/>
    <mergeCell ref="B28:J28"/>
  </mergeCells>
  <phoneticPr fontId="4" type="noConversion"/>
  <pageMargins left="0.7" right="0.7" top="0.75" bottom="0.75" header="0.3" footer="0.3"/>
  <pageSetup paperSize="9" scale="4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1</vt:lpstr>
      <vt:lpstr>Задание 2</vt:lpstr>
      <vt:lpstr>Задание 3</vt:lpstr>
      <vt:lpstr>Задание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H4RD</dc:creator>
  <cp:lastModifiedBy>H4RD</cp:lastModifiedBy>
  <cp:lastPrinted>2026-05-12T17:28:40Z</cp:lastPrinted>
  <dcterms:created xsi:type="dcterms:W3CDTF">2015-06-05T18:19:34Z</dcterms:created>
  <dcterms:modified xsi:type="dcterms:W3CDTF">2026-05-12T17:29:08Z</dcterms:modified>
</cp:coreProperties>
</file>